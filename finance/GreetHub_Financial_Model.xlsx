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Unit Economics" sheetId="2" state="visible" r:id="rId2"/>
    <sheet xmlns:r="http://schemas.openxmlformats.org/officeDocument/2006/relationships" name="Model Costs" sheetId="3" state="visible" r:id="rId3"/>
    <sheet xmlns:r="http://schemas.openxmlformats.org/officeDocument/2006/relationships" name="Opex" sheetId="4" state="visible" r:id="rId4"/>
    <sheet xmlns:r="http://schemas.openxmlformats.org/officeDocument/2006/relationships" name="Forecast" sheetId="5" state="visible" r:id="rId5"/>
    <sheet xmlns:r="http://schemas.openxmlformats.org/officeDocument/2006/relationships" name="Scenarios" sheetId="6" state="visible" r:id="rId6"/>
    <sheet xmlns:r="http://schemas.openxmlformats.org/officeDocument/2006/relationships" name="Dashboar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yyyy-mm-dd"/>
    <numFmt numFmtId="165" formatCode="mmm yyyy"/>
    <numFmt numFmtId="166" formatCode="$#,##0;($#,##0);-"/>
    <numFmt numFmtId="167" formatCode="#,##0.00;(#,##0.00);-"/>
    <numFmt numFmtId="168" formatCode="0.0%;(0.0%);-"/>
    <numFmt numFmtId="169" formatCode="#,##0;(#,##0);-"/>
    <numFmt numFmtId="170" formatCode="$#,##0.00;($#,##0.00);-"/>
    <numFmt numFmtId="171" formatCode="0.00&quot;x&quot;"/>
    <numFmt numFmtId="172" formatCode="$#,##0.000;($#,##0.000);-"/>
    <numFmt numFmtId="173" formatCode="0.0000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b val="1"/>
      <color rgb="00FFFFFF"/>
      <sz val="10"/>
    </font>
    <font>
      <name val="Arial"/>
      <b val="1"/>
      <color rgb="000000FF"/>
      <sz val="11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D9E1F2"/>
      </patternFill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4" fillId="2" borderId="0" pivotButton="0" quotePrefix="0" xfId="0"/>
    <xf numFmtId="0" fontId="3" fillId="3" borderId="0" pivotButton="0" quotePrefix="0" xfId="0"/>
    <xf numFmtId="0" fontId="0" fillId="3" borderId="0" pivotButton="0" quotePrefix="0" xfId="0"/>
    <xf numFmtId="0" fontId="6" fillId="4" borderId="0" applyAlignment="1" pivotButton="0" quotePrefix="0" xfId="0">
      <alignment horizontal="center" vertical="center" wrapText="1"/>
    </xf>
    <xf numFmtId="165" fontId="4" fillId="0" borderId="0" pivotButton="0" quotePrefix="0" xfId="0"/>
    <xf numFmtId="166" fontId="4" fillId="0" borderId="0" pivotButton="0" quotePrefix="0" xfId="0"/>
    <xf numFmtId="167" fontId="4" fillId="0" borderId="0" pivotButton="0" quotePrefix="0" xfId="0"/>
    <xf numFmtId="168" fontId="4" fillId="0" borderId="0" pivotButton="0" quotePrefix="0" xfId="0"/>
    <xf numFmtId="169" fontId="4" fillId="0" borderId="0" pivotButton="0" quotePrefix="0" xfId="0"/>
    <xf numFmtId="166" fontId="5" fillId="0" borderId="0" pivotButton="0" quotePrefix="0" xfId="0"/>
    <xf numFmtId="170" fontId="4" fillId="0" borderId="0" pivotButton="0" quotePrefix="0" xfId="0"/>
    <xf numFmtId="168" fontId="3" fillId="0" borderId="0" pivotButton="0" quotePrefix="0" xfId="0"/>
    <xf numFmtId="166" fontId="4" fillId="2" borderId="0" pivotButton="0" quotePrefix="0" xfId="0"/>
    <xf numFmtId="170" fontId="4" fillId="2" borderId="0" pivotButton="0" quotePrefix="0" xfId="0"/>
    <xf numFmtId="168" fontId="4" fillId="2" borderId="0" pivotButton="0" quotePrefix="0" xfId="0"/>
    <xf numFmtId="170" fontId="5" fillId="0" borderId="0" pivotButton="0" quotePrefix="0" xfId="0"/>
    <xf numFmtId="168" fontId="5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171" fontId="4" fillId="0" borderId="0" pivotButton="0" quotePrefix="0" xfId="0"/>
    <xf numFmtId="170" fontId="3" fillId="0" borderId="0" pivotButton="0" quotePrefix="0" xfId="0"/>
    <xf numFmtId="10" fontId="5" fillId="0" borderId="0" pivotButton="0" quotePrefix="0" xfId="0"/>
    <xf numFmtId="167" fontId="5" fillId="0" borderId="0" pivotButton="0" quotePrefix="0" xfId="0"/>
    <xf numFmtId="2" fontId="5" fillId="0" borderId="0" pivotButton="0" quotePrefix="0" xfId="0"/>
    <xf numFmtId="173" fontId="5" fillId="0" borderId="0" pivotButton="0" quotePrefix="0" xfId="0"/>
    <xf numFmtId="172" fontId="4" fillId="0" borderId="0" pivotButton="0" quotePrefix="0" xfId="0"/>
    <xf numFmtId="172" fontId="4" fillId="2" borderId="0" pivotButton="0" quotePrefix="0" xfId="0"/>
    <xf numFmtId="172" fontId="5" fillId="0" borderId="0" pivotButton="0" quotePrefix="0" xfId="0"/>
    <xf numFmtId="172" fontId="3" fillId="0" borderId="0" pivotButton="0" quotePrefix="0" xfId="0"/>
    <xf numFmtId="169" fontId="5" fillId="0" borderId="0" pivotButton="0" quotePrefix="0" xfId="0"/>
    <xf numFmtId="0" fontId="6" fillId="4" borderId="0" applyAlignment="1" pivotButton="0" quotePrefix="0" xfId="0">
      <alignment horizontal="center"/>
    </xf>
    <xf numFmtId="17" fontId="5" fillId="0" borderId="0" pivotButton="0" quotePrefix="0" xfId="0"/>
    <xf numFmtId="169" fontId="3" fillId="0" borderId="0" pivotButton="0" quotePrefix="0" xfId="0"/>
    <xf numFmtId="0" fontId="7" fillId="2" borderId="0" pivotButton="0" quotePrefix="0" xfId="0"/>
    <xf numFmtId="171" fontId="5" fillId="0" borderId="0" pivotButton="0" quotePrefix="0" xfId="0"/>
    <xf numFmtId="171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 revenue and net income ($/month)</a:t>
            </a:r>
          </a:p>
        </rich>
      </tx>
    </title>
    <plotArea>
      <lineChart>
        <grouping val="standard"/>
        <ser>
          <idx val="0"/>
          <order val="0"/>
          <tx>
            <v>Net revenue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'Forecast'!$D$7:$AM$7</f>
            </numRef>
          </cat>
          <val>
            <numRef>
              <f>'Forecast'!$D$60:$AM$60</f>
            </numRef>
          </val>
        </ser>
        <ser>
          <idx val="1"/>
          <order val="1"/>
          <tx>
            <v>Net income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'Forecast'!$D$7:$AM$7</f>
            </numRef>
          </cat>
          <val>
            <numRef>
              <f>'Forecast'!$D$77:$AM$77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mmm-yy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cash balance ($)</a:t>
            </a:r>
          </a:p>
        </rich>
      </tx>
    </title>
    <plotArea>
      <lineChart>
        <grouping val="standard"/>
        <ser>
          <idx val="0"/>
          <order val="0"/>
          <tx>
            <v>Cash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'Forecast'!$D$7:$AM$7</f>
            </numRef>
          </cat>
          <val>
            <numRef>
              <f>'Forecast'!$D$80:$AM$80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mmm-yy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Orders per month (new vs repeat)</a:t>
            </a:r>
          </a:p>
        </rich>
      </tx>
    </title>
    <plotArea>
      <barChart>
        <barDir val="col"/>
        <grouping val="stacked"/>
        <ser>
          <idx val="0"/>
          <order val="0"/>
          <tx>
            <v>New-customer orders</v>
          </tx>
          <spPr>
            <a:ln xmlns:a="http://schemas.openxmlformats.org/drawingml/2006/main">
              <a:prstDash val="solid"/>
            </a:ln>
          </spPr>
          <cat>
            <numRef>
              <f>'Forecast'!$D$7:$AM$7</f>
            </numRef>
          </cat>
          <val>
            <numRef>
              <f>'Forecast'!$D$40:$AM$40</f>
            </numRef>
          </val>
        </ser>
        <ser>
          <idx val="1"/>
          <order val="1"/>
          <tx>
            <v>Repeat orders</v>
          </tx>
          <spPr>
            <a:ln xmlns:a="http://schemas.openxmlformats.org/drawingml/2006/main">
              <a:prstDash val="solid"/>
            </a:ln>
          </spPr>
          <cat>
            <numRef>
              <f>'Forecast'!$D$7:$AM$7</f>
            </numRef>
          </cat>
          <val>
            <numRef>
              <f>'Forecast'!$D$42:$AM$42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numFmt formatCode="mmm-yy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orders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Visits by source (paid = budget / CPC)</a:t>
            </a:r>
          </a:p>
        </rich>
      </tx>
    </title>
    <plotArea>
      <barChart>
        <barDir val="col"/>
        <grouping val="stacked"/>
        <ser>
          <idx val="0"/>
          <order val="0"/>
          <tx>
            <v>Paid</v>
          </tx>
          <spPr>
            <a:ln xmlns:a="http://schemas.openxmlformats.org/drawingml/2006/main">
              <a:prstDash val="solid"/>
            </a:ln>
          </spPr>
          <cat>
            <numRef>
              <f>'Forecast'!$D$7:$AM$7</f>
            </numRef>
          </cat>
          <val>
            <numRef>
              <f>'Forecast'!$D$26:$AM$26</f>
            </numRef>
          </val>
        </ser>
        <ser>
          <idx val="1"/>
          <order val="1"/>
          <tx>
            <v>Organic</v>
          </tx>
          <spPr>
            <a:ln xmlns:a="http://schemas.openxmlformats.org/drawingml/2006/main">
              <a:prstDash val="solid"/>
            </a:ln>
          </spPr>
          <cat>
            <numRef>
              <f>'Forecast'!$D$7:$AM$7</f>
            </numRef>
          </cat>
          <val>
            <numRef>
              <f>'Forecast'!$D$28:$AM$28</f>
            </numRef>
          </val>
        </ser>
        <ser>
          <idx val="2"/>
          <order val="2"/>
          <tx>
            <v>Referral</v>
          </tx>
          <spPr>
            <a:ln xmlns:a="http://schemas.openxmlformats.org/drawingml/2006/main">
              <a:prstDash val="solid"/>
            </a:ln>
          </spPr>
          <cat>
            <numRef>
              <f>'Forecast'!$D$7:$AM$7</f>
            </numRef>
          </cat>
          <val>
            <numRef>
              <f>'Forecast'!$D$29:$AM$29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numFmt formatCode="mmm-yy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visits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Marketing budget ($/month)</a:t>
            </a:r>
          </a:p>
        </rich>
      </tx>
    </title>
    <plotArea>
      <lineChart>
        <grouping val="standard"/>
        <ser>
          <idx val="0"/>
          <order val="0"/>
          <tx>
            <v>Marketing budget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'Forecast'!$D$7:$AM$7</f>
            </numRef>
          </cat>
          <val>
            <numRef>
              <f>'Forecast'!$D$74:$AM$74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mmm-yy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Contribution margin per item by SKU ($)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'Dashboard'!B29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'Dashboard'!$A$30:$A$34</f>
            </numRef>
          </cat>
          <val>
            <numRef>
              <f>'Dashboard'!$B$30:$B$34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12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17</row>
      <rowOff>0</rowOff>
    </from>
    <ext cx="612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33</row>
      <rowOff>0</rowOff>
    </from>
    <ext cx="612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</col>
      <colOff>0</colOff>
      <row>49</row>
      <rowOff>0</rowOff>
    </from>
    <ext cx="612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5</col>
      <colOff>0</colOff>
      <row>65</row>
      <rowOff>0</rowOff>
    </from>
    <ext cx="6120000" cy="27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0</col>
      <colOff>0</colOff>
      <row>33</row>
      <rowOff>0</rowOff>
    </from>
    <ext cx="6120000" cy="27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24" customWidth="1" min="3" max="3"/>
    <col width="16" customWidth="1" min="4" max="4"/>
    <col width="16" customWidth="1" min="5" max="5"/>
    <col width="22" customWidth="1" min="6" max="6"/>
    <col width="14" customWidth="1" min="7" max="7"/>
    <col width="16" customWidth="1" min="8" max="8"/>
    <col width="16" customWidth="1" min="9" max="9"/>
    <col width="22" customWidth="1" min="10" max="10"/>
    <col width="60" customWidth="1" min="11" max="11"/>
  </cols>
  <sheetData>
    <row r="1">
      <c r="A1" s="1" t="inlineStr">
        <is>
          <t>GreetHub - Inputs (all business assumptions live here)</t>
        </is>
      </c>
    </row>
    <row r="2">
      <c r="A2" s="2" t="inlineStr">
        <is>
          <t>Blue = input you can edit. Black = formula. Yellow fill = slot reserved for CMO/CTO data. Status: SOURCED / ESTIMATE / GUESS. Printer prices are ESTIMATES to verify against live Lulu / Prodigi / Gelato price sheets.</t>
        </is>
      </c>
    </row>
    <row r="3">
      <c r="A3" s="3" t="inlineStr">
        <is>
          <t>Legend:</t>
        </is>
      </c>
      <c r="B3" s="4" t="inlineStr">
        <is>
          <t>Input</t>
        </is>
      </c>
      <c r="C3" s="5" t="inlineStr">
        <is>
          <t>Formula</t>
        </is>
      </c>
      <c r="D3" s="6" t="inlineStr">
        <is>
          <t>CMO / CTO data</t>
        </is>
      </c>
    </row>
    <row r="5">
      <c r="A5" s="7" t="inlineStr">
        <is>
          <t>1. General</t>
        </is>
      </c>
      <c r="B5" s="8" t="n"/>
      <c r="C5" s="8" t="n"/>
      <c r="D5" s="8" t="n"/>
      <c r="E5" s="8" t="n"/>
      <c r="F5" s="8" t="n"/>
    </row>
    <row r="6">
      <c r="A6" s="9" t="inlineStr">
        <is>
          <t>Assumption</t>
        </is>
      </c>
      <c r="B6" s="9" t="inlineStr">
        <is>
          <t>Value</t>
        </is>
      </c>
      <c r="C6" s="9" t="inlineStr">
        <is>
          <t>Unit</t>
        </is>
      </c>
      <c r="D6" s="9" t="inlineStr">
        <is>
          <t>Status</t>
        </is>
      </c>
      <c r="E6" s="9" t="inlineStr">
        <is>
          <t>Sensible range</t>
        </is>
      </c>
      <c r="F6" s="9" t="inlineStr">
        <is>
          <t>Notes / source</t>
        </is>
      </c>
    </row>
    <row r="7">
      <c r="A7" s="5" t="inlineStr">
        <is>
          <t>Launch month (month 1)</t>
        </is>
      </c>
      <c r="B7" s="10" t="n">
        <v>46327</v>
      </c>
      <c r="C7" s="5" t="inlineStr">
        <is>
          <t>date</t>
        </is>
      </c>
      <c r="D7" s="5" t="inlineStr">
        <is>
          <t>SOURCED</t>
        </is>
      </c>
      <c r="E7" s="5" t="inlineStr">
        <is>
          <t>any</t>
        </is>
      </c>
      <c r="F7" s="2" t="inlineStr">
        <is>
          <t>CMO launch assumption: November 2026. Drives seasonality alignment.</t>
        </is>
      </c>
    </row>
    <row r="8">
      <c r="A8" s="5" t="inlineStr">
        <is>
          <t>Opening cash (founder capital)</t>
        </is>
      </c>
      <c r="B8" s="11" t="n">
        <v>30000</v>
      </c>
      <c r="C8" s="5" t="inlineStr">
        <is>
          <t>$</t>
        </is>
      </c>
      <c r="D8" s="5" t="inlineStr">
        <is>
          <t>GUESS</t>
        </is>
      </c>
      <c r="E8" s="5" t="inlineStr">
        <is>
          <t>$10k-100k</t>
        </is>
      </c>
      <c r="F8" s="2" t="inlineStr">
        <is>
          <t>Starting cash balance; also sets funding need.</t>
        </is>
      </c>
    </row>
    <row r="9">
      <c r="A9" s="5" t="inlineStr">
        <is>
          <t>Items per paid order</t>
        </is>
      </c>
      <c r="B9" s="12" t="n">
        <v>1.15</v>
      </c>
      <c r="C9" s="5" t="inlineStr">
        <is>
          <t>items</t>
        </is>
      </c>
      <c r="D9" s="5" t="inlineStr">
        <is>
          <t>GUESS</t>
        </is>
      </c>
      <c r="E9" s="5" t="inlineStr">
        <is>
          <t>1.0-1.5</t>
        </is>
      </c>
      <c r="F9" s="2" t="inlineStr">
        <is>
          <t>Card+book bundles; Stripe $0.30 is per order, not per item.</t>
        </is>
      </c>
    </row>
    <row r="10">
      <c r="A10" s="7" t="inlineStr">
        <is>
          <t>2. Funnel (visitor -&gt; sign-up -&gt; creator start -&gt; purchase)</t>
        </is>
      </c>
      <c r="B10" s="8" t="n"/>
      <c r="C10" s="8" t="n"/>
      <c r="D10" s="8" t="n"/>
      <c r="E10" s="8" t="n"/>
      <c r="F10" s="8" t="n"/>
    </row>
    <row r="11">
      <c r="A11" s="9" t="inlineStr">
        <is>
          <t>Assumption</t>
        </is>
      </c>
      <c r="B11" s="9" t="inlineStr">
        <is>
          <t>Value</t>
        </is>
      </c>
      <c r="C11" s="9" t="inlineStr">
        <is>
          <t>Unit</t>
        </is>
      </c>
      <c r="D11" s="9" t="inlineStr">
        <is>
          <t>Status</t>
        </is>
      </c>
      <c r="E11" s="9" t="inlineStr">
        <is>
          <t>Sensible range</t>
        </is>
      </c>
      <c r="F11" s="9" t="inlineStr">
        <is>
          <t>Notes / source</t>
        </is>
      </c>
    </row>
    <row r="12">
      <c r="A12" s="5" t="inlineStr">
        <is>
          <t>Organic/referral visitor -&gt; sign-up rate</t>
        </is>
      </c>
      <c r="B12" s="13" t="n">
        <v>0.07000000000000001</v>
      </c>
      <c r="C12" s="5" t="inlineStr">
        <is>
          <t>% of visits</t>
        </is>
      </c>
      <c r="D12" s="5" t="inlineStr">
        <is>
          <t>GUESS</t>
        </is>
      </c>
      <c r="E12" s="5" t="inlineStr">
        <is>
          <t>3%-12%</t>
        </is>
      </c>
      <c r="F12" s="2" t="inlineStr">
        <is>
          <t>Paid channels use per-channel CMO rates in section 7. Matches CMO range (4-9%).</t>
        </is>
      </c>
    </row>
    <row r="13">
      <c r="A13" s="5" t="inlineStr">
        <is>
          <t>Sign-up -&gt; creator start rate (all sources)</t>
        </is>
      </c>
      <c r="B13" s="13" t="n">
        <v>0.6</v>
      </c>
      <c r="C13" s="5" t="inlineStr">
        <is>
          <t>% of sign-ups</t>
        </is>
      </c>
      <c r="D13" s="5" t="inlineStr">
        <is>
          <t>GUESS</t>
        </is>
      </c>
      <c r="E13" s="5" t="inlineStr">
        <is>
          <t>40%-80%</t>
        </is>
      </c>
      <c r="F13" s="2" t="inlineStr">
        <is>
          <t>Sign-ups who begin a brief; drives token cost of unpaid starts.</t>
        </is>
      </c>
    </row>
    <row r="14">
      <c r="A14" s="5" t="inlineStr">
        <is>
          <t>Organic: creator start -&gt; purchase rate</t>
        </is>
      </c>
      <c r="B14" s="13" t="n">
        <v>0.25</v>
      </c>
      <c r="C14" s="5" t="inlineStr">
        <is>
          <t>% of starts</t>
        </is>
      </c>
      <c r="D14" s="5" t="inlineStr">
        <is>
          <t>GUESS</t>
        </is>
      </c>
      <c r="E14" s="5" t="inlineStr">
        <is>
          <t>12%-40%</t>
        </is>
      </c>
      <c r="F14" s="2" t="inlineStr">
        <is>
          <t>0.60 x 0.25 = 15% sign-up -&gt; purchase, in line with CMO channel rates (9-20%). Paid channels use CMO signup-&gt;purchase directly.</t>
        </is>
      </c>
    </row>
    <row r="15">
      <c r="A15" s="5" t="inlineStr">
        <is>
          <t>Share of visitors who run a free guest preview</t>
        </is>
      </c>
      <c r="B15" s="13" t="n">
        <v>0.15</v>
      </c>
      <c r="C15" s="5" t="inlineStr">
        <is>
          <t>% of visits</t>
        </is>
      </c>
      <c r="D15" s="5" t="inlineStr">
        <is>
          <t>GUESS</t>
        </is>
      </c>
      <c r="E15" s="5" t="inlineStr">
        <is>
          <t>5%-30%</t>
        </is>
      </c>
      <c r="F15" s="2" t="inlineStr">
        <is>
          <t>Guest previews cost tokens and earn no revenue (cost line in Forecast).</t>
        </is>
      </c>
    </row>
    <row r="16">
      <c r="A16" s="5" t="inlineStr">
        <is>
          <t>Seasonality sensitivity of purchase conversion</t>
        </is>
      </c>
      <c r="B16" s="12" t="n">
        <v>0.5</v>
      </c>
      <c r="C16" s="5" t="inlineStr">
        <is>
          <t>0-1</t>
        </is>
      </c>
      <c r="D16" s="5" t="inlineStr">
        <is>
          <t>GUESS</t>
        </is>
      </c>
      <c r="E16" s="5" t="inlineStr">
        <is>
          <t>0-1</t>
        </is>
      </c>
      <c r="F16" s="2" t="inlineStr">
        <is>
          <t>0 = season only changes traffic; 1 = conversion moves fully with season index.</t>
        </is>
      </c>
    </row>
    <row r="17">
      <c r="A17" s="5" t="inlineStr">
        <is>
          <t>Token cost incurred before an unpaid creator start abandons</t>
        </is>
      </c>
      <c r="B17" s="13" t="n">
        <v>0.35</v>
      </c>
      <c r="C17" s="5" t="inlineStr">
        <is>
          <t>% of full cost</t>
        </is>
      </c>
      <c r="D17" s="5" t="inlineStr">
        <is>
          <t>ESTIMATE</t>
        </is>
      </c>
      <c r="E17" s="5" t="inlineStr">
        <is>
          <t>20%-60%</t>
        </is>
      </c>
      <c r="F17" s="2" t="inlineStr">
        <is>
          <t>The model-sheet approval gate caps waste (PLAN.md).</t>
        </is>
      </c>
    </row>
    <row r="18">
      <c r="A18" s="7" t="inlineStr">
        <is>
          <t>3. Traffic</t>
        </is>
      </c>
      <c r="B18" s="8" t="n"/>
      <c r="C18" s="8" t="n"/>
      <c r="D18" s="8" t="n"/>
      <c r="E18" s="8" t="n"/>
      <c r="F18" s="8" t="n"/>
    </row>
    <row r="19">
      <c r="A19" s="9" t="inlineStr">
        <is>
          <t>Assumption</t>
        </is>
      </c>
      <c r="B19" s="9" t="inlineStr">
        <is>
          <t>Value</t>
        </is>
      </c>
      <c r="C19" s="9" t="inlineStr">
        <is>
          <t>Unit</t>
        </is>
      </c>
      <c r="D19" s="9" t="inlineStr">
        <is>
          <t>Status</t>
        </is>
      </c>
      <c r="E19" s="9" t="inlineStr">
        <is>
          <t>Sensible range</t>
        </is>
      </c>
      <c r="F19" s="9" t="inlineStr">
        <is>
          <t>Notes / source</t>
        </is>
      </c>
    </row>
    <row r="20">
      <c r="A20" s="5" t="inlineStr">
        <is>
          <t>Organic visits, month 1 (before seasonality)</t>
        </is>
      </c>
      <c r="B20" s="14" t="n">
        <v>2000</v>
      </c>
      <c r="C20" s="5" t="inlineStr">
        <is>
          <t>visits</t>
        </is>
      </c>
      <c r="D20" s="5" t="inlineStr">
        <is>
          <t>GUESS</t>
        </is>
      </c>
      <c r="E20" s="5" t="inlineStr">
        <is>
          <t>500-8,000</t>
        </is>
      </c>
      <c r="F20" s="2" t="inlineStr">
        <is>
          <t>Brand/social/referral at launch.</t>
        </is>
      </c>
    </row>
    <row r="21">
      <c r="A21" s="5" t="inlineStr">
        <is>
          <t>Organic monthly growth, month 2</t>
        </is>
      </c>
      <c r="B21" s="13" t="n">
        <v>0.12</v>
      </c>
      <c r="C21" s="5" t="inlineStr">
        <is>
          <t>% / mo</t>
        </is>
      </c>
      <c r="D21" s="5" t="inlineStr">
        <is>
          <t>GUESS</t>
        </is>
      </c>
      <c r="E21" s="5" t="inlineStr">
        <is>
          <t>5%-20%</t>
        </is>
      </c>
      <c r="F21" s="2" t="inlineStr">
        <is>
          <t>Compounds, then decays (next row).</t>
        </is>
      </c>
    </row>
    <row r="22">
      <c r="A22" s="5" t="inlineStr">
        <is>
          <t>Organic growth decay factor per month</t>
        </is>
      </c>
      <c r="B22" s="12" t="n">
        <v>0.93</v>
      </c>
      <c r="C22" s="5" t="inlineStr">
        <is>
          <t>x</t>
        </is>
      </c>
      <c r="D22" s="5" t="inlineStr">
        <is>
          <t>GUESS</t>
        </is>
      </c>
      <c r="E22" s="5" t="inlineStr">
        <is>
          <t>0.88-0.98</t>
        </is>
      </c>
      <c r="F22" s="2" t="inlineStr">
        <is>
          <t>growth_t = g x decay^(t-1). 0.93 -&gt; ~5x organic by month 36.</t>
        </is>
      </c>
    </row>
    <row r="23">
      <c r="A23" s="5" t="inlineStr">
        <is>
          <t>Recipient referral visits per item sold (prior month)</t>
        </is>
      </c>
      <c r="B23" s="12" t="n">
        <v>0.3</v>
      </c>
      <c r="C23" s="5" t="inlineStr">
        <is>
          <t>visits/item</t>
        </is>
      </c>
      <c r="D23" s="5" t="inlineStr">
        <is>
          <t>GUESS</t>
        </is>
      </c>
      <c r="E23" s="5" t="inlineStr">
        <is>
          <t>0.1-0.8</t>
        </is>
      </c>
      <c r="F23" s="2" t="inlineStr">
        <is>
          <t>Card/book recipients open the 'made with GreetHub' link.</t>
        </is>
      </c>
    </row>
    <row r="24">
      <c r="A24" s="7" t="inlineStr">
        <is>
          <t>4. Marketing budget (paid visits = budget / CPC)</t>
        </is>
      </c>
      <c r="B24" s="8" t="n"/>
      <c r="C24" s="8" t="n"/>
      <c r="D24" s="8" t="n"/>
      <c r="E24" s="8" t="n"/>
      <c r="F24" s="8" t="n"/>
    </row>
    <row r="25">
      <c r="A25" s="9" t="inlineStr">
        <is>
          <t>Assumption</t>
        </is>
      </c>
      <c r="B25" s="9" t="inlineStr">
        <is>
          <t>Value</t>
        </is>
      </c>
      <c r="C25" s="9" t="inlineStr">
        <is>
          <t>Unit</t>
        </is>
      </c>
      <c r="D25" s="9" t="inlineStr">
        <is>
          <t>Status</t>
        </is>
      </c>
      <c r="E25" s="9" t="inlineStr">
        <is>
          <t>Sensible range</t>
        </is>
      </c>
      <c r="F25" s="9" t="inlineStr">
        <is>
          <t>Notes / source</t>
        </is>
      </c>
    </row>
    <row r="26">
      <c r="A26" s="5" t="inlineStr">
        <is>
          <t>Monthly marketing budget, month 1</t>
        </is>
      </c>
      <c r="B26" s="15">
        <f>SUM(B57:B62)</f>
        <v/>
      </c>
      <c r="C26" s="5" t="inlineStr">
        <is>
          <t>$ / mo</t>
        </is>
      </c>
      <c r="D26" s="5" t="inlineStr">
        <is>
          <t>SOURCED</t>
        </is>
      </c>
      <c r="E26" s="5" t="inlineStr">
        <is>
          <t>$1k-15k</t>
        </is>
      </c>
      <c r="F26" s="2" t="inlineStr">
        <is>
          <t>Sum of CMO channel budgets (section 7), $6.5k/mo = $19.5k per 90 days. Overwrite with a number to test.</t>
        </is>
      </c>
    </row>
    <row r="27">
      <c r="A27" s="5" t="inlineStr">
        <is>
          <t>Budget monthly growth</t>
        </is>
      </c>
      <c r="B27" s="13" t="n">
        <v>0</v>
      </c>
      <c r="C27" s="5" t="inlineStr">
        <is>
          <t>% / mo</t>
        </is>
      </c>
      <c r="D27" s="5" t="inlineStr">
        <is>
          <t>GUESS</t>
        </is>
      </c>
      <c r="E27" s="5" t="inlineStr">
        <is>
          <t>0%-10%</t>
        </is>
      </c>
      <c r="F27" s="2" t="inlineStr">
        <is>
          <t>Compounds until cap. Growth only pays if contribution per order beats CAC.</t>
        </is>
      </c>
    </row>
    <row r="28">
      <c r="A28" s="5" t="inlineStr">
        <is>
          <t>Budget cap</t>
        </is>
      </c>
      <c r="B28" s="11" t="n">
        <v>20000</v>
      </c>
      <c r="C28" s="5" t="inlineStr">
        <is>
          <t>$ / mo</t>
        </is>
      </c>
      <c r="D28" s="5" t="inlineStr">
        <is>
          <t>GUESS</t>
        </is>
      </c>
      <c r="E28" s="5" t="inlineStr">
        <is>
          <t>$5k-100k</t>
        </is>
      </c>
      <c r="F28" s="2" t="inlineStr">
        <is>
          <t>Ceiling on base monthly budget.</t>
        </is>
      </c>
    </row>
    <row r="29">
      <c r="A29" s="5" t="inlineStr">
        <is>
          <t>Budget follows season index</t>
        </is>
      </c>
      <c r="B29" s="12" t="n">
        <v>0.5</v>
      </c>
      <c r="C29" s="5" t="inlineStr">
        <is>
          <t>0-1</t>
        </is>
      </c>
      <c r="D29" s="5" t="inlineStr">
        <is>
          <t>GUESS</t>
        </is>
      </c>
      <c r="E29" s="5" t="inlineStr">
        <is>
          <t>0-1</t>
        </is>
      </c>
      <c r="F29" s="2" t="inlineStr">
        <is>
          <t>1 = budget scales fully with season index.</t>
        </is>
      </c>
    </row>
    <row r="30">
      <c r="A30" s="7" t="inlineStr">
        <is>
          <t>5. Repeat, refunds, re-rolls, payments</t>
        </is>
      </c>
      <c r="B30" s="8" t="n"/>
      <c r="C30" s="8" t="n"/>
      <c r="D30" s="8" t="n"/>
      <c r="E30" s="8" t="n"/>
      <c r="F30" s="8" t="n"/>
    </row>
    <row r="31">
      <c r="A31" s="9" t="inlineStr">
        <is>
          <t>Assumption</t>
        </is>
      </c>
      <c r="B31" s="9" t="inlineStr">
        <is>
          <t>Value</t>
        </is>
      </c>
      <c r="C31" s="9" t="inlineStr">
        <is>
          <t>Unit</t>
        </is>
      </c>
      <c r="D31" s="9" t="inlineStr">
        <is>
          <t>Status</t>
        </is>
      </c>
      <c r="E31" s="9" t="inlineStr">
        <is>
          <t>Sensible range</t>
        </is>
      </c>
      <c r="F31" s="9" t="inlineStr">
        <is>
          <t>Notes / source</t>
        </is>
      </c>
    </row>
    <row r="32">
      <c r="A32" s="5" t="inlineStr">
        <is>
          <t>Repeat orders per existing customer per year</t>
        </is>
      </c>
      <c r="B32" s="12" t="n">
        <v>0.35</v>
      </c>
      <c r="C32" s="5" t="inlineStr">
        <is>
          <t>orders/yr</t>
        </is>
      </c>
      <c r="D32" s="5" t="inlineStr">
        <is>
          <t>GUESS</t>
        </is>
      </c>
      <c r="E32" s="5" t="inlineStr">
        <is>
          <t>0.15-0.8</t>
        </is>
      </c>
      <c r="F32" s="2" t="inlineStr">
        <is>
          <t>Occasion-driven; applied to cumulative customers.</t>
        </is>
      </c>
    </row>
    <row r="33">
      <c r="A33" s="5" t="inlineStr">
        <is>
          <t>Customer lifetime used for LTV</t>
        </is>
      </c>
      <c r="B33" s="12" t="n">
        <v>2</v>
      </c>
      <c r="C33" s="5" t="inlineStr">
        <is>
          <t>years</t>
        </is>
      </c>
      <c r="D33" s="5" t="inlineStr">
        <is>
          <t>GUESS</t>
        </is>
      </c>
      <c r="E33" s="5" t="inlineStr">
        <is>
          <t>1-3</t>
        </is>
      </c>
      <c r="F33" s="2" t="inlineStr">
        <is>
          <t>LTV = contribution per order x (1 + repeat x lifetime).</t>
        </is>
      </c>
    </row>
    <row r="34">
      <c r="A34" s="5" t="inlineStr">
        <is>
          <t>Re-roll rate, cards (extra renders over base)</t>
        </is>
      </c>
      <c r="B34" s="13" t="n">
        <v>0.35</v>
      </c>
      <c r="C34" s="5" t="inlineStr">
        <is>
          <t>% of renders</t>
        </is>
      </c>
      <c r="D34" s="5" t="inlineStr">
        <is>
          <t>ESTIMATE</t>
        </is>
      </c>
      <c r="E34" s="5" t="inlineStr">
        <is>
          <t>15%-60%</t>
        </is>
      </c>
      <c r="F34" s="2" t="inlineStr">
        <is>
          <t>Includes auto-QA retries.</t>
        </is>
      </c>
    </row>
    <row r="35">
      <c r="A35" s="5" t="inlineStr">
        <is>
          <t>Re-roll rate, books (extra renders over base)</t>
        </is>
      </c>
      <c r="B35" s="13" t="n">
        <v>0.12</v>
      </c>
      <c r="C35" s="5" t="inlineStr">
        <is>
          <t>% of renders</t>
        </is>
      </c>
      <c r="D35" s="5" t="inlineStr">
        <is>
          <t>ESTIMATE</t>
        </is>
      </c>
      <c r="E35" s="5" t="inlineStr">
        <is>
          <t>5%-30%</t>
        </is>
      </c>
      <c r="F35" s="2" t="inlineStr">
        <is>
          <t>Eye Story: ~16 renders incl. reroll allowance for a 14-page book.</t>
        </is>
      </c>
    </row>
    <row r="36">
      <c r="A36" s="5" t="inlineStr">
        <is>
          <t>Refund rate (share of revenue refunded)</t>
        </is>
      </c>
      <c r="B36" s="13" t="n">
        <v>0.03</v>
      </c>
      <c r="C36" s="5" t="inlineStr">
        <is>
          <t>% of revenue</t>
        </is>
      </c>
      <c r="D36" s="5" t="inlineStr">
        <is>
          <t>GUESS</t>
        </is>
      </c>
      <c r="E36" s="5" t="inlineStr">
        <is>
          <t>1%-6%</t>
        </is>
      </c>
      <c r="F36" s="2" t="inlineStr">
        <is>
          <t>Token cost is sunk on refund.</t>
        </is>
      </c>
    </row>
    <row r="37">
      <c r="A37" s="5" t="inlineStr">
        <is>
          <t>Reprint rate (printed items reshipped)</t>
        </is>
      </c>
      <c r="B37" s="13" t="n">
        <v>0.04</v>
      </c>
      <c r="C37" s="5" t="inlineStr">
        <is>
          <t>% of printed</t>
        </is>
      </c>
      <c r="D37" s="5" t="inlineStr">
        <is>
          <t>GUESS</t>
        </is>
      </c>
      <c r="E37" s="5" t="inlineStr">
        <is>
          <t>2%-8%</t>
        </is>
      </c>
      <c r="F37" s="2" t="inlineStr">
        <is>
          <t>Print defects, transit damage. Costs print + shipping again.</t>
        </is>
      </c>
    </row>
    <row r="38">
      <c r="A38" s="5" t="inlineStr">
        <is>
          <t>Chargeback rate</t>
        </is>
      </c>
      <c r="B38" s="13" t="n">
        <v>0.003</v>
      </c>
      <c r="C38" s="5" t="inlineStr">
        <is>
          <t>% of orders</t>
        </is>
      </c>
      <c r="D38" s="5" t="inlineStr">
        <is>
          <t>ESTIMATE</t>
        </is>
      </c>
      <c r="E38" s="5" t="inlineStr">
        <is>
          <t>0.1%-1%</t>
        </is>
      </c>
      <c r="F38" s="2" t="inlineStr"/>
    </row>
    <row r="39">
      <c r="A39" s="5" t="inlineStr">
        <is>
          <t>Chargeback fee</t>
        </is>
      </c>
      <c r="B39" s="16" t="n">
        <v>15</v>
      </c>
      <c r="C39" s="5" t="inlineStr">
        <is>
          <t>$ / dispute</t>
        </is>
      </c>
      <c r="D39" s="5" t="inlineStr">
        <is>
          <t>SOURCED</t>
        </is>
      </c>
      <c r="E39" s="5" t="inlineStr">
        <is>
          <t>$15</t>
        </is>
      </c>
      <c r="F39" s="2" t="inlineStr">
        <is>
          <t>Stripe dispute fee (US) - verify.</t>
        </is>
      </c>
    </row>
    <row r="40">
      <c r="A40" s="5" t="inlineStr">
        <is>
          <t>Stripe fee, percentage</t>
        </is>
      </c>
      <c r="B40" s="13" t="n">
        <v>0.029</v>
      </c>
      <c r="C40" s="5" t="inlineStr">
        <is>
          <t>% of charge</t>
        </is>
      </c>
      <c r="D40" s="5" t="inlineStr">
        <is>
          <t>SOURCED</t>
        </is>
      </c>
      <c r="E40" s="5" t="inlineStr">
        <is>
          <t>2.9%</t>
        </is>
      </c>
      <c r="F40" s="2" t="inlineStr">
        <is>
          <t>Owner brief / Stripe standard US card rate.</t>
        </is>
      </c>
    </row>
    <row r="41">
      <c r="A41" s="5" t="inlineStr">
        <is>
          <t>Stripe fee, fixed</t>
        </is>
      </c>
      <c r="B41" s="16" t="n">
        <v>0.3</v>
      </c>
      <c r="C41" s="5" t="inlineStr">
        <is>
          <t>$ / order</t>
        </is>
      </c>
      <c r="D41" s="5" t="inlineStr">
        <is>
          <t>SOURCED</t>
        </is>
      </c>
      <c r="E41" s="5" t="inlineStr">
        <is>
          <t>$0.30</t>
        </is>
      </c>
      <c r="F41" s="2" t="inlineStr">
        <is>
          <t>Owner brief / Stripe standard US card rate.</t>
        </is>
      </c>
    </row>
    <row r="42">
      <c r="A42" s="5" t="inlineStr">
        <is>
          <t>OpenRouter credit-purchase fee on token spend</t>
        </is>
      </c>
      <c r="B42" s="13" t="n">
        <v>0.055</v>
      </c>
      <c r="C42" s="5" t="inlineStr">
        <is>
          <t>% of tokens</t>
        </is>
      </c>
      <c r="D42" s="5" t="inlineStr">
        <is>
          <t>ESTIMATE</t>
        </is>
      </c>
      <c r="E42" s="5" t="inlineStr">
        <is>
          <t>0-8%</t>
        </is>
      </c>
      <c r="F42" s="2" t="inlineStr">
        <is>
          <t>OpenRouter charges a fee when buying credits - verify.</t>
        </is>
      </c>
    </row>
    <row r="43">
      <c r="A43" s="5" t="inlineStr">
        <is>
          <t>Share of printed items where postage fee is charged</t>
        </is>
      </c>
      <c r="B43" s="13" t="n">
        <v>0.9</v>
      </c>
      <c r="C43" s="5" t="inlineStr">
        <is>
          <t>% of printed</t>
        </is>
      </c>
      <c r="D43" s="5" t="inlineStr">
        <is>
          <t>GUESS</t>
        </is>
      </c>
      <c r="E43" s="5" t="inlineStr">
        <is>
          <t>50%-100%</t>
        </is>
      </c>
      <c r="F43" s="2" t="inlineStr">
        <is>
          <t>Rest = free-shipping promos.</t>
        </is>
      </c>
    </row>
    <row r="45">
      <c r="A45" s="7" t="inlineStr">
        <is>
          <t>6. SKU table: launch prices, mix, print and shipping costs (ESTIMATES - verify against live printer price sheets)</t>
        </is>
      </c>
      <c r="B45" s="8" t="n"/>
      <c r="C45" s="8" t="n"/>
      <c r="D45" s="8" t="n"/>
      <c r="E45" s="8" t="n"/>
      <c r="F45" s="8" t="n"/>
    </row>
    <row r="46" ht="42" customHeight="1">
      <c r="A46" s="9" t="inlineStr">
        <is>
          <t>SKU</t>
        </is>
      </c>
      <c r="B46" s="9" t="inlineStr">
        <is>
          <t>Product line</t>
        </is>
      </c>
      <c r="C46" s="9" t="inlineStr">
        <is>
          <t>Format</t>
        </is>
      </c>
      <c r="D46" s="9" t="inlineStr">
        <is>
          <t>Printed? (1/0)</t>
        </is>
      </c>
      <c r="E46" s="9" t="inlineStr">
        <is>
          <t>List price ($)</t>
        </is>
      </c>
      <c r="F46" s="9" t="inlineStr">
        <is>
          <t>Postage fee charged ($)</t>
        </is>
      </c>
      <c r="G46" s="9" t="inlineStr">
        <is>
          <t>Mix (% of items)</t>
        </is>
      </c>
      <c r="H46" s="9" t="inlineStr">
        <is>
          <t>Print cost est. ($)</t>
        </is>
      </c>
      <c r="I46" s="9" t="inlineStr">
        <is>
          <t>Shipping cost est. ($)</t>
        </is>
      </c>
      <c r="J46" s="9" t="inlineStr">
        <is>
          <t>Fulfilment partner</t>
        </is>
      </c>
      <c r="K46" s="9" t="inlineStr">
        <is>
          <t>Pricing reasoning</t>
        </is>
      </c>
    </row>
    <row r="47">
      <c r="A47" s="5" t="inlineStr">
        <is>
          <t>Card - Digital e-card/PDF</t>
        </is>
      </c>
      <c r="B47" s="4" t="inlineStr">
        <is>
          <t>Card</t>
        </is>
      </c>
      <c r="C47" s="4" t="inlineStr">
        <is>
          <t>Digital</t>
        </is>
      </c>
      <c r="D47" s="14" t="n">
        <v>0</v>
      </c>
      <c r="E47" s="16" t="n">
        <v>3.99</v>
      </c>
      <c r="F47" s="16" t="n">
        <v>0</v>
      </c>
      <c r="G47" s="13" t="n">
        <v>0.14</v>
      </c>
      <c r="H47" s="16" t="n">
        <v>0</v>
      </c>
      <c r="I47" s="16" t="n">
        <v>0</v>
      </c>
      <c r="J47" s="4" t="inlineStr">
        <is>
          <t>None (instant delivery)</t>
        </is>
      </c>
      <c r="K47" s="2" t="inlineStr">
        <is>
          <t>Impulse price; near-pure margin, upsell path to print.</t>
        </is>
      </c>
    </row>
    <row r="48">
      <c r="A48" s="5" t="inlineStr">
        <is>
          <t>Card - Printed 5x7 folded</t>
        </is>
      </c>
      <c r="B48" s="4" t="inlineStr">
        <is>
          <t>Card</t>
        </is>
      </c>
      <c r="C48" s="4" t="inlineStr">
        <is>
          <t>Printed</t>
        </is>
      </c>
      <c r="D48" s="14" t="n">
        <v>1</v>
      </c>
      <c r="E48" s="16" t="n">
        <v>7.99</v>
      </c>
      <c r="F48" s="16" t="n">
        <v>2.99</v>
      </c>
      <c r="G48" s="13" t="n">
        <v>0.4</v>
      </c>
      <c r="H48" s="16" t="n">
        <v>3.25</v>
      </c>
      <c r="I48" s="16" t="n">
        <v>1.6</v>
      </c>
      <c r="J48" s="4" t="inlineStr">
        <is>
          <t>Prodigi / Gelato</t>
        </is>
      </c>
      <c r="K48" s="2" t="inlineStr">
        <is>
          <t>Retail premium cards sell $5-8; personalised justifies the top. Postage option $2.99 covers ~2x shipping cost.</t>
        </is>
      </c>
    </row>
    <row r="49">
      <c r="A49" s="5" t="inlineStr">
        <is>
          <t>Book - Digital flipbook/PDF</t>
        </is>
      </c>
      <c r="B49" s="4" t="inlineStr">
        <is>
          <t>Book</t>
        </is>
      </c>
      <c r="C49" s="4" t="inlineStr">
        <is>
          <t>Digital</t>
        </is>
      </c>
      <c r="D49" s="14" t="n">
        <v>0</v>
      </c>
      <c r="E49" s="16" t="n">
        <v>19.99</v>
      </c>
      <c r="F49" s="16" t="n">
        <v>0</v>
      </c>
      <c r="G49" s="13" t="n">
        <v>0.08</v>
      </c>
      <c r="H49" s="16" t="n">
        <v>0</v>
      </c>
      <c r="I49" s="16" t="n">
        <v>0</v>
      </c>
      <c r="J49" s="4" t="inlineStr">
        <is>
          <t>None (instant delivery)</t>
        </is>
      </c>
      <c r="K49" s="2" t="inlineStr">
        <is>
          <t>Anchors printed price at about half.</t>
        </is>
      </c>
    </row>
    <row r="50">
      <c r="A50" s="5" t="inlineStr">
        <is>
          <t>Book - Hardcover 8.5x8.5, 24pp</t>
        </is>
      </c>
      <c r="B50" s="4" t="inlineStr">
        <is>
          <t>Book</t>
        </is>
      </c>
      <c r="C50" s="4" t="inlineStr">
        <is>
          <t>Printed</t>
        </is>
      </c>
      <c r="D50" s="14" t="n">
        <v>1</v>
      </c>
      <c r="E50" s="16" t="n">
        <v>39</v>
      </c>
      <c r="F50" s="16" t="n">
        <v>5.99</v>
      </c>
      <c r="G50" s="13" t="n">
        <v>0.15</v>
      </c>
      <c r="H50" s="16" t="n">
        <v>12.5</v>
      </c>
      <c r="I50" s="16" t="n">
        <v>5.5</v>
      </c>
      <c r="J50" s="4" t="inlineStr">
        <is>
          <t>Lulu</t>
        </is>
      </c>
      <c r="K50" s="2" t="inlineStr">
        <is>
          <t>Personalised hardcovers sell ~$35-45. Lulu 24pp casewrap est ~$12.50.</t>
        </is>
      </c>
    </row>
    <row r="51">
      <c r="A51" s="5" t="inlineStr">
        <is>
          <t>Book - Hardcover 8.5x8.5, 32pp</t>
        </is>
      </c>
      <c r="B51" s="4" t="inlineStr">
        <is>
          <t>Book</t>
        </is>
      </c>
      <c r="C51" s="4" t="inlineStr">
        <is>
          <t>Printed</t>
        </is>
      </c>
      <c r="D51" s="14" t="n">
        <v>1</v>
      </c>
      <c r="E51" s="16" t="n">
        <v>49</v>
      </c>
      <c r="F51" s="16" t="n">
        <v>5.99</v>
      </c>
      <c r="G51" s="13" t="n">
        <v>0.23</v>
      </c>
      <c r="H51" s="16" t="n">
        <v>14.5</v>
      </c>
      <c r="I51" s="16" t="n">
        <v>6</v>
      </c>
      <c r="J51" s="4" t="inlineStr">
        <is>
          <t>Lulu</t>
        </is>
      </c>
      <c r="K51" s="2" t="inlineStr">
        <is>
          <t>+8 pages: +$2 print, +4 renders (~$0.5); +$10 price keeps margin %.</t>
        </is>
      </c>
    </row>
    <row r="52">
      <c r="A52" s="3" t="inlineStr">
        <is>
          <t>Mix check (must equal 100%)</t>
        </is>
      </c>
      <c r="G52" s="17">
        <f>SUM(G47:G51)</f>
        <v/>
      </c>
      <c r="H52" s="3">
        <f>IF(ABS(G52-1)&lt;0.0001,"OK","MIX MUST SUM TO 100%")</f>
        <v/>
      </c>
    </row>
    <row r="53">
      <c r="A53" s="2" t="inlineStr">
        <is>
          <t>Print/shipping costs are ESTIMATES from memory of public Lulu / Prodigi / Gelato calculators for US delivery. Verify on live sheets before launch. CMO copy tokens: {card_digital}, {card_printed}, {book_digital}, {book_24}, {book_32} map to the list prices above.</t>
        </is>
      </c>
    </row>
    <row r="55">
      <c r="A55" s="7" t="inlineStr">
        <is>
          <t>7. Marketing channels - from docs/cmo/channel-assumptions.csv (CMO; every value is a labelled GUESS). Paste new rows over these.</t>
        </is>
      </c>
      <c r="B55" s="8" t="n"/>
      <c r="C55" s="8" t="n"/>
      <c r="D55" s="8" t="n"/>
      <c r="E55" s="8" t="n"/>
      <c r="F55" s="8" t="n"/>
    </row>
    <row r="56" ht="42" customHeight="1">
      <c r="A56" s="9" t="inlineStr">
        <is>
          <t>Channel</t>
        </is>
      </c>
      <c r="B56" s="9" t="inlineStr">
        <is>
          <t>Monthly budget base ($)</t>
        </is>
      </c>
      <c r="C56" s="9" t="inlineStr">
        <is>
          <t>CPC low</t>
        </is>
      </c>
      <c r="D56" s="9" t="inlineStr">
        <is>
          <t>CPC base</t>
        </is>
      </c>
      <c r="E56" s="9" t="inlineStr">
        <is>
          <t>CPC high</t>
        </is>
      </c>
      <c r="F56" s="9" t="inlineStr">
        <is>
          <t>CTR base</t>
        </is>
      </c>
      <c r="G56" s="9" t="inlineStr">
        <is>
          <t>Visitor -&gt; sign-up</t>
        </is>
      </c>
      <c r="H56" s="9" t="inlineStr">
        <is>
          <t>Sign-up -&gt; purchase</t>
        </is>
      </c>
      <c r="I56" s="9" t="inlineStr">
        <is>
          <t>CAC base (formula)</t>
        </is>
      </c>
      <c r="J56" s="9" t="inlineStr">
        <is>
          <t>Budget share (formula)</t>
        </is>
      </c>
    </row>
    <row r="57">
      <c r="A57" s="6" t="inlineStr">
        <is>
          <t>meta_instagram_ads</t>
        </is>
      </c>
      <c r="B57" s="18" t="n">
        <v>2000</v>
      </c>
      <c r="C57" s="19" t="n">
        <v>0.55</v>
      </c>
      <c r="D57" s="19" t="n">
        <v>0.85</v>
      </c>
      <c r="E57" s="19" t="n">
        <v>1.4</v>
      </c>
      <c r="F57" s="20" t="n">
        <v>0.011</v>
      </c>
      <c r="G57" s="20" t="n">
        <v>0.07000000000000001</v>
      </c>
      <c r="H57" s="20" t="n">
        <v>0.14</v>
      </c>
      <c r="I57" s="21">
        <f>IFERROR(D57/(G57*H57),0)</f>
        <v/>
      </c>
      <c r="J57" s="22">
        <f>B57/SUM($B$57:$B$62)</f>
        <v/>
      </c>
    </row>
    <row r="58">
      <c r="A58" s="6" t="inlineStr">
        <is>
          <t>pinterest_ads</t>
        </is>
      </c>
      <c r="B58" s="18" t="n">
        <v>800</v>
      </c>
      <c r="C58" s="19" t="n">
        <v>0.3</v>
      </c>
      <c r="D58" s="19" t="n">
        <v>0.55</v>
      </c>
      <c r="E58" s="19" t="n">
        <v>0.95</v>
      </c>
      <c r="F58" s="20" t="n">
        <v>0.006</v>
      </c>
      <c r="G58" s="20" t="n">
        <v>0.06</v>
      </c>
      <c r="H58" s="20" t="n">
        <v>0.15</v>
      </c>
      <c r="I58" s="21">
        <f>IFERROR(D58/(G58*H58),0)</f>
        <v/>
      </c>
      <c r="J58" s="22">
        <f>B58/SUM($B$57:$B$62)</f>
        <v/>
      </c>
    </row>
    <row r="59">
      <c r="A59" s="6" t="inlineStr">
        <is>
          <t>google_search</t>
        </is>
      </c>
      <c r="B59" s="18" t="n">
        <v>1500</v>
      </c>
      <c r="C59" s="19" t="n">
        <v>0.9</v>
      </c>
      <c r="D59" s="19" t="n">
        <v>1.6</v>
      </c>
      <c r="E59" s="19" t="n">
        <v>2.8</v>
      </c>
      <c r="F59" s="20" t="n">
        <v>0.045</v>
      </c>
      <c r="G59" s="20" t="n">
        <v>0.09</v>
      </c>
      <c r="H59" s="20" t="n">
        <v>0.2</v>
      </c>
      <c r="I59" s="21">
        <f>IFERROR(D59/(G59*H59),0)</f>
        <v/>
      </c>
      <c r="J59" s="22">
        <f>B59/SUM($B$57:$B$62)</f>
        <v/>
      </c>
    </row>
    <row r="60">
      <c r="A60" s="6" t="inlineStr">
        <is>
          <t>tiktok_ads</t>
        </is>
      </c>
      <c r="B60" s="18" t="n">
        <v>600</v>
      </c>
      <c r="C60" s="19" t="n">
        <v>0.3</v>
      </c>
      <c r="D60" s="19" t="n">
        <v>0.6</v>
      </c>
      <c r="E60" s="19" t="n">
        <v>1.1</v>
      </c>
      <c r="F60" s="20" t="n">
        <v>0.008</v>
      </c>
      <c r="G60" s="20" t="n">
        <v>0.04</v>
      </c>
      <c r="H60" s="20" t="n">
        <v>0.09</v>
      </c>
      <c r="I60" s="21">
        <f>IFERROR(D60/(G60*H60),0)</f>
        <v/>
      </c>
      <c r="J60" s="22">
        <f>B60/SUM($B$57:$B$62)</f>
        <v/>
      </c>
    </row>
    <row r="61">
      <c r="A61" s="6" t="inlineStr">
        <is>
          <t>creators_affiliate</t>
        </is>
      </c>
      <c r="B61" s="18" t="n">
        <v>1000</v>
      </c>
      <c r="C61" s="19" t="n">
        <v>0.7</v>
      </c>
      <c r="D61" s="19" t="n">
        <v>1.2</v>
      </c>
      <c r="E61" s="19" t="n">
        <v>2.2</v>
      </c>
      <c r="F61" s="20" t="n">
        <v>0.02</v>
      </c>
      <c r="G61" s="20" t="n">
        <v>0.08</v>
      </c>
      <c r="H61" s="20" t="n">
        <v>0.16</v>
      </c>
      <c r="I61" s="21">
        <f>IFERROR(D61/(G61*H61),0)</f>
        <v/>
      </c>
      <c r="J61" s="22">
        <f>B61/SUM($B$57:$B$62)</f>
        <v/>
      </c>
    </row>
    <row r="62">
      <c r="A62" s="6" t="inlineStr">
        <is>
          <t>occasion_seo_content</t>
        </is>
      </c>
      <c r="B62" s="18" t="n">
        <v>600</v>
      </c>
      <c r="C62" s="19" t="n">
        <v>0.2</v>
      </c>
      <c r="D62" s="19" t="n">
        <v>0.35</v>
      </c>
      <c r="E62" s="19" t="n">
        <v>0.7</v>
      </c>
      <c r="F62" s="20" t="n">
        <v>0.03</v>
      </c>
      <c r="G62" s="20" t="n">
        <v>0.07000000000000001</v>
      </c>
      <c r="H62" s="20" t="n">
        <v>0.15</v>
      </c>
      <c r="I62" s="21">
        <f>IFERROR(D62/(G62*H62),0)</f>
        <v/>
      </c>
      <c r="J62" s="22">
        <f>B62/SUM($B$57:$B$62)</f>
        <v/>
      </c>
    </row>
    <row r="63">
      <c r="A63" s="3" t="inlineStr">
        <is>
          <t>Total / check</t>
        </is>
      </c>
      <c r="B63" s="23">
        <f>SUM(B57:B62)</f>
        <v/>
      </c>
      <c r="J63" s="17">
        <f>SUM(J57:J62)</f>
        <v/>
      </c>
    </row>
    <row r="64">
      <c r="A64" s="2" t="inlineStr">
        <is>
          <t>Scenario: Low uses CPC high, Base uses CPC base, High uses CPC low. Channel conversion held constant across scenarios except the conversion lever. CMO notes: blended CAC ~$76 at base; SEO ~$33, TikTok ~$167. Sensible ranges: CPC $0.2-3.0; sign-up 3-10%; sign-up-&gt;purchase 8-20%.</t>
        </is>
      </c>
    </row>
    <row r="66">
      <c r="A66" s="7" t="inlineStr">
        <is>
          <t>8. Seasonality index by calendar month (1.00 = average; birthdays steady underneath)</t>
        </is>
      </c>
      <c r="B66" s="8" t="n"/>
      <c r="C66" s="8" t="n"/>
      <c r="D66" s="8" t="n"/>
      <c r="E66" s="8" t="n"/>
      <c r="F66" s="8" t="n"/>
    </row>
    <row r="67">
      <c r="A67" s="9" t="inlineStr">
        <is>
          <t>Calendar month</t>
        </is>
      </c>
      <c r="B67" s="9" t="inlineStr">
        <is>
          <t>Index</t>
        </is>
      </c>
      <c r="C67" s="9" t="inlineStr">
        <is>
          <t>Driver</t>
        </is>
      </c>
    </row>
    <row r="68">
      <c r="A68" s="5" t="inlineStr">
        <is>
          <t>Jan</t>
        </is>
      </c>
      <c r="B68" s="12" t="n">
        <v>0.7</v>
      </c>
      <c r="C68" s="2" t="inlineStr">
        <is>
          <t>Post-holiday trough; birthdays only</t>
        </is>
      </c>
    </row>
    <row r="69">
      <c r="A69" s="5" t="inlineStr">
        <is>
          <t>Feb</t>
        </is>
      </c>
      <c r="B69" s="12" t="n">
        <v>1.3</v>
      </c>
      <c r="C69" s="2" t="inlineStr">
        <is>
          <t>Valentine's Day</t>
        </is>
      </c>
    </row>
    <row r="70">
      <c r="A70" s="5" t="inlineStr">
        <is>
          <t>Mar</t>
        </is>
      </c>
      <c r="B70" s="12" t="n">
        <v>0.85</v>
      </c>
      <c r="C70" s="2" t="inlineStr">
        <is>
          <t>Birthdays; Easter lead</t>
        </is>
      </c>
    </row>
    <row r="71">
      <c r="A71" s="5" t="inlineStr">
        <is>
          <t>Apr</t>
        </is>
      </c>
      <c r="B71" s="12" t="n">
        <v>0.9</v>
      </c>
      <c r="C71" s="2" t="inlineStr">
        <is>
          <t>Easter / spring</t>
        </is>
      </c>
    </row>
    <row r="72">
      <c r="A72" s="5" t="inlineStr">
        <is>
          <t>May</t>
        </is>
      </c>
      <c r="B72" s="12" t="n">
        <v>1.4</v>
      </c>
      <c r="C72" s="2" t="inlineStr">
        <is>
          <t>Mother's Day</t>
        </is>
      </c>
    </row>
    <row r="73">
      <c r="A73" s="5" t="inlineStr">
        <is>
          <t>Jun</t>
        </is>
      </c>
      <c r="B73" s="12" t="n">
        <v>1.05</v>
      </c>
      <c r="C73" s="2" t="inlineStr">
        <is>
          <t>Father's Day, graduations, weddings</t>
        </is>
      </c>
    </row>
    <row r="74">
      <c r="A74" s="5" t="inlineStr">
        <is>
          <t>Jul</t>
        </is>
      </c>
      <c r="B74" s="12" t="n">
        <v>0.85</v>
      </c>
      <c r="C74" s="2" t="inlineStr">
        <is>
          <t>Summer trough</t>
        </is>
      </c>
    </row>
    <row r="75">
      <c r="A75" s="5" t="inlineStr">
        <is>
          <t>Aug</t>
        </is>
      </c>
      <c r="B75" s="12" t="n">
        <v>0.9</v>
      </c>
      <c r="C75" s="2" t="inlineStr">
        <is>
          <t>Back to school</t>
        </is>
      </c>
    </row>
    <row r="76">
      <c r="A76" s="5" t="inlineStr">
        <is>
          <t>Sep</t>
        </is>
      </c>
      <c r="B76" s="12" t="n">
        <v>0.95</v>
      </c>
      <c r="C76" s="2" t="inlineStr">
        <is>
          <t>Grandparents Day, holiday SEO build</t>
        </is>
      </c>
    </row>
    <row r="77">
      <c r="A77" s="5" t="inlineStr">
        <is>
          <t>Oct</t>
        </is>
      </c>
      <c r="B77" s="12" t="n">
        <v>1</v>
      </c>
      <c r="C77" s="2" t="inlineStr">
        <is>
          <t>Halloween, holiday lead</t>
        </is>
      </c>
    </row>
    <row r="78">
      <c r="A78" s="5" t="inlineStr">
        <is>
          <t>Nov</t>
        </is>
      </c>
      <c r="B78" s="12" t="n">
        <v>1.3</v>
      </c>
      <c r="C78" s="2" t="inlineStr">
        <is>
          <t>Holiday shopping starts</t>
        </is>
      </c>
    </row>
    <row r="79">
      <c r="A79" s="5" t="inlineStr">
        <is>
          <t>Dec</t>
        </is>
      </c>
      <c r="B79" s="12" t="n">
        <v>1.9</v>
      </c>
      <c r="C79" s="2" t="inlineStr">
        <is>
          <t>Christmas (print cutoffs ~Dec 15)</t>
        </is>
      </c>
    </row>
    <row r="80">
      <c r="A80" s="3" t="inlineStr">
        <is>
          <t>Average index</t>
        </is>
      </c>
      <c r="B80" s="24">
        <f>AVERAGE(B68:B79)</f>
        <v/>
      </c>
    </row>
    <row r="82">
      <c r="A82" s="7" t="inlineStr">
        <is>
          <t>9. Scenario levers (selector on the Scenarios sheet picks a column). CPC scenarios come from the CMO low/base/high CPC columns.</t>
        </is>
      </c>
      <c r="B82" s="8" t="n"/>
      <c r="C82" s="8" t="n"/>
      <c r="D82" s="8" t="n"/>
      <c r="E82" s="8" t="n"/>
      <c r="F82" s="8" t="n"/>
    </row>
    <row r="83">
      <c r="A83" s="9" t="inlineStr">
        <is>
          <t>Lever</t>
        </is>
      </c>
      <c r="B83" s="9" t="inlineStr">
        <is>
          <t>Applies to</t>
        </is>
      </c>
      <c r="C83" s="9" t="inlineStr">
        <is>
          <t>Low</t>
        </is>
      </c>
      <c r="D83" s="9" t="inlineStr">
        <is>
          <t>Base</t>
        </is>
      </c>
      <c r="E83" s="9" t="inlineStr">
        <is>
          <t>High</t>
        </is>
      </c>
      <c r="F83" s="9" t="inlineStr">
        <is>
          <t>Notes</t>
        </is>
      </c>
    </row>
    <row r="84">
      <c r="A84" s="5" t="inlineStr">
        <is>
          <t>Organic traffic multiplier</t>
        </is>
      </c>
      <c r="B84" s="2" t="inlineStr">
        <is>
          <t>organic + referral visits</t>
        </is>
      </c>
      <c r="C84" s="25" t="n">
        <v>0.6</v>
      </c>
      <c r="D84" s="25" t="n">
        <v>1</v>
      </c>
      <c r="E84" s="25" t="n">
        <v>1.5</v>
      </c>
      <c r="F84" s="2" t="inlineStr">
        <is>
          <t>GUESS</t>
        </is>
      </c>
    </row>
    <row r="85">
      <c r="A85" s="5" t="inlineStr">
        <is>
          <t>Purchase conversion multiplier</t>
        </is>
      </c>
      <c r="B85" s="2" t="inlineStr">
        <is>
          <t>sign-up/start -&gt; purchase</t>
        </is>
      </c>
      <c r="C85" s="25" t="n">
        <v>0.7</v>
      </c>
      <c r="D85" s="25" t="n">
        <v>1</v>
      </c>
      <c r="E85" s="25" t="n">
        <v>1.3</v>
      </c>
      <c r="F85" s="2" t="inlineStr">
        <is>
          <t>GUESS</t>
        </is>
      </c>
    </row>
    <row r="86">
      <c r="A86" s="5" t="inlineStr">
        <is>
          <t>Repeat purchase multiplier</t>
        </is>
      </c>
      <c r="B86" s="2" t="inlineStr">
        <is>
          <t>repeat orders</t>
        </is>
      </c>
      <c r="C86" s="25" t="n">
        <v>0.6</v>
      </c>
      <c r="D86" s="25" t="n">
        <v>1</v>
      </c>
      <c r="E86" s="25" t="n">
        <v>1.4</v>
      </c>
      <c r="F86" s="2" t="inlineStr">
        <is>
          <t>GUESS</t>
        </is>
      </c>
    </row>
    <row r="87">
      <c r="A87" s="5" t="inlineStr">
        <is>
          <t>Token cost multiplier</t>
        </is>
      </c>
      <c r="B87" s="2" t="inlineStr">
        <is>
          <t>all model costs</t>
        </is>
      </c>
      <c r="C87" s="25" t="n">
        <v>1.4</v>
      </c>
      <c r="D87" s="25" t="n">
        <v>1</v>
      </c>
      <c r="E87" s="25" t="n">
        <v>0.85</v>
      </c>
      <c r="F87" s="2" t="inlineStr">
        <is>
          <t>GUESS</t>
        </is>
      </c>
    </row>
    <row r="88">
      <c r="A88" s="5" t="inlineStr">
        <is>
          <t>Refund / reprint multiplier</t>
        </is>
      </c>
      <c r="B88" s="2" t="inlineStr">
        <is>
          <t>refund and reprint rates</t>
        </is>
      </c>
      <c r="C88" s="25" t="n">
        <v>1.5</v>
      </c>
      <c r="D88" s="25" t="n">
        <v>1</v>
      </c>
      <c r="E88" s="25" t="n">
        <v>0.7</v>
      </c>
      <c r="F88" s="2" t="inlineStr">
        <is>
          <t>GUESS</t>
        </is>
      </c>
    </row>
    <row r="89">
      <c r="A89" s="5" t="inlineStr">
        <is>
          <t>Marketing budget multiplier</t>
        </is>
      </c>
      <c r="B89" s="2" t="inlineStr">
        <is>
          <t>monthly budget</t>
        </is>
      </c>
      <c r="C89" s="25" t="n">
        <v>1</v>
      </c>
      <c r="D89" s="25" t="n">
        <v>1</v>
      </c>
      <c r="E89" s="25" t="n">
        <v>1</v>
      </c>
      <c r="F89" s="2" t="inlineStr">
        <is>
          <t>GUESS</t>
        </is>
      </c>
    </row>
    <row r="90">
      <c r="A90" s="5" t="inlineStr">
        <is>
          <t>Print + shipping cost multiplier</t>
        </is>
      </c>
      <c r="B90" s="2" t="inlineStr">
        <is>
          <t>printer and carrier costs</t>
        </is>
      </c>
      <c r="C90" s="25" t="n">
        <v>1.1</v>
      </c>
      <c r="D90" s="25" t="n">
        <v>1</v>
      </c>
      <c r="E90" s="25" t="n">
        <v>0.95</v>
      </c>
      <c r="F90" s="2" t="inlineStr">
        <is>
          <t>GUESS</t>
        </is>
      </c>
    </row>
    <row r="92">
      <c r="A92" s="7" t="inlineStr">
        <is>
          <t>10. Operating costs (monthly). Cost = fixed + variable per 1,000 units of driver</t>
        </is>
      </c>
      <c r="B92" s="8" t="n"/>
      <c r="C92" s="8" t="n"/>
      <c r="D92" s="8" t="n"/>
      <c r="E92" s="8" t="n"/>
      <c r="F92" s="8" t="n"/>
    </row>
    <row r="93" ht="55" customHeight="1">
      <c r="A93" s="9" t="inlineStr">
        <is>
          <t>Opex line</t>
        </is>
      </c>
      <c r="B93" s="9" t="inlineStr">
        <is>
          <t>Fixed ($/mo)</t>
        </is>
      </c>
      <c r="C93" s="9" t="inlineStr">
        <is>
          <t>Variable ($ per 1,000 units)</t>
        </is>
      </c>
      <c r="D93" s="9" t="inlineStr">
        <is>
          <t>Driver code (1 visits, 2 sign-ups, 3 orders, 4 revenue $)</t>
        </is>
      </c>
      <c r="E93" s="9" t="inlineStr">
        <is>
          <t>Status</t>
        </is>
      </c>
      <c r="F93" s="9" t="inlineStr">
        <is>
          <t>Basis</t>
        </is>
      </c>
    </row>
    <row r="94">
      <c r="A94" s="5" t="inlineStr">
        <is>
          <t>Vercel (Pro)</t>
        </is>
      </c>
      <c r="B94" s="16" t="n">
        <v>20</v>
      </c>
      <c r="C94" s="16" t="n">
        <v>0.5</v>
      </c>
      <c r="D94" s="14" t="n">
        <v>1</v>
      </c>
      <c r="E94" s="5" t="inlineStr">
        <is>
          <t>ESTIMATE</t>
        </is>
      </c>
      <c r="F94" s="2" t="inlineStr">
        <is>
          <t>Pro $20/seat; bandwidth overage grows with visits - verify plan.</t>
        </is>
      </c>
    </row>
    <row r="95">
      <c r="A95" s="5" t="inlineStr">
        <is>
          <t>Supabase (Pro + compute)</t>
        </is>
      </c>
      <c r="B95" s="16" t="n">
        <v>35</v>
      </c>
      <c r="C95" s="16" t="n">
        <v>20</v>
      </c>
      <c r="D95" s="14" t="n">
        <v>2</v>
      </c>
      <c r="E95" s="5" t="inlineStr">
        <is>
          <t>ESTIMATE</t>
        </is>
      </c>
      <c r="F95" s="2" t="inlineStr">
        <is>
          <t>Pro $25 + small compute add-on; storage grows with sign-ups.</t>
        </is>
      </c>
    </row>
    <row r="96">
      <c r="A96" s="5" t="inlineStr">
        <is>
          <t>Resend (email)</t>
        </is>
      </c>
      <c r="B96" s="16" t="n">
        <v>20</v>
      </c>
      <c r="C96" s="16" t="n">
        <v>0.5</v>
      </c>
      <c r="D96" s="14" t="n">
        <v>3</v>
      </c>
      <c r="E96" s="5" t="inlineStr">
        <is>
          <t>ESTIMATE</t>
        </is>
      </c>
      <c r="F96" s="2" t="inlineStr">
        <is>
          <t>Pro plan $20 up to 50k emails.</t>
        </is>
      </c>
    </row>
    <row r="97">
      <c r="A97" s="5" t="inlineStr">
        <is>
          <t>Domain</t>
        </is>
      </c>
      <c r="B97" s="16" t="n">
        <v>1.67</v>
      </c>
      <c r="C97" s="16" t="n">
        <v>0</v>
      </c>
      <c r="D97" s="14" t="n">
        <v>1</v>
      </c>
      <c r="E97" s="5" t="inlineStr">
        <is>
          <t>ESTIMATE</t>
        </is>
      </c>
      <c r="F97" s="2" t="inlineStr">
        <is>
          <t>~$20/yr amortised.</t>
        </is>
      </c>
    </row>
    <row r="98">
      <c r="A98" s="5" t="inlineStr">
        <is>
          <t>Stripe Tax</t>
        </is>
      </c>
      <c r="B98" s="16" t="n">
        <v>0</v>
      </c>
      <c r="C98" s="16" t="n">
        <v>3</v>
      </c>
      <c r="D98" s="14" t="n">
        <v>4</v>
      </c>
      <c r="E98" s="5" t="inlineStr">
        <is>
          <t>ESTIMATE</t>
        </is>
      </c>
      <c r="F98" s="2" t="inlineStr">
        <is>
          <t>0.5% per transaction x ~60% of sales in registered states = $3 per $1,000. Tax collected is pass-through.</t>
        </is>
      </c>
    </row>
    <row r="99">
      <c r="A99" s="5" t="inlineStr">
        <is>
          <t>Monitoring (Sentry + uptime)</t>
        </is>
      </c>
      <c r="B99" s="16" t="n">
        <v>26</v>
      </c>
      <c r="C99" s="16" t="n">
        <v>0</v>
      </c>
      <c r="D99" s="14" t="n">
        <v>1</v>
      </c>
      <c r="E99" s="5" t="inlineStr">
        <is>
          <t>ESTIMATE</t>
        </is>
      </c>
      <c r="F99" s="2" t="inlineStr">
        <is>
          <t>Sentry Team ~$26.</t>
        </is>
      </c>
    </row>
    <row r="100">
      <c r="A100" s="5" t="inlineStr">
        <is>
          <t>OpenRouter base (dev/QA/pipeline testing)</t>
        </is>
      </c>
      <c r="B100" s="16" t="n">
        <v>75</v>
      </c>
      <c r="C100" s="16" t="n">
        <v>0</v>
      </c>
      <c r="D100" s="14" t="n">
        <v>1</v>
      </c>
      <c r="E100" s="5" t="inlineStr">
        <is>
          <t>GUESS</t>
        </is>
      </c>
      <c r="F100" s="2" t="inlineStr">
        <is>
          <t>Non-customer token spend: regression tests, prompt tuning.</t>
        </is>
      </c>
    </row>
    <row r="101">
      <c r="A101" s="5" t="inlineStr">
        <is>
          <t>Design and dev tools</t>
        </is>
      </c>
      <c r="B101" s="16" t="n">
        <v>40</v>
      </c>
      <c r="C101" s="16" t="n">
        <v>0</v>
      </c>
      <c r="D101" s="14" t="n">
        <v>1</v>
      </c>
      <c r="E101" s="5" t="inlineStr">
        <is>
          <t>GUESS</t>
        </is>
      </c>
      <c r="F101" s="2" t="inlineStr">
        <is>
          <t>Figma, fonts, misc SaaS.</t>
        </is>
      </c>
    </row>
    <row r="102">
      <c r="A102" s="5" t="inlineStr">
        <is>
          <t>Legal / LLC upkeep and accounting</t>
        </is>
      </c>
      <c r="B102" s="16" t="n">
        <v>150</v>
      </c>
      <c r="C102" s="16" t="n">
        <v>0</v>
      </c>
      <c r="D102" s="14" t="n">
        <v>1</v>
      </c>
      <c r="E102" s="5" t="inlineStr">
        <is>
          <t>GUESS</t>
        </is>
      </c>
      <c r="F102" s="2" t="inlineStr">
        <is>
          <t>Registered agent, bookkeeping, annual report amortised.</t>
        </is>
      </c>
    </row>
    <row r="103">
      <c r="A103" s="5" t="inlineStr">
        <is>
          <t>Insurance (GL + cyber)</t>
        </is>
      </c>
      <c r="B103" s="16" t="n">
        <v>95</v>
      </c>
      <c r="C103" s="16" t="n">
        <v>0</v>
      </c>
      <c r="D103" s="14" t="n">
        <v>1</v>
      </c>
      <c r="E103" s="5" t="inlineStr">
        <is>
          <t>GUESS</t>
        </is>
      </c>
      <c r="F103" s="2" t="inlineStr">
        <is>
          <t>Small-business package; quote needed.</t>
        </is>
      </c>
    </row>
    <row r="104">
      <c r="A104" s="5" t="inlineStr">
        <is>
          <t>Support (helpdesk + hourly help)</t>
        </is>
      </c>
      <c r="B104" s="16" t="n">
        <v>25</v>
      </c>
      <c r="C104" s="16" t="n">
        <v>900</v>
      </c>
      <c r="D104" s="14" t="n">
        <v>3</v>
      </c>
      <c r="E104" s="5" t="inlineStr">
        <is>
          <t>GUESS</t>
        </is>
      </c>
      <c r="F104" s="2" t="inlineStr">
        <is>
          <t>Helpdesk $25 + ~$0.90 of support labour per order.</t>
        </is>
      </c>
    </row>
    <row r="105">
      <c r="A105" s="5" t="inlineStr">
        <is>
          <t>Founder / contractor pay (optional)</t>
        </is>
      </c>
      <c r="B105" s="16" t="n">
        <v>0</v>
      </c>
      <c r="C105" s="16" t="n">
        <v>0</v>
      </c>
      <c r="D105" s="14" t="n">
        <v>1</v>
      </c>
      <c r="E105" s="5" t="inlineStr">
        <is>
          <t>GUESS</t>
        </is>
      </c>
      <c r="F105" s="2" t="inlineStr">
        <is>
          <t>Zero by default; enter pay to see a sustainable-business break-even.</t>
        </is>
      </c>
    </row>
    <row r="107">
      <c r="A107" s="7" t="inlineStr">
        <is>
          <t>11. One-time launch costs (charged in month 1)</t>
        </is>
      </c>
      <c r="B107" s="8" t="n"/>
      <c r="C107" s="8" t="n"/>
      <c r="D107" s="8" t="n"/>
      <c r="E107" s="8" t="n"/>
      <c r="F107" s="8" t="n"/>
    </row>
    <row r="108">
      <c r="A108" s="9" t="inlineStr">
        <is>
          <t>Assumption</t>
        </is>
      </c>
      <c r="B108" s="9" t="inlineStr">
        <is>
          <t>Value</t>
        </is>
      </c>
      <c r="C108" s="9" t="inlineStr">
        <is>
          <t>Unit</t>
        </is>
      </c>
      <c r="D108" s="9" t="inlineStr">
        <is>
          <t>Status</t>
        </is>
      </c>
      <c r="E108" s="9" t="inlineStr">
        <is>
          <t>Sensible range</t>
        </is>
      </c>
      <c r="F108" s="9" t="inlineStr">
        <is>
          <t>Notes / source</t>
        </is>
      </c>
    </row>
    <row r="109">
      <c r="A109" s="5" t="inlineStr">
        <is>
          <t>LLC formation, ToS/privacy, COPPA review</t>
        </is>
      </c>
      <c r="B109" s="11" t="n">
        <v>4000</v>
      </c>
      <c r="C109" s="5" t="inlineStr">
        <is>
          <t>$</t>
        </is>
      </c>
      <c r="D109" s="5" t="inlineStr">
        <is>
          <t>GUESS</t>
        </is>
      </c>
      <c r="E109" s="5" t="inlineStr">
        <is>
          <t>$1.5k-10k</t>
        </is>
      </c>
      <c r="F109" s="2" t="inlineStr">
        <is>
          <t>PLAN.md flags a real privacy review before going live.</t>
        </is>
      </c>
    </row>
    <row r="110">
      <c r="A110" s="5" t="inlineStr">
        <is>
          <t>Trademark / brand filing</t>
        </is>
      </c>
      <c r="B110" s="11" t="n">
        <v>500</v>
      </c>
      <c r="C110" s="5" t="inlineStr">
        <is>
          <t>$</t>
        </is>
      </c>
      <c r="D110" s="5" t="inlineStr">
        <is>
          <t>GUESS</t>
        </is>
      </c>
      <c r="E110" s="5" t="inlineStr">
        <is>
          <t>$0-1.5k</t>
        </is>
      </c>
      <c r="F110" s="2" t="inlineStr"/>
    </row>
    <row r="111">
      <c r="A111" s="5" t="inlineStr">
        <is>
          <t>Printed sample proofs and launch assets</t>
        </is>
      </c>
      <c r="B111" s="11" t="n">
        <v>1500</v>
      </c>
      <c r="C111" s="5" t="inlineStr">
        <is>
          <t>$</t>
        </is>
      </c>
      <c r="D111" s="5" t="inlineStr">
        <is>
          <t>GUESS</t>
        </is>
      </c>
      <c r="E111" s="5" t="inlineStr">
        <is>
          <t>$500-3k</t>
        </is>
      </c>
      <c r="F111" s="2" t="inlineStr">
        <is>
          <t>Test orders on Lulu/Prodigi.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>
        <is>
          <t>Unit Economics - contribution margin per item by SKU (selected scenario)</t>
        </is>
      </c>
    </row>
    <row r="2">
      <c r="A2" s="2" t="inlineStr">
        <is>
          <t>Per item, single-item order basis. Print/shipping are ESTIMATES. Token cost includes scenario multiplier and OpenRouter fee. Stripe fixed fee spread over items per order.</t>
        </is>
      </c>
    </row>
    <row r="4" ht="42" customHeight="1">
      <c r="A4" s="9" t="inlineStr">
        <is>
          <t>SKU</t>
        </is>
      </c>
      <c r="B4" s="9" t="inlineStr">
        <is>
          <t>List price</t>
        </is>
      </c>
      <c r="C4" s="9" t="inlineStr">
        <is>
          <t>Postage revenue</t>
        </is>
      </c>
      <c r="D4" s="9" t="inlineStr">
        <is>
          <t>Gross revenue</t>
        </is>
      </c>
      <c r="E4" s="9" t="inlineStr">
        <is>
          <t>Refund allowance</t>
        </is>
      </c>
      <c r="F4" s="9" t="inlineStr">
        <is>
          <t>Net revenue</t>
        </is>
      </c>
      <c r="G4" s="9" t="inlineStr">
        <is>
          <t>Token cost</t>
        </is>
      </c>
      <c r="H4" s="9" t="inlineStr">
        <is>
          <t>Print cost</t>
        </is>
      </c>
      <c r="I4" s="9" t="inlineStr">
        <is>
          <t>Shipping cost</t>
        </is>
      </c>
      <c r="J4" s="9" t="inlineStr">
        <is>
          <t>Reprint allowance</t>
        </is>
      </c>
      <c r="K4" s="9" t="inlineStr">
        <is>
          <t>Stripe fee</t>
        </is>
      </c>
      <c r="L4" s="9" t="inlineStr">
        <is>
          <t>Dispute allowance</t>
        </is>
      </c>
      <c r="M4" s="9" t="inlineStr">
        <is>
          <t>Total variable cost</t>
        </is>
      </c>
      <c r="N4" s="9" t="inlineStr">
        <is>
          <t>Contribution margin $</t>
        </is>
      </c>
      <c r="O4" s="9" t="inlineStr">
        <is>
          <t>Contribution margin %</t>
        </is>
      </c>
    </row>
    <row r="5">
      <c r="A5" s="5">
        <f>Inputs!A47</f>
        <v/>
      </c>
      <c r="B5" s="21">
        <f>Inputs!E47</f>
        <v/>
      </c>
      <c r="C5" s="21">
        <f>Inputs!F47*Inputs!D47*Inputs!$B$43</f>
        <v/>
      </c>
      <c r="D5" s="21">
        <f>B5+C5</f>
        <v/>
      </c>
      <c r="E5" s="21">
        <f>D5*Inputs!$B$36*Scenarios!$B$11</f>
        <v/>
      </c>
      <c r="F5" s="21">
        <f>D5-E5</f>
        <v/>
      </c>
      <c r="G5" s="21">
        <f>'Model Costs'!J27*Scenarios!$B$10*(1+Inputs!$B$42)</f>
        <v/>
      </c>
      <c r="H5" s="21">
        <f>Inputs!H47*Inputs!D47*Scenarios!$B$13</f>
        <v/>
      </c>
      <c r="I5" s="21">
        <f>Inputs!I47*Inputs!D47*Scenarios!$B$13</f>
        <v/>
      </c>
      <c r="J5" s="21">
        <f>(H5+I5)*Inputs!$B$37*Scenarios!$B$11</f>
        <v/>
      </c>
      <c r="K5" s="21">
        <f>D5*Inputs!$B$40+Inputs!$B$41/Inputs!$B$9</f>
        <v/>
      </c>
      <c r="L5" s="21">
        <f>Inputs!$B$38*Inputs!$B$39/Inputs!$B$9</f>
        <v/>
      </c>
      <c r="M5" s="21">
        <f>SUM(G5:L5)</f>
        <v/>
      </c>
      <c r="N5" s="26">
        <f>F5-M5</f>
        <v/>
      </c>
      <c r="O5" s="22">
        <f>IFERROR(N5/F5,0)</f>
        <v/>
      </c>
    </row>
    <row r="6">
      <c r="A6" s="5">
        <f>Inputs!A48</f>
        <v/>
      </c>
      <c r="B6" s="21">
        <f>Inputs!E48</f>
        <v/>
      </c>
      <c r="C6" s="21">
        <f>Inputs!F48*Inputs!D48*Inputs!$B$43</f>
        <v/>
      </c>
      <c r="D6" s="21">
        <f>B6+C6</f>
        <v/>
      </c>
      <c r="E6" s="21">
        <f>D6*Inputs!$B$36*Scenarios!$B$11</f>
        <v/>
      </c>
      <c r="F6" s="21">
        <f>D6-E6</f>
        <v/>
      </c>
      <c r="G6" s="21">
        <f>'Model Costs'!J28*Scenarios!$B$10*(1+Inputs!$B$42)</f>
        <v/>
      </c>
      <c r="H6" s="21">
        <f>Inputs!H48*Inputs!D48*Scenarios!$B$13</f>
        <v/>
      </c>
      <c r="I6" s="21">
        <f>Inputs!I48*Inputs!D48*Scenarios!$B$13</f>
        <v/>
      </c>
      <c r="J6" s="21">
        <f>(H6+I6)*Inputs!$B$37*Scenarios!$B$11</f>
        <v/>
      </c>
      <c r="K6" s="21">
        <f>D6*Inputs!$B$40+Inputs!$B$41/Inputs!$B$9</f>
        <v/>
      </c>
      <c r="L6" s="21">
        <f>Inputs!$B$38*Inputs!$B$39/Inputs!$B$9</f>
        <v/>
      </c>
      <c r="M6" s="21">
        <f>SUM(G6:L6)</f>
        <v/>
      </c>
      <c r="N6" s="26">
        <f>F6-M6</f>
        <v/>
      </c>
      <c r="O6" s="22">
        <f>IFERROR(N6/F6,0)</f>
        <v/>
      </c>
    </row>
    <row r="7">
      <c r="A7" s="5">
        <f>Inputs!A49</f>
        <v/>
      </c>
      <c r="B7" s="21">
        <f>Inputs!E49</f>
        <v/>
      </c>
      <c r="C7" s="21">
        <f>Inputs!F49*Inputs!D49*Inputs!$B$43</f>
        <v/>
      </c>
      <c r="D7" s="21">
        <f>B7+C7</f>
        <v/>
      </c>
      <c r="E7" s="21">
        <f>D7*Inputs!$B$36*Scenarios!$B$11</f>
        <v/>
      </c>
      <c r="F7" s="21">
        <f>D7-E7</f>
        <v/>
      </c>
      <c r="G7" s="21">
        <f>'Model Costs'!J29*Scenarios!$B$10*(1+Inputs!$B$42)</f>
        <v/>
      </c>
      <c r="H7" s="21">
        <f>Inputs!H49*Inputs!D49*Scenarios!$B$13</f>
        <v/>
      </c>
      <c r="I7" s="21">
        <f>Inputs!I49*Inputs!D49*Scenarios!$B$13</f>
        <v/>
      </c>
      <c r="J7" s="21">
        <f>(H7+I7)*Inputs!$B$37*Scenarios!$B$11</f>
        <v/>
      </c>
      <c r="K7" s="21">
        <f>D7*Inputs!$B$40+Inputs!$B$41/Inputs!$B$9</f>
        <v/>
      </c>
      <c r="L7" s="21">
        <f>Inputs!$B$38*Inputs!$B$39/Inputs!$B$9</f>
        <v/>
      </c>
      <c r="M7" s="21">
        <f>SUM(G7:L7)</f>
        <v/>
      </c>
      <c r="N7" s="26">
        <f>F7-M7</f>
        <v/>
      </c>
      <c r="O7" s="22">
        <f>IFERROR(N7/F7,0)</f>
        <v/>
      </c>
    </row>
    <row r="8">
      <c r="A8" s="5">
        <f>Inputs!A50</f>
        <v/>
      </c>
      <c r="B8" s="21">
        <f>Inputs!E50</f>
        <v/>
      </c>
      <c r="C8" s="21">
        <f>Inputs!F50*Inputs!D50*Inputs!$B$43</f>
        <v/>
      </c>
      <c r="D8" s="21">
        <f>B8+C8</f>
        <v/>
      </c>
      <c r="E8" s="21">
        <f>D8*Inputs!$B$36*Scenarios!$B$11</f>
        <v/>
      </c>
      <c r="F8" s="21">
        <f>D8-E8</f>
        <v/>
      </c>
      <c r="G8" s="21">
        <f>'Model Costs'!J30*Scenarios!$B$10*(1+Inputs!$B$42)</f>
        <v/>
      </c>
      <c r="H8" s="21">
        <f>Inputs!H50*Inputs!D50*Scenarios!$B$13</f>
        <v/>
      </c>
      <c r="I8" s="21">
        <f>Inputs!I50*Inputs!D50*Scenarios!$B$13</f>
        <v/>
      </c>
      <c r="J8" s="21">
        <f>(H8+I8)*Inputs!$B$37*Scenarios!$B$11</f>
        <v/>
      </c>
      <c r="K8" s="21">
        <f>D8*Inputs!$B$40+Inputs!$B$41/Inputs!$B$9</f>
        <v/>
      </c>
      <c r="L8" s="21">
        <f>Inputs!$B$38*Inputs!$B$39/Inputs!$B$9</f>
        <v/>
      </c>
      <c r="M8" s="21">
        <f>SUM(G8:L8)</f>
        <v/>
      </c>
      <c r="N8" s="26">
        <f>F8-M8</f>
        <v/>
      </c>
      <c r="O8" s="22">
        <f>IFERROR(N8/F8,0)</f>
        <v/>
      </c>
    </row>
    <row r="9">
      <c r="A9" s="5">
        <f>Inputs!A51</f>
        <v/>
      </c>
      <c r="B9" s="21">
        <f>Inputs!E51</f>
        <v/>
      </c>
      <c r="C9" s="21">
        <f>Inputs!F51*Inputs!D51*Inputs!$B$43</f>
        <v/>
      </c>
      <c r="D9" s="21">
        <f>B9+C9</f>
        <v/>
      </c>
      <c r="E9" s="21">
        <f>D9*Inputs!$B$36*Scenarios!$B$11</f>
        <v/>
      </c>
      <c r="F9" s="21">
        <f>D9-E9</f>
        <v/>
      </c>
      <c r="G9" s="21">
        <f>'Model Costs'!J31*Scenarios!$B$10*(1+Inputs!$B$42)</f>
        <v/>
      </c>
      <c r="H9" s="21">
        <f>Inputs!H51*Inputs!D51*Scenarios!$B$13</f>
        <v/>
      </c>
      <c r="I9" s="21">
        <f>Inputs!I51*Inputs!D51*Scenarios!$B$13</f>
        <v/>
      </c>
      <c r="J9" s="21">
        <f>(H9+I9)*Inputs!$B$37*Scenarios!$B$11</f>
        <v/>
      </c>
      <c r="K9" s="21">
        <f>D9*Inputs!$B$40+Inputs!$B$41/Inputs!$B$9</f>
        <v/>
      </c>
      <c r="L9" s="21">
        <f>Inputs!$B$38*Inputs!$B$39/Inputs!$B$9</f>
        <v/>
      </c>
      <c r="M9" s="21">
        <f>SUM(G9:L9)</f>
        <v/>
      </c>
      <c r="N9" s="26">
        <f>F9-M9</f>
        <v/>
      </c>
      <c r="O9" s="22">
        <f>IFERROR(N9/F9,0)</f>
        <v/>
      </c>
    </row>
    <row r="10">
      <c r="A10" s="3" t="inlineStr">
        <is>
          <t>Blended (mix-weighted) per item</t>
        </is>
      </c>
      <c r="B10" s="26">
        <f>SUMPRODUCT(Inputs!$G$47:$G$51,B5:B9)</f>
        <v/>
      </c>
      <c r="C10" s="26">
        <f>SUMPRODUCT(Inputs!$G$47:$G$51,C5:C9)</f>
        <v/>
      </c>
      <c r="D10" s="26">
        <f>SUMPRODUCT(Inputs!$G$47:$G$51,D5:D9)</f>
        <v/>
      </c>
      <c r="E10" s="26">
        <f>SUMPRODUCT(Inputs!$G$47:$G$51,E5:E9)</f>
        <v/>
      </c>
      <c r="F10" s="26">
        <f>SUMPRODUCT(Inputs!$G$47:$G$51,F5:F9)</f>
        <v/>
      </c>
      <c r="G10" s="26">
        <f>SUMPRODUCT(Inputs!$G$47:$G$51,G5:G9)</f>
        <v/>
      </c>
      <c r="H10" s="26">
        <f>SUMPRODUCT(Inputs!$G$47:$G$51,H5:H9)</f>
        <v/>
      </c>
      <c r="I10" s="26">
        <f>SUMPRODUCT(Inputs!$G$47:$G$51,I5:I9)</f>
        <v/>
      </c>
      <c r="J10" s="26">
        <f>SUMPRODUCT(Inputs!$G$47:$G$51,J5:J9)</f>
        <v/>
      </c>
      <c r="K10" s="26">
        <f>SUMPRODUCT(Inputs!$G$47:$G$51,K5:K9)</f>
        <v/>
      </c>
      <c r="L10" s="26">
        <f>SUMPRODUCT(Inputs!$G$47:$G$51,L5:L9)</f>
        <v/>
      </c>
      <c r="M10" s="26">
        <f>SUMPRODUCT(Inputs!$G$47:$G$51,M5:M9)</f>
        <v/>
      </c>
      <c r="N10" s="26">
        <f>SUMPRODUCT(Inputs!$G$47:$G$51,N5:N9)</f>
        <v/>
      </c>
      <c r="O10" s="17">
        <f>IFERROR(N10/F10,0)</f>
        <v/>
      </c>
    </row>
    <row r="13">
      <c r="A13" s="7" t="inlineStr">
        <is>
          <t>Paid channels in the selected scenario (CPC: Low scenario = CMO high CPC, High scenario = CMO low CPC)</t>
        </is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</row>
    <row r="14" ht="42" customHeight="1">
      <c r="A14" s="9" t="inlineStr">
        <is>
          <t>Channel</t>
        </is>
      </c>
      <c r="B14" s="9" t="inlineStr">
        <is>
          <t>Budget share</t>
        </is>
      </c>
      <c r="C14" s="9" t="inlineStr">
        <is>
          <t>Active CPC ($)</t>
        </is>
      </c>
      <c r="D14" s="9" t="inlineStr">
        <is>
          <t>CTR</t>
        </is>
      </c>
      <c r="E14" s="9" t="inlineStr">
        <is>
          <t>Visitor -&gt; sign-up</t>
        </is>
      </c>
      <c r="F14" s="9" t="inlineStr">
        <is>
          <t>Sign-up -&gt; purchase</t>
        </is>
      </c>
      <c r="G14" s="9" t="inlineStr">
        <is>
          <t>CAC ($ per customer)</t>
        </is>
      </c>
      <c r="H14" s="9" t="inlineStr">
        <is>
          <t>Visitor -&gt; customer</t>
        </is>
      </c>
      <c r="I14" s="9" t="inlineStr">
        <is>
          <t>Orders to repay CAC</t>
        </is>
      </c>
    </row>
    <row r="15">
      <c r="A15" s="5">
        <f>Inputs!A57</f>
        <v/>
      </c>
      <c r="B15" s="22">
        <f>Inputs!J57</f>
        <v/>
      </c>
      <c r="C15" s="21">
        <f>INDEX(Inputs!$C$57:$E$57,4-Scenarios!$B$4)</f>
        <v/>
      </c>
      <c r="D15" s="22">
        <f>Inputs!F57</f>
        <v/>
      </c>
      <c r="E15" s="22">
        <f>Inputs!G57</f>
        <v/>
      </c>
      <c r="F15" s="22">
        <f>Inputs!H57*Scenarios!$B$8</f>
        <v/>
      </c>
      <c r="G15" s="21">
        <f>IFERROR(C15/(E15*F15),0)</f>
        <v/>
      </c>
      <c r="H15" s="27">
        <f>E15*F15</f>
        <v/>
      </c>
      <c r="I15" s="28">
        <f>IFERROR(G15/$N$10/Inputs!$B$9,0)</f>
        <v/>
      </c>
    </row>
    <row r="16">
      <c r="A16" s="5">
        <f>Inputs!A58</f>
        <v/>
      </c>
      <c r="B16" s="22">
        <f>Inputs!J58</f>
        <v/>
      </c>
      <c r="C16" s="21">
        <f>INDEX(Inputs!$C$58:$E$58,4-Scenarios!$B$4)</f>
        <v/>
      </c>
      <c r="D16" s="22">
        <f>Inputs!F58</f>
        <v/>
      </c>
      <c r="E16" s="22">
        <f>Inputs!G58</f>
        <v/>
      </c>
      <c r="F16" s="22">
        <f>Inputs!H58*Scenarios!$B$8</f>
        <v/>
      </c>
      <c r="G16" s="21">
        <f>IFERROR(C16/(E16*F16),0)</f>
        <v/>
      </c>
      <c r="H16" s="27">
        <f>E16*F16</f>
        <v/>
      </c>
      <c r="I16" s="28">
        <f>IFERROR(G16/$N$10/Inputs!$B$9,0)</f>
        <v/>
      </c>
    </row>
    <row r="17">
      <c r="A17" s="5">
        <f>Inputs!A59</f>
        <v/>
      </c>
      <c r="B17" s="22">
        <f>Inputs!J59</f>
        <v/>
      </c>
      <c r="C17" s="21">
        <f>INDEX(Inputs!$C$59:$E$59,4-Scenarios!$B$4)</f>
        <v/>
      </c>
      <c r="D17" s="22">
        <f>Inputs!F59</f>
        <v/>
      </c>
      <c r="E17" s="22">
        <f>Inputs!G59</f>
        <v/>
      </c>
      <c r="F17" s="22">
        <f>Inputs!H59*Scenarios!$B$8</f>
        <v/>
      </c>
      <c r="G17" s="21">
        <f>IFERROR(C17/(E17*F17),0)</f>
        <v/>
      </c>
      <c r="H17" s="27">
        <f>E17*F17</f>
        <v/>
      </c>
      <c r="I17" s="28">
        <f>IFERROR(G17/$N$10/Inputs!$B$9,0)</f>
        <v/>
      </c>
    </row>
    <row r="18">
      <c r="A18" s="5">
        <f>Inputs!A60</f>
        <v/>
      </c>
      <c r="B18" s="22">
        <f>Inputs!J60</f>
        <v/>
      </c>
      <c r="C18" s="21">
        <f>INDEX(Inputs!$C$60:$E$60,4-Scenarios!$B$4)</f>
        <v/>
      </c>
      <c r="D18" s="22">
        <f>Inputs!F60</f>
        <v/>
      </c>
      <c r="E18" s="22">
        <f>Inputs!G60</f>
        <v/>
      </c>
      <c r="F18" s="22">
        <f>Inputs!H60*Scenarios!$B$8</f>
        <v/>
      </c>
      <c r="G18" s="21">
        <f>IFERROR(C18/(E18*F18),0)</f>
        <v/>
      </c>
      <c r="H18" s="27">
        <f>E18*F18</f>
        <v/>
      </c>
      <c r="I18" s="28">
        <f>IFERROR(G18/$N$10/Inputs!$B$9,0)</f>
        <v/>
      </c>
    </row>
    <row r="19">
      <c r="A19" s="5">
        <f>Inputs!A61</f>
        <v/>
      </c>
      <c r="B19" s="22">
        <f>Inputs!J61</f>
        <v/>
      </c>
      <c r="C19" s="21">
        <f>INDEX(Inputs!$C$61:$E$61,4-Scenarios!$B$4)</f>
        <v/>
      </c>
      <c r="D19" s="22">
        <f>Inputs!F61</f>
        <v/>
      </c>
      <c r="E19" s="22">
        <f>Inputs!G61</f>
        <v/>
      </c>
      <c r="F19" s="22">
        <f>Inputs!H61*Scenarios!$B$8</f>
        <v/>
      </c>
      <c r="G19" s="21">
        <f>IFERROR(C19/(E19*F19),0)</f>
        <v/>
      </c>
      <c r="H19" s="27">
        <f>E19*F19</f>
        <v/>
      </c>
      <c r="I19" s="28">
        <f>IFERROR(G19/$N$10/Inputs!$B$9,0)</f>
        <v/>
      </c>
    </row>
    <row r="20">
      <c r="A20" s="5">
        <f>Inputs!A62</f>
        <v/>
      </c>
      <c r="B20" s="22">
        <f>Inputs!J62</f>
        <v/>
      </c>
      <c r="C20" s="21">
        <f>INDEX(Inputs!$C$62:$E$62,4-Scenarios!$B$4)</f>
        <v/>
      </c>
      <c r="D20" s="22">
        <f>Inputs!F62</f>
        <v/>
      </c>
      <c r="E20" s="22">
        <f>Inputs!G62</f>
        <v/>
      </c>
      <c r="F20" s="22">
        <f>Inputs!H62*Scenarios!$B$8</f>
        <v/>
      </c>
      <c r="G20" s="21">
        <f>IFERROR(C20/(E20*F20),0)</f>
        <v/>
      </c>
      <c r="H20" s="27">
        <f>E20*F20</f>
        <v/>
      </c>
      <c r="I20" s="28">
        <f>IFERROR(G20/$N$10/Inputs!$B$9,0)</f>
        <v/>
      </c>
    </row>
    <row r="22">
      <c r="A22" s="7" t="inlineStr">
        <is>
          <t>Customer acquisition vs lifetime value</t>
        </is>
      </c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</row>
    <row r="23">
      <c r="A23" s="5" t="inlineStr">
        <is>
          <t>Blended contribution margin per order ($)</t>
        </is>
      </c>
      <c r="B23" s="21">
        <f>N10*Inputs!$B$9</f>
        <v/>
      </c>
      <c r="C23" s="2" t="inlineStr">
        <is>
          <t>Before marketing and opex</t>
        </is>
      </c>
    </row>
    <row r="24">
      <c r="A24" s="5" t="inlineStr">
        <is>
          <t>Expected orders per customer over lifetime</t>
        </is>
      </c>
      <c r="B24" s="28">
        <f>1+Inputs!$B$32*Inputs!$B$33*Scenarios!$B$9</f>
        <v/>
      </c>
      <c r="C24" s="2" t="inlineStr">
        <is>
          <t>1 + repeat/yr x lifetime yrs x scenario</t>
        </is>
      </c>
    </row>
    <row r="25">
      <c r="A25" s="5" t="inlineStr">
        <is>
          <t>Lifetime value per customer (contribution, $)</t>
        </is>
      </c>
      <c r="B25" s="21">
        <f>$B$23*$B$24</f>
        <v/>
      </c>
      <c r="C25" s="2" t="inlineStr">
        <is>
          <t>Undiscounted</t>
        </is>
      </c>
    </row>
    <row r="26">
      <c r="A26" s="5" t="inlineStr">
        <is>
          <t>Paid visits per $ of budget</t>
        </is>
      </c>
      <c r="B26" s="29">
        <f>SUMPRODUCT(B15:B20/C15:C20)</f>
        <v/>
      </c>
      <c r="C26" s="2" t="inlineStr">
        <is>
          <t>Budget / CPC, share-weighted</t>
        </is>
      </c>
    </row>
    <row r="27">
      <c r="A27" s="5" t="inlineStr">
        <is>
          <t>New paid customers per $ of budget</t>
        </is>
      </c>
      <c r="B27" s="30">
        <f>SUMPRODUCT(B15:B20/C15:C20*H15:H20)</f>
        <v/>
      </c>
      <c r="C27" s="2" t="inlineStr"/>
    </row>
    <row r="28">
      <c r="A28" s="5" t="inlineStr">
        <is>
          <t>Paid CAC, steady state ($ per new customer)</t>
        </is>
      </c>
      <c r="B28" s="21">
        <f>IFERROR(1/$B$27,0)</f>
        <v/>
      </c>
      <c r="C28" s="2" t="inlineStr">
        <is>
          <t>Paid channels only; organic customers cost $0</t>
        </is>
      </c>
    </row>
    <row r="29">
      <c r="A29" s="5" t="inlineStr">
        <is>
          <t>Orders needed to repay paid CAC</t>
        </is>
      </c>
      <c r="B29" s="28">
        <f>IFERROR($B$28/$B$23,0)</f>
        <v/>
      </c>
      <c r="C2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9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7" customWidth="1" min="2" max="2"/>
    <col width="17" customWidth="1" min="3" max="3"/>
    <col width="17" customWidth="1" min="4" max="4"/>
    <col width="17" customWidth="1" min="5" max="5"/>
    <col width="20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1" t="inlineStr">
        <is>
          <t>Model Costs - token and render cost per product</t>
        </is>
      </c>
    </row>
    <row r="2">
      <c r="A2" s="2" t="inlineStr">
        <is>
          <t>Blue = ESTIMATE input. Yellow = paste CTO measured values from finance/measured_costs.json (blank = use estimate). Active = measured if present, else estimate. Exception to 'inputs only on Inputs': the CTO swap-in slots live here by owner request.</t>
        </is>
      </c>
    </row>
    <row r="4">
      <c r="A4" s="9" t="inlineStr">
        <is>
          <t>Unit price</t>
        </is>
      </c>
      <c r="B4" s="9" t="inlineStr">
        <is>
          <t>Estimate</t>
        </is>
      </c>
      <c r="C4" s="9" t="inlineStr">
        <is>
          <t>Measured (CTO paste)</t>
        </is>
      </c>
      <c r="D4" s="9" t="inlineStr">
        <is>
          <t>Active</t>
        </is>
      </c>
      <c r="E4" s="9" t="inlineStr">
        <is>
          <t>Unit</t>
        </is>
      </c>
      <c r="F4" s="9" t="inlineStr">
        <is>
          <t>Source</t>
        </is>
      </c>
    </row>
    <row r="5">
      <c r="A5" s="5" t="inlineStr">
        <is>
          <t>Image render, 4K print page (Gemini image via OpenRouter)</t>
        </is>
      </c>
      <c r="B5" s="31" t="n">
        <v>0.11</v>
      </c>
      <c r="C5" s="32" t="n"/>
      <c r="D5" s="33">
        <f>IF(ISNUMBER(C5),C5,B5)</f>
        <v/>
      </c>
      <c r="E5" s="5" t="inlineStr">
        <is>
          <t>$ / render</t>
        </is>
      </c>
      <c r="F5" s="2" t="inlineStr">
        <is>
          <t>Eye Story build: ~30 renders = $3.50 (~$0.117). Owner: ~$0.11.</t>
        </is>
      </c>
    </row>
    <row r="6">
      <c r="A6" s="5" t="inlineStr">
        <is>
          <t>Image render, guest preview (low-res, watermarked)</t>
        </is>
      </c>
      <c r="B6" s="31" t="n">
        <v>0.04</v>
      </c>
      <c r="C6" s="32" t="n"/>
      <c r="D6" s="33">
        <f>IF(ISNUMBER(C6),C6,B6)</f>
        <v/>
      </c>
      <c r="E6" s="5" t="inlineStr">
        <is>
          <t>$ / render</t>
        </is>
      </c>
      <c r="F6" s="2" t="inlineStr">
        <is>
          <t>GUESS: 1K render cheaper than 4K.</t>
        </is>
      </c>
    </row>
    <row r="7">
      <c r="A7" s="5" t="inlineStr">
        <is>
          <t>Vision QA check (cheap model) per render</t>
        </is>
      </c>
      <c r="B7" s="31" t="n">
        <v>0.003</v>
      </c>
      <c r="C7" s="32" t="n"/>
      <c r="D7" s="33">
        <f>IF(ISNUMBER(C7),C7,B7)</f>
        <v/>
      </c>
      <c r="E7" s="5" t="inlineStr">
        <is>
          <t>$ / call</t>
        </is>
      </c>
      <c r="F7" s="2" t="inlineStr">
        <is>
          <t>GUESS; PLAN.md stage 6.</t>
        </is>
      </c>
    </row>
    <row r="8">
      <c r="A8" s="5" t="inlineStr">
        <is>
          <t>Claude Sonnet input</t>
        </is>
      </c>
      <c r="B8" s="16" t="n">
        <v>3</v>
      </c>
      <c r="C8" s="19" t="n"/>
      <c r="D8" s="21">
        <f>IF(ISNUMBER(C8),C8,B8)</f>
        <v/>
      </c>
      <c r="E8" s="5" t="inlineStr">
        <is>
          <t>$ / M tokens</t>
        </is>
      </c>
      <c r="F8" s="2" t="inlineStr">
        <is>
          <t>Anthropic list price - verify.</t>
        </is>
      </c>
    </row>
    <row r="9">
      <c r="A9" s="5" t="inlineStr">
        <is>
          <t>Claude Sonnet output</t>
        </is>
      </c>
      <c r="B9" s="16" t="n">
        <v>15</v>
      </c>
      <c r="C9" s="19" t="n"/>
      <c r="D9" s="21">
        <f>IF(ISNUMBER(C9),C9,B9)</f>
        <v/>
      </c>
      <c r="E9" s="5" t="inlineStr">
        <is>
          <t>$ / M tokens</t>
        </is>
      </c>
      <c r="F9" s="2" t="inlineStr">
        <is>
          <t>Anthropic list price - verify.</t>
        </is>
      </c>
    </row>
    <row r="11">
      <c r="A11" s="7" t="inlineStr">
        <is>
          <t>Text calls (Claude Sonnet): tokens per call, then cost per call</t>
        </is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 ht="42" customHeight="1">
      <c r="A12" s="9" t="inlineStr">
        <is>
          <t>Call type</t>
        </is>
      </c>
      <c r="B12" s="9" t="inlineStr">
        <is>
          <t>Intake chat (card)</t>
        </is>
      </c>
      <c r="C12" s="9" t="inlineStr">
        <is>
          <t>Intake chat (book)</t>
        </is>
      </c>
      <c r="D12" s="9" t="inlineStr">
        <is>
          <t>Story writer (book)</t>
        </is>
      </c>
      <c r="E12" s="9" t="inlineStr">
        <is>
          <t>Identity sheet (vision)</t>
        </is>
      </c>
      <c r="F12" s="9" t="inlineStr">
        <is>
          <t>Art-director page prompts (book)</t>
        </is>
      </c>
      <c r="G12" s="9" t="inlineStr">
        <is>
          <t>Card prompts + message</t>
        </is>
      </c>
      <c r="H12" s="9" t="inlineStr">
        <is>
          <t>Guest intake (mini)</t>
        </is>
      </c>
    </row>
    <row r="13">
      <c r="A13" s="5" t="inlineStr">
        <is>
          <t>Input tokens / call (ESTIMATE)</t>
        </is>
      </c>
      <c r="B13" s="14" t="n">
        <v>14000</v>
      </c>
      <c r="C13" s="14" t="n">
        <v>22000</v>
      </c>
      <c r="D13" s="14" t="n">
        <v>4000</v>
      </c>
      <c r="E13" s="14" t="n">
        <v>6000</v>
      </c>
      <c r="F13" s="14" t="n">
        <v>12000</v>
      </c>
      <c r="G13" s="14" t="n">
        <v>4500</v>
      </c>
      <c r="H13" s="14" t="n">
        <v>6000</v>
      </c>
    </row>
    <row r="14">
      <c r="A14" s="5" t="inlineStr">
        <is>
          <t>Output tokens / call (ESTIMATE)</t>
        </is>
      </c>
      <c r="B14" s="14" t="n">
        <v>1800</v>
      </c>
      <c r="C14" s="14" t="n">
        <v>2500</v>
      </c>
      <c r="D14" s="14" t="n">
        <v>2500</v>
      </c>
      <c r="E14" s="14" t="n">
        <v>900</v>
      </c>
      <c r="F14" s="14" t="n">
        <v>6000</v>
      </c>
      <c r="G14" s="14" t="n">
        <v>1300</v>
      </c>
      <c r="H14" s="14" t="n">
        <v>800</v>
      </c>
    </row>
    <row r="15">
      <c r="A15" s="3" t="inlineStr">
        <is>
          <t>Cost per call ($)</t>
        </is>
      </c>
      <c r="B15" s="33">
        <f>B13/1000000*$D$8+B14/1000000*$D$9</f>
        <v/>
      </c>
      <c r="C15" s="33">
        <f>C13/1000000*$D$8+C14/1000000*$D$9</f>
        <v/>
      </c>
      <c r="D15" s="33">
        <f>D13/1000000*$D$8+D14/1000000*$D$9</f>
        <v/>
      </c>
      <c r="E15" s="33">
        <f>E13/1000000*$D$8+E14/1000000*$D$9</f>
        <v/>
      </c>
      <c r="F15" s="33">
        <f>F13/1000000*$D$8+F14/1000000*$D$9</f>
        <v/>
      </c>
      <c r="G15" s="33">
        <f>G13/1000000*$D$8+G14/1000000*$D$9</f>
        <v/>
      </c>
      <c r="H15" s="33">
        <f>H13/1000000*$D$8+H14/1000000*$D$9</f>
        <v/>
      </c>
    </row>
    <row r="17">
      <c r="A17" s="7" t="inlineStr">
        <is>
          <t>Calls per SKU (count of each call type; ESTIMATE)</t>
        </is>
      </c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</row>
    <row r="18" ht="42" customHeight="1">
      <c r="A18" s="9" t="inlineStr">
        <is>
          <t>SKU</t>
        </is>
      </c>
      <c r="B18" s="9" t="inlineStr">
        <is>
          <t>Intake chat (card)</t>
        </is>
      </c>
      <c r="C18" s="9" t="inlineStr">
        <is>
          <t>Intake chat (book)</t>
        </is>
      </c>
      <c r="D18" s="9" t="inlineStr">
        <is>
          <t>Story writer (book)</t>
        </is>
      </c>
      <c r="E18" s="9" t="inlineStr">
        <is>
          <t>Identity sheet (vision)</t>
        </is>
      </c>
      <c r="F18" s="9" t="inlineStr">
        <is>
          <t>Art-director page prompts (book)</t>
        </is>
      </c>
      <c r="G18" s="9" t="inlineStr">
        <is>
          <t>Card prompts + message</t>
        </is>
      </c>
      <c r="H18" s="9" t="inlineStr">
        <is>
          <t>Guest intake (mini)</t>
        </is>
      </c>
    </row>
    <row r="19">
      <c r="A19" s="5">
        <f>Inputs!A47</f>
        <v/>
      </c>
      <c r="B19" s="12" t="n">
        <v>1</v>
      </c>
      <c r="C19" s="12" t="n">
        <v>0</v>
      </c>
      <c r="D19" s="12" t="n">
        <v>0</v>
      </c>
      <c r="E19" s="12" t="n">
        <v>0</v>
      </c>
      <c r="F19" s="12" t="n">
        <v>0</v>
      </c>
      <c r="G19" s="12" t="n">
        <v>1</v>
      </c>
      <c r="H19" s="12" t="n">
        <v>0</v>
      </c>
    </row>
    <row r="20">
      <c r="A20" s="5">
        <f>Inputs!A48</f>
        <v/>
      </c>
      <c r="B20" s="12" t="n">
        <v>1</v>
      </c>
      <c r="C20" s="12" t="n">
        <v>0</v>
      </c>
      <c r="D20" s="12" t="n">
        <v>0</v>
      </c>
      <c r="E20" s="12" t="n">
        <v>0</v>
      </c>
      <c r="F20" s="12" t="n">
        <v>0</v>
      </c>
      <c r="G20" s="12" t="n">
        <v>1</v>
      </c>
      <c r="H20" s="12" t="n">
        <v>0</v>
      </c>
    </row>
    <row r="21">
      <c r="A21" s="5">
        <f>Inputs!A49</f>
        <v/>
      </c>
      <c r="B21" s="12" t="n">
        <v>0</v>
      </c>
      <c r="C21" s="12" t="n">
        <v>1</v>
      </c>
      <c r="D21" s="12" t="n">
        <v>1</v>
      </c>
      <c r="E21" s="12" t="n">
        <v>1</v>
      </c>
      <c r="F21" s="12" t="n">
        <v>1</v>
      </c>
      <c r="G21" s="12" t="n">
        <v>0</v>
      </c>
      <c r="H21" s="12" t="n">
        <v>0</v>
      </c>
    </row>
    <row r="22">
      <c r="A22" s="5">
        <f>Inputs!A50</f>
        <v/>
      </c>
      <c r="B22" s="12" t="n">
        <v>0</v>
      </c>
      <c r="C22" s="12" t="n">
        <v>1</v>
      </c>
      <c r="D22" s="12" t="n">
        <v>1</v>
      </c>
      <c r="E22" s="12" t="n">
        <v>1</v>
      </c>
      <c r="F22" s="12" t="n">
        <v>1</v>
      </c>
      <c r="G22" s="12" t="n">
        <v>0</v>
      </c>
      <c r="H22" s="12" t="n">
        <v>0</v>
      </c>
    </row>
    <row r="23">
      <c r="A23" s="5">
        <f>Inputs!A51</f>
        <v/>
      </c>
      <c r="B23" s="12" t="n">
        <v>0</v>
      </c>
      <c r="C23" s="12" t="n">
        <v>1</v>
      </c>
      <c r="D23" s="12" t="n">
        <v>1</v>
      </c>
      <c r="E23" s="12" t="n">
        <v>1</v>
      </c>
      <c r="F23" s="12" t="n">
        <v>1.3</v>
      </c>
      <c r="G23" s="12" t="n">
        <v>0</v>
      </c>
      <c r="H23" s="12" t="n">
        <v>0</v>
      </c>
    </row>
    <row r="25">
      <c r="A25" s="7" t="inlineStr">
        <is>
          <t>Token cost per SKU (before scenario multiplier and OpenRouter fee)</t>
        </is>
      </c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</row>
    <row r="26" ht="42" customHeight="1">
      <c r="A26" s="9" t="inlineStr">
        <is>
          <t>SKU</t>
        </is>
      </c>
      <c r="B26" s="9" t="inlineStr">
        <is>
          <t>Base renders (ESTIMATE)</t>
        </is>
      </c>
      <c r="C26" s="9" t="inlineStr">
        <is>
          <t>Re-roll rate</t>
        </is>
      </c>
      <c r="D26" s="9" t="inlineStr">
        <is>
          <t>Effective renders</t>
        </is>
      </c>
      <c r="E26" s="9" t="inlineStr">
        <is>
          <t>Render $</t>
        </is>
      </c>
      <c r="F26" s="9" t="inlineStr">
        <is>
          <t>QA $</t>
        </is>
      </c>
      <c r="G26" s="9" t="inlineStr">
        <is>
          <t>Text (Sonnet) $</t>
        </is>
      </c>
      <c r="H26" s="9" t="inlineStr">
        <is>
          <t>Computed total $</t>
        </is>
      </c>
      <c r="I26" s="9" t="inlineStr">
        <is>
          <t>Measured total $ (CTO paste)</t>
        </is>
      </c>
      <c r="J26" s="9" t="inlineStr">
        <is>
          <t>Token cost used $</t>
        </is>
      </c>
    </row>
    <row r="27">
      <c r="A27" s="5">
        <f>Inputs!A47</f>
        <v/>
      </c>
      <c r="B27" s="12" t="n">
        <v>3</v>
      </c>
      <c r="C27" s="22">
        <f>IF(Inputs!B47="Card",Inputs!$B$34,Inputs!$B$35)</f>
        <v/>
      </c>
      <c r="D27" s="28">
        <f>B27*(1+C27)</f>
        <v/>
      </c>
      <c r="E27" s="33">
        <f>D27*$D$5</f>
        <v/>
      </c>
      <c r="F27" s="33">
        <f>D27*$D$7</f>
        <v/>
      </c>
      <c r="G27" s="33">
        <f>SUMPRODUCT(B19:H19,$B$15:$H$15)</f>
        <v/>
      </c>
      <c r="H27" s="33">
        <f>E27+F27+G27</f>
        <v/>
      </c>
      <c r="I27" s="32" t="n"/>
      <c r="J27" s="34">
        <f>IF(ISNUMBER(I27),I27,H27)</f>
        <v/>
      </c>
    </row>
    <row r="28">
      <c r="A28" s="5">
        <f>Inputs!A48</f>
        <v/>
      </c>
      <c r="B28" s="12" t="n">
        <v>3</v>
      </c>
      <c r="C28" s="22">
        <f>IF(Inputs!B48="Card",Inputs!$B$34,Inputs!$B$35)</f>
        <v/>
      </c>
      <c r="D28" s="28">
        <f>B28*(1+C28)</f>
        <v/>
      </c>
      <c r="E28" s="33">
        <f>D28*$D$5</f>
        <v/>
      </c>
      <c r="F28" s="33">
        <f>D28*$D$7</f>
        <v/>
      </c>
      <c r="G28" s="33">
        <f>SUMPRODUCT(B20:H20,$B$15:$H$15)</f>
        <v/>
      </c>
      <c r="H28" s="33">
        <f>E28+F28+G28</f>
        <v/>
      </c>
      <c r="I28" s="32" t="n"/>
      <c r="J28" s="34">
        <f>IF(ISNUMBER(I28),I28,H28)</f>
        <v/>
      </c>
    </row>
    <row r="29">
      <c r="A29" s="5">
        <f>Inputs!A49</f>
        <v/>
      </c>
      <c r="B29" s="12" t="n">
        <v>11</v>
      </c>
      <c r="C29" s="22">
        <f>IF(Inputs!B49="Card",Inputs!$B$34,Inputs!$B$35)</f>
        <v/>
      </c>
      <c r="D29" s="28">
        <f>B29*(1+C29)</f>
        <v/>
      </c>
      <c r="E29" s="33">
        <f>D29*$D$5</f>
        <v/>
      </c>
      <c r="F29" s="33">
        <f>D29*$D$7</f>
        <v/>
      </c>
      <c r="G29" s="33">
        <f>SUMPRODUCT(B21:H21,$B$15:$H$15)</f>
        <v/>
      </c>
      <c r="H29" s="33">
        <f>E29+F29+G29</f>
        <v/>
      </c>
      <c r="I29" s="32" t="n"/>
      <c r="J29" s="34">
        <f>IF(ISNUMBER(I29),I29,H29)</f>
        <v/>
      </c>
    </row>
    <row r="30">
      <c r="A30" s="5">
        <f>Inputs!A50</f>
        <v/>
      </c>
      <c r="B30" s="12" t="n">
        <v>11</v>
      </c>
      <c r="C30" s="22">
        <f>IF(Inputs!B50="Card",Inputs!$B$34,Inputs!$B$35)</f>
        <v/>
      </c>
      <c r="D30" s="28">
        <f>B30*(1+C30)</f>
        <v/>
      </c>
      <c r="E30" s="33">
        <f>D30*$D$5</f>
        <v/>
      </c>
      <c r="F30" s="33">
        <f>D30*$D$7</f>
        <v/>
      </c>
      <c r="G30" s="33">
        <f>SUMPRODUCT(B22:H22,$B$15:$H$15)</f>
        <v/>
      </c>
      <c r="H30" s="33">
        <f>E30+F30+G30</f>
        <v/>
      </c>
      <c r="I30" s="32" t="n"/>
      <c r="J30" s="34">
        <f>IF(ISNUMBER(I30),I30,H30)</f>
        <v/>
      </c>
    </row>
    <row r="31">
      <c r="A31" s="5">
        <f>Inputs!A51</f>
        <v/>
      </c>
      <c r="B31" s="12" t="n">
        <v>15</v>
      </c>
      <c r="C31" s="22">
        <f>IF(Inputs!B51="Card",Inputs!$B$34,Inputs!$B$35)</f>
        <v/>
      </c>
      <c r="D31" s="28">
        <f>B31*(1+C31)</f>
        <v/>
      </c>
      <c r="E31" s="33">
        <f>D31*$D$5</f>
        <v/>
      </c>
      <c r="F31" s="33">
        <f>D31*$D$7</f>
        <v/>
      </c>
      <c r="G31" s="33">
        <f>SUMPRODUCT(B23:H23,$B$15:$H$15)</f>
        <v/>
      </c>
      <c r="H31" s="33">
        <f>E31+F31+G31</f>
        <v/>
      </c>
      <c r="I31" s="32" t="n"/>
      <c r="J31" s="34">
        <f>IF(ISNUMBER(I31),I31,H31)</f>
        <v/>
      </c>
    </row>
    <row r="33">
      <c r="A33" s="7" t="inlineStr">
        <is>
          <t>Guest free preview (cost with no revenue)</t>
        </is>
      </c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</row>
    <row r="34">
      <c r="A34" s="5" t="inlineStr">
        <is>
          <t>Renders per guest preview</t>
        </is>
      </c>
      <c r="B34" s="12" t="n">
        <v>1</v>
      </c>
    </row>
    <row r="35">
      <c r="A35" s="5" t="inlineStr">
        <is>
          <t>Guest preview cost, computed $</t>
        </is>
      </c>
      <c r="B35" s="33">
        <f>B34*$D$6+H15</f>
        <v/>
      </c>
    </row>
    <row r="36">
      <c r="A36" s="5" t="inlineStr">
        <is>
          <t>Guest preview cost, measured $ (CTO paste)</t>
        </is>
      </c>
      <c r="B36" s="32" t="n"/>
    </row>
    <row r="37">
      <c r="A37" s="3" t="inlineStr">
        <is>
          <t>Guest preview cost used $</t>
        </is>
      </c>
      <c r="B37" s="34">
        <f>IF(ISNUMBER(B36),B36,B35)</f>
        <v/>
      </c>
    </row>
    <row r="39">
      <c r="A39" s="2" t="inlineStr">
        <is>
          <t>Reference: PLAN.md expects ~$2-4 per book and ~$0.30-0.60 per card. Scenario token multiplier and OpenRouter fee are applied on Unit Economics.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21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</cols>
  <sheetData>
    <row r="1">
      <c r="A1" s="1" t="inlineStr">
        <is>
          <t>Opex - monthly operating costs (fixed + variable, rates from Inputs section 10)</t>
        </is>
      </c>
    </row>
    <row r="2">
      <c r="A2" s="2" t="inlineStr">
        <is>
          <t>Driver codes: 1 visits, 2 sign-ups, 3 orders, 4 gross revenue ($). One-time launch costs hit month 1.</t>
        </is>
      </c>
    </row>
    <row r="4">
      <c r="A4" s="9" t="inlineStr">
        <is>
          <t>Line</t>
        </is>
      </c>
      <c r="B4" s="9" t="inlineStr">
        <is>
          <t>Driver</t>
        </is>
      </c>
      <c r="C4" s="9" t="inlineStr">
        <is>
          <t>Opening</t>
        </is>
      </c>
      <c r="D4" s="9" t="inlineStr">
        <is>
          <t>M1</t>
        </is>
      </c>
      <c r="E4" s="9" t="inlineStr">
        <is>
          <t>M2</t>
        </is>
      </c>
      <c r="F4" s="9" t="inlineStr">
        <is>
          <t>M3</t>
        </is>
      </c>
      <c r="G4" s="9" t="inlineStr">
        <is>
          <t>M4</t>
        </is>
      </c>
      <c r="H4" s="9" t="inlineStr">
        <is>
          <t>M5</t>
        </is>
      </c>
      <c r="I4" s="9" t="inlineStr">
        <is>
          <t>M6</t>
        </is>
      </c>
      <c r="J4" s="9" t="inlineStr">
        <is>
          <t>M7</t>
        </is>
      </c>
      <c r="K4" s="9" t="inlineStr">
        <is>
          <t>M8</t>
        </is>
      </c>
      <c r="L4" s="9" t="inlineStr">
        <is>
          <t>M9</t>
        </is>
      </c>
      <c r="M4" s="9" t="inlineStr">
        <is>
          <t>M10</t>
        </is>
      </c>
      <c r="N4" s="9" t="inlineStr">
        <is>
          <t>M11</t>
        </is>
      </c>
      <c r="O4" s="9" t="inlineStr">
        <is>
          <t>M12</t>
        </is>
      </c>
      <c r="P4" s="9" t="inlineStr">
        <is>
          <t>M13</t>
        </is>
      </c>
      <c r="Q4" s="9" t="inlineStr">
        <is>
          <t>M14</t>
        </is>
      </c>
      <c r="R4" s="9" t="inlineStr">
        <is>
          <t>M15</t>
        </is>
      </c>
      <c r="S4" s="9" t="inlineStr">
        <is>
          <t>M16</t>
        </is>
      </c>
      <c r="T4" s="9" t="inlineStr">
        <is>
          <t>M17</t>
        </is>
      </c>
      <c r="U4" s="9" t="inlineStr">
        <is>
          <t>M18</t>
        </is>
      </c>
      <c r="V4" s="9" t="inlineStr">
        <is>
          <t>M19</t>
        </is>
      </c>
      <c r="W4" s="9" t="inlineStr">
        <is>
          <t>M20</t>
        </is>
      </c>
      <c r="X4" s="9" t="inlineStr">
        <is>
          <t>M21</t>
        </is>
      </c>
      <c r="Y4" s="9" t="inlineStr">
        <is>
          <t>M22</t>
        </is>
      </c>
      <c r="Z4" s="9" t="inlineStr">
        <is>
          <t>M23</t>
        </is>
      </c>
      <c r="AA4" s="9" t="inlineStr">
        <is>
          <t>M24</t>
        </is>
      </c>
      <c r="AB4" s="9" t="inlineStr">
        <is>
          <t>M25</t>
        </is>
      </c>
      <c r="AC4" s="9" t="inlineStr">
        <is>
          <t>M26</t>
        </is>
      </c>
      <c r="AD4" s="9" t="inlineStr">
        <is>
          <t>M27</t>
        </is>
      </c>
      <c r="AE4" s="9" t="inlineStr">
        <is>
          <t>M28</t>
        </is>
      </c>
      <c r="AF4" s="9" t="inlineStr">
        <is>
          <t>M29</t>
        </is>
      </c>
      <c r="AG4" s="9" t="inlineStr">
        <is>
          <t>M30</t>
        </is>
      </c>
      <c r="AH4" s="9" t="inlineStr">
        <is>
          <t>M31</t>
        </is>
      </c>
      <c r="AI4" s="9" t="inlineStr">
        <is>
          <t>M32</t>
        </is>
      </c>
      <c r="AJ4" s="9" t="inlineStr">
        <is>
          <t>M33</t>
        </is>
      </c>
      <c r="AK4" s="9" t="inlineStr">
        <is>
          <t>M34</t>
        </is>
      </c>
      <c r="AL4" s="9" t="inlineStr">
        <is>
          <t>M35</t>
        </is>
      </c>
      <c r="AM4" s="9" t="inlineStr">
        <is>
          <t>M36</t>
        </is>
      </c>
    </row>
    <row r="5">
      <c r="A5" s="5" t="inlineStr">
        <is>
          <t>Month #</t>
        </is>
      </c>
      <c r="D5" s="35">
        <f>Forecast!D6</f>
        <v/>
      </c>
      <c r="E5" s="35">
        <f>Forecast!E6</f>
        <v/>
      </c>
      <c r="F5" s="35">
        <f>Forecast!F6</f>
        <v/>
      </c>
      <c r="G5" s="35">
        <f>Forecast!G6</f>
        <v/>
      </c>
      <c r="H5" s="35">
        <f>Forecast!H6</f>
        <v/>
      </c>
      <c r="I5" s="35">
        <f>Forecast!I6</f>
        <v/>
      </c>
      <c r="J5" s="35">
        <f>Forecast!J6</f>
        <v/>
      </c>
      <c r="K5" s="35">
        <f>Forecast!K6</f>
        <v/>
      </c>
      <c r="L5" s="35">
        <f>Forecast!L6</f>
        <v/>
      </c>
      <c r="M5" s="35">
        <f>Forecast!M6</f>
        <v/>
      </c>
      <c r="N5" s="35">
        <f>Forecast!N6</f>
        <v/>
      </c>
      <c r="O5" s="35">
        <f>Forecast!O6</f>
        <v/>
      </c>
      <c r="P5" s="35">
        <f>Forecast!P6</f>
        <v/>
      </c>
      <c r="Q5" s="35">
        <f>Forecast!Q6</f>
        <v/>
      </c>
      <c r="R5" s="35">
        <f>Forecast!R6</f>
        <v/>
      </c>
      <c r="S5" s="35">
        <f>Forecast!S6</f>
        <v/>
      </c>
      <c r="T5" s="35">
        <f>Forecast!T6</f>
        <v/>
      </c>
      <c r="U5" s="35">
        <f>Forecast!U6</f>
        <v/>
      </c>
      <c r="V5" s="35">
        <f>Forecast!V6</f>
        <v/>
      </c>
      <c r="W5" s="35">
        <f>Forecast!W6</f>
        <v/>
      </c>
      <c r="X5" s="35">
        <f>Forecast!X6</f>
        <v/>
      </c>
      <c r="Y5" s="35">
        <f>Forecast!Y6</f>
        <v/>
      </c>
      <c r="Z5" s="35">
        <f>Forecast!Z6</f>
        <v/>
      </c>
      <c r="AA5" s="35">
        <f>Forecast!AA6</f>
        <v/>
      </c>
      <c r="AB5" s="35">
        <f>Forecast!AB6</f>
        <v/>
      </c>
      <c r="AC5" s="35">
        <f>Forecast!AC6</f>
        <v/>
      </c>
      <c r="AD5" s="35">
        <f>Forecast!AD6</f>
        <v/>
      </c>
      <c r="AE5" s="35">
        <f>Forecast!AE6</f>
        <v/>
      </c>
      <c r="AF5" s="35">
        <f>Forecast!AF6</f>
        <v/>
      </c>
      <c r="AG5" s="35">
        <f>Forecast!AG6</f>
        <v/>
      </c>
      <c r="AH5" s="35">
        <f>Forecast!AH6</f>
        <v/>
      </c>
      <c r="AI5" s="35">
        <f>Forecast!AI6</f>
        <v/>
      </c>
      <c r="AJ5" s="35">
        <f>Forecast!AJ6</f>
        <v/>
      </c>
      <c r="AK5" s="35">
        <f>Forecast!AK6</f>
        <v/>
      </c>
      <c r="AL5" s="35">
        <f>Forecast!AL6</f>
        <v/>
      </c>
      <c r="AM5" s="35">
        <f>Forecast!AM6</f>
        <v/>
      </c>
    </row>
    <row r="7">
      <c r="A7" s="5">
        <f>Inputs!A94</f>
        <v/>
      </c>
      <c r="B7" s="35">
        <f>Inputs!D94</f>
        <v/>
      </c>
      <c r="D7" s="15">
        <f>Inputs!$B$94+Inputs!$C$94/1000*CHOOSE(Inputs!$D$94,Forecast!D30,Forecast!D35,Forecast!D43,Forecast!D58)</f>
        <v/>
      </c>
      <c r="E7" s="15">
        <f>Inputs!$B$94+Inputs!$C$94/1000*CHOOSE(Inputs!$D$94,Forecast!E30,Forecast!E35,Forecast!E43,Forecast!E58)</f>
        <v/>
      </c>
      <c r="F7" s="15">
        <f>Inputs!$B$94+Inputs!$C$94/1000*CHOOSE(Inputs!$D$94,Forecast!F30,Forecast!F35,Forecast!F43,Forecast!F58)</f>
        <v/>
      </c>
      <c r="G7" s="15">
        <f>Inputs!$B$94+Inputs!$C$94/1000*CHOOSE(Inputs!$D$94,Forecast!G30,Forecast!G35,Forecast!G43,Forecast!G58)</f>
        <v/>
      </c>
      <c r="H7" s="15">
        <f>Inputs!$B$94+Inputs!$C$94/1000*CHOOSE(Inputs!$D$94,Forecast!H30,Forecast!H35,Forecast!H43,Forecast!H58)</f>
        <v/>
      </c>
      <c r="I7" s="15">
        <f>Inputs!$B$94+Inputs!$C$94/1000*CHOOSE(Inputs!$D$94,Forecast!I30,Forecast!I35,Forecast!I43,Forecast!I58)</f>
        <v/>
      </c>
      <c r="J7" s="15">
        <f>Inputs!$B$94+Inputs!$C$94/1000*CHOOSE(Inputs!$D$94,Forecast!J30,Forecast!J35,Forecast!J43,Forecast!J58)</f>
        <v/>
      </c>
      <c r="K7" s="15">
        <f>Inputs!$B$94+Inputs!$C$94/1000*CHOOSE(Inputs!$D$94,Forecast!K30,Forecast!K35,Forecast!K43,Forecast!K58)</f>
        <v/>
      </c>
      <c r="L7" s="15">
        <f>Inputs!$B$94+Inputs!$C$94/1000*CHOOSE(Inputs!$D$94,Forecast!L30,Forecast!L35,Forecast!L43,Forecast!L58)</f>
        <v/>
      </c>
      <c r="M7" s="15">
        <f>Inputs!$B$94+Inputs!$C$94/1000*CHOOSE(Inputs!$D$94,Forecast!M30,Forecast!M35,Forecast!M43,Forecast!M58)</f>
        <v/>
      </c>
      <c r="N7" s="15">
        <f>Inputs!$B$94+Inputs!$C$94/1000*CHOOSE(Inputs!$D$94,Forecast!N30,Forecast!N35,Forecast!N43,Forecast!N58)</f>
        <v/>
      </c>
      <c r="O7" s="15">
        <f>Inputs!$B$94+Inputs!$C$94/1000*CHOOSE(Inputs!$D$94,Forecast!O30,Forecast!O35,Forecast!O43,Forecast!O58)</f>
        <v/>
      </c>
      <c r="P7" s="15">
        <f>Inputs!$B$94+Inputs!$C$94/1000*CHOOSE(Inputs!$D$94,Forecast!P30,Forecast!P35,Forecast!P43,Forecast!P58)</f>
        <v/>
      </c>
      <c r="Q7" s="15">
        <f>Inputs!$B$94+Inputs!$C$94/1000*CHOOSE(Inputs!$D$94,Forecast!Q30,Forecast!Q35,Forecast!Q43,Forecast!Q58)</f>
        <v/>
      </c>
      <c r="R7" s="15">
        <f>Inputs!$B$94+Inputs!$C$94/1000*CHOOSE(Inputs!$D$94,Forecast!R30,Forecast!R35,Forecast!R43,Forecast!R58)</f>
        <v/>
      </c>
      <c r="S7" s="15">
        <f>Inputs!$B$94+Inputs!$C$94/1000*CHOOSE(Inputs!$D$94,Forecast!S30,Forecast!S35,Forecast!S43,Forecast!S58)</f>
        <v/>
      </c>
      <c r="T7" s="15">
        <f>Inputs!$B$94+Inputs!$C$94/1000*CHOOSE(Inputs!$D$94,Forecast!T30,Forecast!T35,Forecast!T43,Forecast!T58)</f>
        <v/>
      </c>
      <c r="U7" s="15">
        <f>Inputs!$B$94+Inputs!$C$94/1000*CHOOSE(Inputs!$D$94,Forecast!U30,Forecast!U35,Forecast!U43,Forecast!U58)</f>
        <v/>
      </c>
      <c r="V7" s="15">
        <f>Inputs!$B$94+Inputs!$C$94/1000*CHOOSE(Inputs!$D$94,Forecast!V30,Forecast!V35,Forecast!V43,Forecast!V58)</f>
        <v/>
      </c>
      <c r="W7" s="15">
        <f>Inputs!$B$94+Inputs!$C$94/1000*CHOOSE(Inputs!$D$94,Forecast!W30,Forecast!W35,Forecast!W43,Forecast!W58)</f>
        <v/>
      </c>
      <c r="X7" s="15">
        <f>Inputs!$B$94+Inputs!$C$94/1000*CHOOSE(Inputs!$D$94,Forecast!X30,Forecast!X35,Forecast!X43,Forecast!X58)</f>
        <v/>
      </c>
      <c r="Y7" s="15">
        <f>Inputs!$B$94+Inputs!$C$94/1000*CHOOSE(Inputs!$D$94,Forecast!Y30,Forecast!Y35,Forecast!Y43,Forecast!Y58)</f>
        <v/>
      </c>
      <c r="Z7" s="15">
        <f>Inputs!$B$94+Inputs!$C$94/1000*CHOOSE(Inputs!$D$94,Forecast!Z30,Forecast!Z35,Forecast!Z43,Forecast!Z58)</f>
        <v/>
      </c>
      <c r="AA7" s="15">
        <f>Inputs!$B$94+Inputs!$C$94/1000*CHOOSE(Inputs!$D$94,Forecast!AA30,Forecast!AA35,Forecast!AA43,Forecast!AA58)</f>
        <v/>
      </c>
      <c r="AB7" s="15">
        <f>Inputs!$B$94+Inputs!$C$94/1000*CHOOSE(Inputs!$D$94,Forecast!AB30,Forecast!AB35,Forecast!AB43,Forecast!AB58)</f>
        <v/>
      </c>
      <c r="AC7" s="15">
        <f>Inputs!$B$94+Inputs!$C$94/1000*CHOOSE(Inputs!$D$94,Forecast!AC30,Forecast!AC35,Forecast!AC43,Forecast!AC58)</f>
        <v/>
      </c>
      <c r="AD7" s="15">
        <f>Inputs!$B$94+Inputs!$C$94/1000*CHOOSE(Inputs!$D$94,Forecast!AD30,Forecast!AD35,Forecast!AD43,Forecast!AD58)</f>
        <v/>
      </c>
      <c r="AE7" s="15">
        <f>Inputs!$B$94+Inputs!$C$94/1000*CHOOSE(Inputs!$D$94,Forecast!AE30,Forecast!AE35,Forecast!AE43,Forecast!AE58)</f>
        <v/>
      </c>
      <c r="AF7" s="15">
        <f>Inputs!$B$94+Inputs!$C$94/1000*CHOOSE(Inputs!$D$94,Forecast!AF30,Forecast!AF35,Forecast!AF43,Forecast!AF58)</f>
        <v/>
      </c>
      <c r="AG7" s="15">
        <f>Inputs!$B$94+Inputs!$C$94/1000*CHOOSE(Inputs!$D$94,Forecast!AG30,Forecast!AG35,Forecast!AG43,Forecast!AG58)</f>
        <v/>
      </c>
      <c r="AH7" s="15">
        <f>Inputs!$B$94+Inputs!$C$94/1000*CHOOSE(Inputs!$D$94,Forecast!AH30,Forecast!AH35,Forecast!AH43,Forecast!AH58)</f>
        <v/>
      </c>
      <c r="AI7" s="15">
        <f>Inputs!$B$94+Inputs!$C$94/1000*CHOOSE(Inputs!$D$94,Forecast!AI30,Forecast!AI35,Forecast!AI43,Forecast!AI58)</f>
        <v/>
      </c>
      <c r="AJ7" s="15">
        <f>Inputs!$B$94+Inputs!$C$94/1000*CHOOSE(Inputs!$D$94,Forecast!AJ30,Forecast!AJ35,Forecast!AJ43,Forecast!AJ58)</f>
        <v/>
      </c>
      <c r="AK7" s="15">
        <f>Inputs!$B$94+Inputs!$C$94/1000*CHOOSE(Inputs!$D$94,Forecast!AK30,Forecast!AK35,Forecast!AK43,Forecast!AK58)</f>
        <v/>
      </c>
      <c r="AL7" s="15">
        <f>Inputs!$B$94+Inputs!$C$94/1000*CHOOSE(Inputs!$D$94,Forecast!AL30,Forecast!AL35,Forecast!AL43,Forecast!AL58)</f>
        <v/>
      </c>
      <c r="AM7" s="15">
        <f>Inputs!$B$94+Inputs!$C$94/1000*CHOOSE(Inputs!$D$94,Forecast!AM30,Forecast!AM35,Forecast!AM43,Forecast!AM58)</f>
        <v/>
      </c>
    </row>
    <row r="8">
      <c r="A8" s="5">
        <f>Inputs!A95</f>
        <v/>
      </c>
      <c r="B8" s="35">
        <f>Inputs!D95</f>
        <v/>
      </c>
      <c r="D8" s="15">
        <f>Inputs!$B$95+Inputs!$C$95/1000*CHOOSE(Inputs!$D$95,Forecast!D30,Forecast!D35,Forecast!D43,Forecast!D58)</f>
        <v/>
      </c>
      <c r="E8" s="15">
        <f>Inputs!$B$95+Inputs!$C$95/1000*CHOOSE(Inputs!$D$95,Forecast!E30,Forecast!E35,Forecast!E43,Forecast!E58)</f>
        <v/>
      </c>
      <c r="F8" s="15">
        <f>Inputs!$B$95+Inputs!$C$95/1000*CHOOSE(Inputs!$D$95,Forecast!F30,Forecast!F35,Forecast!F43,Forecast!F58)</f>
        <v/>
      </c>
      <c r="G8" s="15">
        <f>Inputs!$B$95+Inputs!$C$95/1000*CHOOSE(Inputs!$D$95,Forecast!G30,Forecast!G35,Forecast!G43,Forecast!G58)</f>
        <v/>
      </c>
      <c r="H8" s="15">
        <f>Inputs!$B$95+Inputs!$C$95/1000*CHOOSE(Inputs!$D$95,Forecast!H30,Forecast!H35,Forecast!H43,Forecast!H58)</f>
        <v/>
      </c>
      <c r="I8" s="15">
        <f>Inputs!$B$95+Inputs!$C$95/1000*CHOOSE(Inputs!$D$95,Forecast!I30,Forecast!I35,Forecast!I43,Forecast!I58)</f>
        <v/>
      </c>
      <c r="J8" s="15">
        <f>Inputs!$B$95+Inputs!$C$95/1000*CHOOSE(Inputs!$D$95,Forecast!J30,Forecast!J35,Forecast!J43,Forecast!J58)</f>
        <v/>
      </c>
      <c r="K8" s="15">
        <f>Inputs!$B$95+Inputs!$C$95/1000*CHOOSE(Inputs!$D$95,Forecast!K30,Forecast!K35,Forecast!K43,Forecast!K58)</f>
        <v/>
      </c>
      <c r="L8" s="15">
        <f>Inputs!$B$95+Inputs!$C$95/1000*CHOOSE(Inputs!$D$95,Forecast!L30,Forecast!L35,Forecast!L43,Forecast!L58)</f>
        <v/>
      </c>
      <c r="M8" s="15">
        <f>Inputs!$B$95+Inputs!$C$95/1000*CHOOSE(Inputs!$D$95,Forecast!M30,Forecast!M35,Forecast!M43,Forecast!M58)</f>
        <v/>
      </c>
      <c r="N8" s="15">
        <f>Inputs!$B$95+Inputs!$C$95/1000*CHOOSE(Inputs!$D$95,Forecast!N30,Forecast!N35,Forecast!N43,Forecast!N58)</f>
        <v/>
      </c>
      <c r="O8" s="15">
        <f>Inputs!$B$95+Inputs!$C$95/1000*CHOOSE(Inputs!$D$95,Forecast!O30,Forecast!O35,Forecast!O43,Forecast!O58)</f>
        <v/>
      </c>
      <c r="P8" s="15">
        <f>Inputs!$B$95+Inputs!$C$95/1000*CHOOSE(Inputs!$D$95,Forecast!P30,Forecast!P35,Forecast!P43,Forecast!P58)</f>
        <v/>
      </c>
      <c r="Q8" s="15">
        <f>Inputs!$B$95+Inputs!$C$95/1000*CHOOSE(Inputs!$D$95,Forecast!Q30,Forecast!Q35,Forecast!Q43,Forecast!Q58)</f>
        <v/>
      </c>
      <c r="R8" s="15">
        <f>Inputs!$B$95+Inputs!$C$95/1000*CHOOSE(Inputs!$D$95,Forecast!R30,Forecast!R35,Forecast!R43,Forecast!R58)</f>
        <v/>
      </c>
      <c r="S8" s="15">
        <f>Inputs!$B$95+Inputs!$C$95/1000*CHOOSE(Inputs!$D$95,Forecast!S30,Forecast!S35,Forecast!S43,Forecast!S58)</f>
        <v/>
      </c>
      <c r="T8" s="15">
        <f>Inputs!$B$95+Inputs!$C$95/1000*CHOOSE(Inputs!$D$95,Forecast!T30,Forecast!T35,Forecast!T43,Forecast!T58)</f>
        <v/>
      </c>
      <c r="U8" s="15">
        <f>Inputs!$B$95+Inputs!$C$95/1000*CHOOSE(Inputs!$D$95,Forecast!U30,Forecast!U35,Forecast!U43,Forecast!U58)</f>
        <v/>
      </c>
      <c r="V8" s="15">
        <f>Inputs!$B$95+Inputs!$C$95/1000*CHOOSE(Inputs!$D$95,Forecast!V30,Forecast!V35,Forecast!V43,Forecast!V58)</f>
        <v/>
      </c>
      <c r="W8" s="15">
        <f>Inputs!$B$95+Inputs!$C$95/1000*CHOOSE(Inputs!$D$95,Forecast!W30,Forecast!W35,Forecast!W43,Forecast!W58)</f>
        <v/>
      </c>
      <c r="X8" s="15">
        <f>Inputs!$B$95+Inputs!$C$95/1000*CHOOSE(Inputs!$D$95,Forecast!X30,Forecast!X35,Forecast!X43,Forecast!X58)</f>
        <v/>
      </c>
      <c r="Y8" s="15">
        <f>Inputs!$B$95+Inputs!$C$95/1000*CHOOSE(Inputs!$D$95,Forecast!Y30,Forecast!Y35,Forecast!Y43,Forecast!Y58)</f>
        <v/>
      </c>
      <c r="Z8" s="15">
        <f>Inputs!$B$95+Inputs!$C$95/1000*CHOOSE(Inputs!$D$95,Forecast!Z30,Forecast!Z35,Forecast!Z43,Forecast!Z58)</f>
        <v/>
      </c>
      <c r="AA8" s="15">
        <f>Inputs!$B$95+Inputs!$C$95/1000*CHOOSE(Inputs!$D$95,Forecast!AA30,Forecast!AA35,Forecast!AA43,Forecast!AA58)</f>
        <v/>
      </c>
      <c r="AB8" s="15">
        <f>Inputs!$B$95+Inputs!$C$95/1000*CHOOSE(Inputs!$D$95,Forecast!AB30,Forecast!AB35,Forecast!AB43,Forecast!AB58)</f>
        <v/>
      </c>
      <c r="AC8" s="15">
        <f>Inputs!$B$95+Inputs!$C$95/1000*CHOOSE(Inputs!$D$95,Forecast!AC30,Forecast!AC35,Forecast!AC43,Forecast!AC58)</f>
        <v/>
      </c>
      <c r="AD8" s="15">
        <f>Inputs!$B$95+Inputs!$C$95/1000*CHOOSE(Inputs!$D$95,Forecast!AD30,Forecast!AD35,Forecast!AD43,Forecast!AD58)</f>
        <v/>
      </c>
      <c r="AE8" s="15">
        <f>Inputs!$B$95+Inputs!$C$95/1000*CHOOSE(Inputs!$D$95,Forecast!AE30,Forecast!AE35,Forecast!AE43,Forecast!AE58)</f>
        <v/>
      </c>
      <c r="AF8" s="15">
        <f>Inputs!$B$95+Inputs!$C$95/1000*CHOOSE(Inputs!$D$95,Forecast!AF30,Forecast!AF35,Forecast!AF43,Forecast!AF58)</f>
        <v/>
      </c>
      <c r="AG8" s="15">
        <f>Inputs!$B$95+Inputs!$C$95/1000*CHOOSE(Inputs!$D$95,Forecast!AG30,Forecast!AG35,Forecast!AG43,Forecast!AG58)</f>
        <v/>
      </c>
      <c r="AH8" s="15">
        <f>Inputs!$B$95+Inputs!$C$95/1000*CHOOSE(Inputs!$D$95,Forecast!AH30,Forecast!AH35,Forecast!AH43,Forecast!AH58)</f>
        <v/>
      </c>
      <c r="AI8" s="15">
        <f>Inputs!$B$95+Inputs!$C$95/1000*CHOOSE(Inputs!$D$95,Forecast!AI30,Forecast!AI35,Forecast!AI43,Forecast!AI58)</f>
        <v/>
      </c>
      <c r="AJ8" s="15">
        <f>Inputs!$B$95+Inputs!$C$95/1000*CHOOSE(Inputs!$D$95,Forecast!AJ30,Forecast!AJ35,Forecast!AJ43,Forecast!AJ58)</f>
        <v/>
      </c>
      <c r="AK8" s="15">
        <f>Inputs!$B$95+Inputs!$C$95/1000*CHOOSE(Inputs!$D$95,Forecast!AK30,Forecast!AK35,Forecast!AK43,Forecast!AK58)</f>
        <v/>
      </c>
      <c r="AL8" s="15">
        <f>Inputs!$B$95+Inputs!$C$95/1000*CHOOSE(Inputs!$D$95,Forecast!AL30,Forecast!AL35,Forecast!AL43,Forecast!AL58)</f>
        <v/>
      </c>
      <c r="AM8" s="15">
        <f>Inputs!$B$95+Inputs!$C$95/1000*CHOOSE(Inputs!$D$95,Forecast!AM30,Forecast!AM35,Forecast!AM43,Forecast!AM58)</f>
        <v/>
      </c>
    </row>
    <row r="9">
      <c r="A9" s="5">
        <f>Inputs!A96</f>
        <v/>
      </c>
      <c r="B9" s="35">
        <f>Inputs!D96</f>
        <v/>
      </c>
      <c r="D9" s="15">
        <f>Inputs!$B$96+Inputs!$C$96/1000*CHOOSE(Inputs!$D$96,Forecast!D30,Forecast!D35,Forecast!D43,Forecast!D58)</f>
        <v/>
      </c>
      <c r="E9" s="15">
        <f>Inputs!$B$96+Inputs!$C$96/1000*CHOOSE(Inputs!$D$96,Forecast!E30,Forecast!E35,Forecast!E43,Forecast!E58)</f>
        <v/>
      </c>
      <c r="F9" s="15">
        <f>Inputs!$B$96+Inputs!$C$96/1000*CHOOSE(Inputs!$D$96,Forecast!F30,Forecast!F35,Forecast!F43,Forecast!F58)</f>
        <v/>
      </c>
      <c r="G9" s="15">
        <f>Inputs!$B$96+Inputs!$C$96/1000*CHOOSE(Inputs!$D$96,Forecast!G30,Forecast!G35,Forecast!G43,Forecast!G58)</f>
        <v/>
      </c>
      <c r="H9" s="15">
        <f>Inputs!$B$96+Inputs!$C$96/1000*CHOOSE(Inputs!$D$96,Forecast!H30,Forecast!H35,Forecast!H43,Forecast!H58)</f>
        <v/>
      </c>
      <c r="I9" s="15">
        <f>Inputs!$B$96+Inputs!$C$96/1000*CHOOSE(Inputs!$D$96,Forecast!I30,Forecast!I35,Forecast!I43,Forecast!I58)</f>
        <v/>
      </c>
      <c r="J9" s="15">
        <f>Inputs!$B$96+Inputs!$C$96/1000*CHOOSE(Inputs!$D$96,Forecast!J30,Forecast!J35,Forecast!J43,Forecast!J58)</f>
        <v/>
      </c>
      <c r="K9" s="15">
        <f>Inputs!$B$96+Inputs!$C$96/1000*CHOOSE(Inputs!$D$96,Forecast!K30,Forecast!K35,Forecast!K43,Forecast!K58)</f>
        <v/>
      </c>
      <c r="L9" s="15">
        <f>Inputs!$B$96+Inputs!$C$96/1000*CHOOSE(Inputs!$D$96,Forecast!L30,Forecast!L35,Forecast!L43,Forecast!L58)</f>
        <v/>
      </c>
      <c r="M9" s="15">
        <f>Inputs!$B$96+Inputs!$C$96/1000*CHOOSE(Inputs!$D$96,Forecast!M30,Forecast!M35,Forecast!M43,Forecast!M58)</f>
        <v/>
      </c>
      <c r="N9" s="15">
        <f>Inputs!$B$96+Inputs!$C$96/1000*CHOOSE(Inputs!$D$96,Forecast!N30,Forecast!N35,Forecast!N43,Forecast!N58)</f>
        <v/>
      </c>
      <c r="O9" s="15">
        <f>Inputs!$B$96+Inputs!$C$96/1000*CHOOSE(Inputs!$D$96,Forecast!O30,Forecast!O35,Forecast!O43,Forecast!O58)</f>
        <v/>
      </c>
      <c r="P9" s="15">
        <f>Inputs!$B$96+Inputs!$C$96/1000*CHOOSE(Inputs!$D$96,Forecast!P30,Forecast!P35,Forecast!P43,Forecast!P58)</f>
        <v/>
      </c>
      <c r="Q9" s="15">
        <f>Inputs!$B$96+Inputs!$C$96/1000*CHOOSE(Inputs!$D$96,Forecast!Q30,Forecast!Q35,Forecast!Q43,Forecast!Q58)</f>
        <v/>
      </c>
      <c r="R9" s="15">
        <f>Inputs!$B$96+Inputs!$C$96/1000*CHOOSE(Inputs!$D$96,Forecast!R30,Forecast!R35,Forecast!R43,Forecast!R58)</f>
        <v/>
      </c>
      <c r="S9" s="15">
        <f>Inputs!$B$96+Inputs!$C$96/1000*CHOOSE(Inputs!$D$96,Forecast!S30,Forecast!S35,Forecast!S43,Forecast!S58)</f>
        <v/>
      </c>
      <c r="T9" s="15">
        <f>Inputs!$B$96+Inputs!$C$96/1000*CHOOSE(Inputs!$D$96,Forecast!T30,Forecast!T35,Forecast!T43,Forecast!T58)</f>
        <v/>
      </c>
      <c r="U9" s="15">
        <f>Inputs!$B$96+Inputs!$C$96/1000*CHOOSE(Inputs!$D$96,Forecast!U30,Forecast!U35,Forecast!U43,Forecast!U58)</f>
        <v/>
      </c>
      <c r="V9" s="15">
        <f>Inputs!$B$96+Inputs!$C$96/1000*CHOOSE(Inputs!$D$96,Forecast!V30,Forecast!V35,Forecast!V43,Forecast!V58)</f>
        <v/>
      </c>
      <c r="W9" s="15">
        <f>Inputs!$B$96+Inputs!$C$96/1000*CHOOSE(Inputs!$D$96,Forecast!W30,Forecast!W35,Forecast!W43,Forecast!W58)</f>
        <v/>
      </c>
      <c r="X9" s="15">
        <f>Inputs!$B$96+Inputs!$C$96/1000*CHOOSE(Inputs!$D$96,Forecast!X30,Forecast!X35,Forecast!X43,Forecast!X58)</f>
        <v/>
      </c>
      <c r="Y9" s="15">
        <f>Inputs!$B$96+Inputs!$C$96/1000*CHOOSE(Inputs!$D$96,Forecast!Y30,Forecast!Y35,Forecast!Y43,Forecast!Y58)</f>
        <v/>
      </c>
      <c r="Z9" s="15">
        <f>Inputs!$B$96+Inputs!$C$96/1000*CHOOSE(Inputs!$D$96,Forecast!Z30,Forecast!Z35,Forecast!Z43,Forecast!Z58)</f>
        <v/>
      </c>
      <c r="AA9" s="15">
        <f>Inputs!$B$96+Inputs!$C$96/1000*CHOOSE(Inputs!$D$96,Forecast!AA30,Forecast!AA35,Forecast!AA43,Forecast!AA58)</f>
        <v/>
      </c>
      <c r="AB9" s="15">
        <f>Inputs!$B$96+Inputs!$C$96/1000*CHOOSE(Inputs!$D$96,Forecast!AB30,Forecast!AB35,Forecast!AB43,Forecast!AB58)</f>
        <v/>
      </c>
      <c r="AC9" s="15">
        <f>Inputs!$B$96+Inputs!$C$96/1000*CHOOSE(Inputs!$D$96,Forecast!AC30,Forecast!AC35,Forecast!AC43,Forecast!AC58)</f>
        <v/>
      </c>
      <c r="AD9" s="15">
        <f>Inputs!$B$96+Inputs!$C$96/1000*CHOOSE(Inputs!$D$96,Forecast!AD30,Forecast!AD35,Forecast!AD43,Forecast!AD58)</f>
        <v/>
      </c>
      <c r="AE9" s="15">
        <f>Inputs!$B$96+Inputs!$C$96/1000*CHOOSE(Inputs!$D$96,Forecast!AE30,Forecast!AE35,Forecast!AE43,Forecast!AE58)</f>
        <v/>
      </c>
      <c r="AF9" s="15">
        <f>Inputs!$B$96+Inputs!$C$96/1000*CHOOSE(Inputs!$D$96,Forecast!AF30,Forecast!AF35,Forecast!AF43,Forecast!AF58)</f>
        <v/>
      </c>
      <c r="AG9" s="15">
        <f>Inputs!$B$96+Inputs!$C$96/1000*CHOOSE(Inputs!$D$96,Forecast!AG30,Forecast!AG35,Forecast!AG43,Forecast!AG58)</f>
        <v/>
      </c>
      <c r="AH9" s="15">
        <f>Inputs!$B$96+Inputs!$C$96/1000*CHOOSE(Inputs!$D$96,Forecast!AH30,Forecast!AH35,Forecast!AH43,Forecast!AH58)</f>
        <v/>
      </c>
      <c r="AI9" s="15">
        <f>Inputs!$B$96+Inputs!$C$96/1000*CHOOSE(Inputs!$D$96,Forecast!AI30,Forecast!AI35,Forecast!AI43,Forecast!AI58)</f>
        <v/>
      </c>
      <c r="AJ9" s="15">
        <f>Inputs!$B$96+Inputs!$C$96/1000*CHOOSE(Inputs!$D$96,Forecast!AJ30,Forecast!AJ35,Forecast!AJ43,Forecast!AJ58)</f>
        <v/>
      </c>
      <c r="AK9" s="15">
        <f>Inputs!$B$96+Inputs!$C$96/1000*CHOOSE(Inputs!$D$96,Forecast!AK30,Forecast!AK35,Forecast!AK43,Forecast!AK58)</f>
        <v/>
      </c>
      <c r="AL9" s="15">
        <f>Inputs!$B$96+Inputs!$C$96/1000*CHOOSE(Inputs!$D$96,Forecast!AL30,Forecast!AL35,Forecast!AL43,Forecast!AL58)</f>
        <v/>
      </c>
      <c r="AM9" s="15">
        <f>Inputs!$B$96+Inputs!$C$96/1000*CHOOSE(Inputs!$D$96,Forecast!AM30,Forecast!AM35,Forecast!AM43,Forecast!AM58)</f>
        <v/>
      </c>
    </row>
    <row r="10">
      <c r="A10" s="5">
        <f>Inputs!A97</f>
        <v/>
      </c>
      <c r="B10" s="35">
        <f>Inputs!D97</f>
        <v/>
      </c>
      <c r="D10" s="15">
        <f>Inputs!$B$97+Inputs!$C$97/1000*CHOOSE(Inputs!$D$97,Forecast!D30,Forecast!D35,Forecast!D43,Forecast!D58)</f>
        <v/>
      </c>
      <c r="E10" s="15">
        <f>Inputs!$B$97+Inputs!$C$97/1000*CHOOSE(Inputs!$D$97,Forecast!E30,Forecast!E35,Forecast!E43,Forecast!E58)</f>
        <v/>
      </c>
      <c r="F10" s="15">
        <f>Inputs!$B$97+Inputs!$C$97/1000*CHOOSE(Inputs!$D$97,Forecast!F30,Forecast!F35,Forecast!F43,Forecast!F58)</f>
        <v/>
      </c>
      <c r="G10" s="15">
        <f>Inputs!$B$97+Inputs!$C$97/1000*CHOOSE(Inputs!$D$97,Forecast!G30,Forecast!G35,Forecast!G43,Forecast!G58)</f>
        <v/>
      </c>
      <c r="H10" s="15">
        <f>Inputs!$B$97+Inputs!$C$97/1000*CHOOSE(Inputs!$D$97,Forecast!H30,Forecast!H35,Forecast!H43,Forecast!H58)</f>
        <v/>
      </c>
      <c r="I10" s="15">
        <f>Inputs!$B$97+Inputs!$C$97/1000*CHOOSE(Inputs!$D$97,Forecast!I30,Forecast!I35,Forecast!I43,Forecast!I58)</f>
        <v/>
      </c>
      <c r="J10" s="15">
        <f>Inputs!$B$97+Inputs!$C$97/1000*CHOOSE(Inputs!$D$97,Forecast!J30,Forecast!J35,Forecast!J43,Forecast!J58)</f>
        <v/>
      </c>
      <c r="K10" s="15">
        <f>Inputs!$B$97+Inputs!$C$97/1000*CHOOSE(Inputs!$D$97,Forecast!K30,Forecast!K35,Forecast!K43,Forecast!K58)</f>
        <v/>
      </c>
      <c r="L10" s="15">
        <f>Inputs!$B$97+Inputs!$C$97/1000*CHOOSE(Inputs!$D$97,Forecast!L30,Forecast!L35,Forecast!L43,Forecast!L58)</f>
        <v/>
      </c>
      <c r="M10" s="15">
        <f>Inputs!$B$97+Inputs!$C$97/1000*CHOOSE(Inputs!$D$97,Forecast!M30,Forecast!M35,Forecast!M43,Forecast!M58)</f>
        <v/>
      </c>
      <c r="N10" s="15">
        <f>Inputs!$B$97+Inputs!$C$97/1000*CHOOSE(Inputs!$D$97,Forecast!N30,Forecast!N35,Forecast!N43,Forecast!N58)</f>
        <v/>
      </c>
      <c r="O10" s="15">
        <f>Inputs!$B$97+Inputs!$C$97/1000*CHOOSE(Inputs!$D$97,Forecast!O30,Forecast!O35,Forecast!O43,Forecast!O58)</f>
        <v/>
      </c>
      <c r="P10" s="15">
        <f>Inputs!$B$97+Inputs!$C$97/1000*CHOOSE(Inputs!$D$97,Forecast!P30,Forecast!P35,Forecast!P43,Forecast!P58)</f>
        <v/>
      </c>
      <c r="Q10" s="15">
        <f>Inputs!$B$97+Inputs!$C$97/1000*CHOOSE(Inputs!$D$97,Forecast!Q30,Forecast!Q35,Forecast!Q43,Forecast!Q58)</f>
        <v/>
      </c>
      <c r="R10" s="15">
        <f>Inputs!$B$97+Inputs!$C$97/1000*CHOOSE(Inputs!$D$97,Forecast!R30,Forecast!R35,Forecast!R43,Forecast!R58)</f>
        <v/>
      </c>
      <c r="S10" s="15">
        <f>Inputs!$B$97+Inputs!$C$97/1000*CHOOSE(Inputs!$D$97,Forecast!S30,Forecast!S35,Forecast!S43,Forecast!S58)</f>
        <v/>
      </c>
      <c r="T10" s="15">
        <f>Inputs!$B$97+Inputs!$C$97/1000*CHOOSE(Inputs!$D$97,Forecast!T30,Forecast!T35,Forecast!T43,Forecast!T58)</f>
        <v/>
      </c>
      <c r="U10" s="15">
        <f>Inputs!$B$97+Inputs!$C$97/1000*CHOOSE(Inputs!$D$97,Forecast!U30,Forecast!U35,Forecast!U43,Forecast!U58)</f>
        <v/>
      </c>
      <c r="V10" s="15">
        <f>Inputs!$B$97+Inputs!$C$97/1000*CHOOSE(Inputs!$D$97,Forecast!V30,Forecast!V35,Forecast!V43,Forecast!V58)</f>
        <v/>
      </c>
      <c r="W10" s="15">
        <f>Inputs!$B$97+Inputs!$C$97/1000*CHOOSE(Inputs!$D$97,Forecast!W30,Forecast!W35,Forecast!W43,Forecast!W58)</f>
        <v/>
      </c>
      <c r="X10" s="15">
        <f>Inputs!$B$97+Inputs!$C$97/1000*CHOOSE(Inputs!$D$97,Forecast!X30,Forecast!X35,Forecast!X43,Forecast!X58)</f>
        <v/>
      </c>
      <c r="Y10" s="15">
        <f>Inputs!$B$97+Inputs!$C$97/1000*CHOOSE(Inputs!$D$97,Forecast!Y30,Forecast!Y35,Forecast!Y43,Forecast!Y58)</f>
        <v/>
      </c>
      <c r="Z10" s="15">
        <f>Inputs!$B$97+Inputs!$C$97/1000*CHOOSE(Inputs!$D$97,Forecast!Z30,Forecast!Z35,Forecast!Z43,Forecast!Z58)</f>
        <v/>
      </c>
      <c r="AA10" s="15">
        <f>Inputs!$B$97+Inputs!$C$97/1000*CHOOSE(Inputs!$D$97,Forecast!AA30,Forecast!AA35,Forecast!AA43,Forecast!AA58)</f>
        <v/>
      </c>
      <c r="AB10" s="15">
        <f>Inputs!$B$97+Inputs!$C$97/1000*CHOOSE(Inputs!$D$97,Forecast!AB30,Forecast!AB35,Forecast!AB43,Forecast!AB58)</f>
        <v/>
      </c>
      <c r="AC10" s="15">
        <f>Inputs!$B$97+Inputs!$C$97/1000*CHOOSE(Inputs!$D$97,Forecast!AC30,Forecast!AC35,Forecast!AC43,Forecast!AC58)</f>
        <v/>
      </c>
      <c r="AD10" s="15">
        <f>Inputs!$B$97+Inputs!$C$97/1000*CHOOSE(Inputs!$D$97,Forecast!AD30,Forecast!AD35,Forecast!AD43,Forecast!AD58)</f>
        <v/>
      </c>
      <c r="AE10" s="15">
        <f>Inputs!$B$97+Inputs!$C$97/1000*CHOOSE(Inputs!$D$97,Forecast!AE30,Forecast!AE35,Forecast!AE43,Forecast!AE58)</f>
        <v/>
      </c>
      <c r="AF10" s="15">
        <f>Inputs!$B$97+Inputs!$C$97/1000*CHOOSE(Inputs!$D$97,Forecast!AF30,Forecast!AF35,Forecast!AF43,Forecast!AF58)</f>
        <v/>
      </c>
      <c r="AG10" s="15">
        <f>Inputs!$B$97+Inputs!$C$97/1000*CHOOSE(Inputs!$D$97,Forecast!AG30,Forecast!AG35,Forecast!AG43,Forecast!AG58)</f>
        <v/>
      </c>
      <c r="AH10" s="15">
        <f>Inputs!$B$97+Inputs!$C$97/1000*CHOOSE(Inputs!$D$97,Forecast!AH30,Forecast!AH35,Forecast!AH43,Forecast!AH58)</f>
        <v/>
      </c>
      <c r="AI10" s="15">
        <f>Inputs!$B$97+Inputs!$C$97/1000*CHOOSE(Inputs!$D$97,Forecast!AI30,Forecast!AI35,Forecast!AI43,Forecast!AI58)</f>
        <v/>
      </c>
      <c r="AJ10" s="15">
        <f>Inputs!$B$97+Inputs!$C$97/1000*CHOOSE(Inputs!$D$97,Forecast!AJ30,Forecast!AJ35,Forecast!AJ43,Forecast!AJ58)</f>
        <v/>
      </c>
      <c r="AK10" s="15">
        <f>Inputs!$B$97+Inputs!$C$97/1000*CHOOSE(Inputs!$D$97,Forecast!AK30,Forecast!AK35,Forecast!AK43,Forecast!AK58)</f>
        <v/>
      </c>
      <c r="AL10" s="15">
        <f>Inputs!$B$97+Inputs!$C$97/1000*CHOOSE(Inputs!$D$97,Forecast!AL30,Forecast!AL35,Forecast!AL43,Forecast!AL58)</f>
        <v/>
      </c>
      <c r="AM10" s="15">
        <f>Inputs!$B$97+Inputs!$C$97/1000*CHOOSE(Inputs!$D$97,Forecast!AM30,Forecast!AM35,Forecast!AM43,Forecast!AM58)</f>
        <v/>
      </c>
    </row>
    <row r="11">
      <c r="A11" s="5">
        <f>Inputs!A98</f>
        <v/>
      </c>
      <c r="B11" s="35">
        <f>Inputs!D98</f>
        <v/>
      </c>
      <c r="D11" s="15">
        <f>Inputs!$B$98+Inputs!$C$98/1000*CHOOSE(Inputs!$D$98,Forecast!D30,Forecast!D35,Forecast!D43,Forecast!D58)</f>
        <v/>
      </c>
      <c r="E11" s="15">
        <f>Inputs!$B$98+Inputs!$C$98/1000*CHOOSE(Inputs!$D$98,Forecast!E30,Forecast!E35,Forecast!E43,Forecast!E58)</f>
        <v/>
      </c>
      <c r="F11" s="15">
        <f>Inputs!$B$98+Inputs!$C$98/1000*CHOOSE(Inputs!$D$98,Forecast!F30,Forecast!F35,Forecast!F43,Forecast!F58)</f>
        <v/>
      </c>
      <c r="G11" s="15">
        <f>Inputs!$B$98+Inputs!$C$98/1000*CHOOSE(Inputs!$D$98,Forecast!G30,Forecast!G35,Forecast!G43,Forecast!G58)</f>
        <v/>
      </c>
      <c r="H11" s="15">
        <f>Inputs!$B$98+Inputs!$C$98/1000*CHOOSE(Inputs!$D$98,Forecast!H30,Forecast!H35,Forecast!H43,Forecast!H58)</f>
        <v/>
      </c>
      <c r="I11" s="15">
        <f>Inputs!$B$98+Inputs!$C$98/1000*CHOOSE(Inputs!$D$98,Forecast!I30,Forecast!I35,Forecast!I43,Forecast!I58)</f>
        <v/>
      </c>
      <c r="J11" s="15">
        <f>Inputs!$B$98+Inputs!$C$98/1000*CHOOSE(Inputs!$D$98,Forecast!J30,Forecast!J35,Forecast!J43,Forecast!J58)</f>
        <v/>
      </c>
      <c r="K11" s="15">
        <f>Inputs!$B$98+Inputs!$C$98/1000*CHOOSE(Inputs!$D$98,Forecast!K30,Forecast!K35,Forecast!K43,Forecast!K58)</f>
        <v/>
      </c>
      <c r="L11" s="15">
        <f>Inputs!$B$98+Inputs!$C$98/1000*CHOOSE(Inputs!$D$98,Forecast!L30,Forecast!L35,Forecast!L43,Forecast!L58)</f>
        <v/>
      </c>
      <c r="M11" s="15">
        <f>Inputs!$B$98+Inputs!$C$98/1000*CHOOSE(Inputs!$D$98,Forecast!M30,Forecast!M35,Forecast!M43,Forecast!M58)</f>
        <v/>
      </c>
      <c r="N11" s="15">
        <f>Inputs!$B$98+Inputs!$C$98/1000*CHOOSE(Inputs!$D$98,Forecast!N30,Forecast!N35,Forecast!N43,Forecast!N58)</f>
        <v/>
      </c>
      <c r="O11" s="15">
        <f>Inputs!$B$98+Inputs!$C$98/1000*CHOOSE(Inputs!$D$98,Forecast!O30,Forecast!O35,Forecast!O43,Forecast!O58)</f>
        <v/>
      </c>
      <c r="P11" s="15">
        <f>Inputs!$B$98+Inputs!$C$98/1000*CHOOSE(Inputs!$D$98,Forecast!P30,Forecast!P35,Forecast!P43,Forecast!P58)</f>
        <v/>
      </c>
      <c r="Q11" s="15">
        <f>Inputs!$B$98+Inputs!$C$98/1000*CHOOSE(Inputs!$D$98,Forecast!Q30,Forecast!Q35,Forecast!Q43,Forecast!Q58)</f>
        <v/>
      </c>
      <c r="R11" s="15">
        <f>Inputs!$B$98+Inputs!$C$98/1000*CHOOSE(Inputs!$D$98,Forecast!R30,Forecast!R35,Forecast!R43,Forecast!R58)</f>
        <v/>
      </c>
      <c r="S11" s="15">
        <f>Inputs!$B$98+Inputs!$C$98/1000*CHOOSE(Inputs!$D$98,Forecast!S30,Forecast!S35,Forecast!S43,Forecast!S58)</f>
        <v/>
      </c>
      <c r="T11" s="15">
        <f>Inputs!$B$98+Inputs!$C$98/1000*CHOOSE(Inputs!$D$98,Forecast!T30,Forecast!T35,Forecast!T43,Forecast!T58)</f>
        <v/>
      </c>
      <c r="U11" s="15">
        <f>Inputs!$B$98+Inputs!$C$98/1000*CHOOSE(Inputs!$D$98,Forecast!U30,Forecast!U35,Forecast!U43,Forecast!U58)</f>
        <v/>
      </c>
      <c r="V11" s="15">
        <f>Inputs!$B$98+Inputs!$C$98/1000*CHOOSE(Inputs!$D$98,Forecast!V30,Forecast!V35,Forecast!V43,Forecast!V58)</f>
        <v/>
      </c>
      <c r="W11" s="15">
        <f>Inputs!$B$98+Inputs!$C$98/1000*CHOOSE(Inputs!$D$98,Forecast!W30,Forecast!W35,Forecast!W43,Forecast!W58)</f>
        <v/>
      </c>
      <c r="X11" s="15">
        <f>Inputs!$B$98+Inputs!$C$98/1000*CHOOSE(Inputs!$D$98,Forecast!X30,Forecast!X35,Forecast!X43,Forecast!X58)</f>
        <v/>
      </c>
      <c r="Y11" s="15">
        <f>Inputs!$B$98+Inputs!$C$98/1000*CHOOSE(Inputs!$D$98,Forecast!Y30,Forecast!Y35,Forecast!Y43,Forecast!Y58)</f>
        <v/>
      </c>
      <c r="Z11" s="15">
        <f>Inputs!$B$98+Inputs!$C$98/1000*CHOOSE(Inputs!$D$98,Forecast!Z30,Forecast!Z35,Forecast!Z43,Forecast!Z58)</f>
        <v/>
      </c>
      <c r="AA11" s="15">
        <f>Inputs!$B$98+Inputs!$C$98/1000*CHOOSE(Inputs!$D$98,Forecast!AA30,Forecast!AA35,Forecast!AA43,Forecast!AA58)</f>
        <v/>
      </c>
      <c r="AB11" s="15">
        <f>Inputs!$B$98+Inputs!$C$98/1000*CHOOSE(Inputs!$D$98,Forecast!AB30,Forecast!AB35,Forecast!AB43,Forecast!AB58)</f>
        <v/>
      </c>
      <c r="AC11" s="15">
        <f>Inputs!$B$98+Inputs!$C$98/1000*CHOOSE(Inputs!$D$98,Forecast!AC30,Forecast!AC35,Forecast!AC43,Forecast!AC58)</f>
        <v/>
      </c>
      <c r="AD11" s="15">
        <f>Inputs!$B$98+Inputs!$C$98/1000*CHOOSE(Inputs!$D$98,Forecast!AD30,Forecast!AD35,Forecast!AD43,Forecast!AD58)</f>
        <v/>
      </c>
      <c r="AE11" s="15">
        <f>Inputs!$B$98+Inputs!$C$98/1000*CHOOSE(Inputs!$D$98,Forecast!AE30,Forecast!AE35,Forecast!AE43,Forecast!AE58)</f>
        <v/>
      </c>
      <c r="AF11" s="15">
        <f>Inputs!$B$98+Inputs!$C$98/1000*CHOOSE(Inputs!$D$98,Forecast!AF30,Forecast!AF35,Forecast!AF43,Forecast!AF58)</f>
        <v/>
      </c>
      <c r="AG11" s="15">
        <f>Inputs!$B$98+Inputs!$C$98/1000*CHOOSE(Inputs!$D$98,Forecast!AG30,Forecast!AG35,Forecast!AG43,Forecast!AG58)</f>
        <v/>
      </c>
      <c r="AH11" s="15">
        <f>Inputs!$B$98+Inputs!$C$98/1000*CHOOSE(Inputs!$D$98,Forecast!AH30,Forecast!AH35,Forecast!AH43,Forecast!AH58)</f>
        <v/>
      </c>
      <c r="AI11" s="15">
        <f>Inputs!$B$98+Inputs!$C$98/1000*CHOOSE(Inputs!$D$98,Forecast!AI30,Forecast!AI35,Forecast!AI43,Forecast!AI58)</f>
        <v/>
      </c>
      <c r="AJ11" s="15">
        <f>Inputs!$B$98+Inputs!$C$98/1000*CHOOSE(Inputs!$D$98,Forecast!AJ30,Forecast!AJ35,Forecast!AJ43,Forecast!AJ58)</f>
        <v/>
      </c>
      <c r="AK11" s="15">
        <f>Inputs!$B$98+Inputs!$C$98/1000*CHOOSE(Inputs!$D$98,Forecast!AK30,Forecast!AK35,Forecast!AK43,Forecast!AK58)</f>
        <v/>
      </c>
      <c r="AL11" s="15">
        <f>Inputs!$B$98+Inputs!$C$98/1000*CHOOSE(Inputs!$D$98,Forecast!AL30,Forecast!AL35,Forecast!AL43,Forecast!AL58)</f>
        <v/>
      </c>
      <c r="AM11" s="15">
        <f>Inputs!$B$98+Inputs!$C$98/1000*CHOOSE(Inputs!$D$98,Forecast!AM30,Forecast!AM35,Forecast!AM43,Forecast!AM58)</f>
        <v/>
      </c>
    </row>
    <row r="12">
      <c r="A12" s="5">
        <f>Inputs!A99</f>
        <v/>
      </c>
      <c r="B12" s="35">
        <f>Inputs!D99</f>
        <v/>
      </c>
      <c r="D12" s="15">
        <f>Inputs!$B$99+Inputs!$C$99/1000*CHOOSE(Inputs!$D$99,Forecast!D30,Forecast!D35,Forecast!D43,Forecast!D58)</f>
        <v/>
      </c>
      <c r="E12" s="15">
        <f>Inputs!$B$99+Inputs!$C$99/1000*CHOOSE(Inputs!$D$99,Forecast!E30,Forecast!E35,Forecast!E43,Forecast!E58)</f>
        <v/>
      </c>
      <c r="F12" s="15">
        <f>Inputs!$B$99+Inputs!$C$99/1000*CHOOSE(Inputs!$D$99,Forecast!F30,Forecast!F35,Forecast!F43,Forecast!F58)</f>
        <v/>
      </c>
      <c r="G12" s="15">
        <f>Inputs!$B$99+Inputs!$C$99/1000*CHOOSE(Inputs!$D$99,Forecast!G30,Forecast!G35,Forecast!G43,Forecast!G58)</f>
        <v/>
      </c>
      <c r="H12" s="15">
        <f>Inputs!$B$99+Inputs!$C$99/1000*CHOOSE(Inputs!$D$99,Forecast!H30,Forecast!H35,Forecast!H43,Forecast!H58)</f>
        <v/>
      </c>
      <c r="I12" s="15">
        <f>Inputs!$B$99+Inputs!$C$99/1000*CHOOSE(Inputs!$D$99,Forecast!I30,Forecast!I35,Forecast!I43,Forecast!I58)</f>
        <v/>
      </c>
      <c r="J12" s="15">
        <f>Inputs!$B$99+Inputs!$C$99/1000*CHOOSE(Inputs!$D$99,Forecast!J30,Forecast!J35,Forecast!J43,Forecast!J58)</f>
        <v/>
      </c>
      <c r="K12" s="15">
        <f>Inputs!$B$99+Inputs!$C$99/1000*CHOOSE(Inputs!$D$99,Forecast!K30,Forecast!K35,Forecast!K43,Forecast!K58)</f>
        <v/>
      </c>
      <c r="L12" s="15">
        <f>Inputs!$B$99+Inputs!$C$99/1000*CHOOSE(Inputs!$D$99,Forecast!L30,Forecast!L35,Forecast!L43,Forecast!L58)</f>
        <v/>
      </c>
      <c r="M12" s="15">
        <f>Inputs!$B$99+Inputs!$C$99/1000*CHOOSE(Inputs!$D$99,Forecast!M30,Forecast!M35,Forecast!M43,Forecast!M58)</f>
        <v/>
      </c>
      <c r="N12" s="15">
        <f>Inputs!$B$99+Inputs!$C$99/1000*CHOOSE(Inputs!$D$99,Forecast!N30,Forecast!N35,Forecast!N43,Forecast!N58)</f>
        <v/>
      </c>
      <c r="O12" s="15">
        <f>Inputs!$B$99+Inputs!$C$99/1000*CHOOSE(Inputs!$D$99,Forecast!O30,Forecast!O35,Forecast!O43,Forecast!O58)</f>
        <v/>
      </c>
      <c r="P12" s="15">
        <f>Inputs!$B$99+Inputs!$C$99/1000*CHOOSE(Inputs!$D$99,Forecast!P30,Forecast!P35,Forecast!P43,Forecast!P58)</f>
        <v/>
      </c>
      <c r="Q12" s="15">
        <f>Inputs!$B$99+Inputs!$C$99/1000*CHOOSE(Inputs!$D$99,Forecast!Q30,Forecast!Q35,Forecast!Q43,Forecast!Q58)</f>
        <v/>
      </c>
      <c r="R12" s="15">
        <f>Inputs!$B$99+Inputs!$C$99/1000*CHOOSE(Inputs!$D$99,Forecast!R30,Forecast!R35,Forecast!R43,Forecast!R58)</f>
        <v/>
      </c>
      <c r="S12" s="15">
        <f>Inputs!$B$99+Inputs!$C$99/1000*CHOOSE(Inputs!$D$99,Forecast!S30,Forecast!S35,Forecast!S43,Forecast!S58)</f>
        <v/>
      </c>
      <c r="T12" s="15">
        <f>Inputs!$B$99+Inputs!$C$99/1000*CHOOSE(Inputs!$D$99,Forecast!T30,Forecast!T35,Forecast!T43,Forecast!T58)</f>
        <v/>
      </c>
      <c r="U12" s="15">
        <f>Inputs!$B$99+Inputs!$C$99/1000*CHOOSE(Inputs!$D$99,Forecast!U30,Forecast!U35,Forecast!U43,Forecast!U58)</f>
        <v/>
      </c>
      <c r="V12" s="15">
        <f>Inputs!$B$99+Inputs!$C$99/1000*CHOOSE(Inputs!$D$99,Forecast!V30,Forecast!V35,Forecast!V43,Forecast!V58)</f>
        <v/>
      </c>
      <c r="W12" s="15">
        <f>Inputs!$B$99+Inputs!$C$99/1000*CHOOSE(Inputs!$D$99,Forecast!W30,Forecast!W35,Forecast!W43,Forecast!W58)</f>
        <v/>
      </c>
      <c r="X12" s="15">
        <f>Inputs!$B$99+Inputs!$C$99/1000*CHOOSE(Inputs!$D$99,Forecast!X30,Forecast!X35,Forecast!X43,Forecast!X58)</f>
        <v/>
      </c>
      <c r="Y12" s="15">
        <f>Inputs!$B$99+Inputs!$C$99/1000*CHOOSE(Inputs!$D$99,Forecast!Y30,Forecast!Y35,Forecast!Y43,Forecast!Y58)</f>
        <v/>
      </c>
      <c r="Z12" s="15">
        <f>Inputs!$B$99+Inputs!$C$99/1000*CHOOSE(Inputs!$D$99,Forecast!Z30,Forecast!Z35,Forecast!Z43,Forecast!Z58)</f>
        <v/>
      </c>
      <c r="AA12" s="15">
        <f>Inputs!$B$99+Inputs!$C$99/1000*CHOOSE(Inputs!$D$99,Forecast!AA30,Forecast!AA35,Forecast!AA43,Forecast!AA58)</f>
        <v/>
      </c>
      <c r="AB12" s="15">
        <f>Inputs!$B$99+Inputs!$C$99/1000*CHOOSE(Inputs!$D$99,Forecast!AB30,Forecast!AB35,Forecast!AB43,Forecast!AB58)</f>
        <v/>
      </c>
      <c r="AC12" s="15">
        <f>Inputs!$B$99+Inputs!$C$99/1000*CHOOSE(Inputs!$D$99,Forecast!AC30,Forecast!AC35,Forecast!AC43,Forecast!AC58)</f>
        <v/>
      </c>
      <c r="AD12" s="15">
        <f>Inputs!$B$99+Inputs!$C$99/1000*CHOOSE(Inputs!$D$99,Forecast!AD30,Forecast!AD35,Forecast!AD43,Forecast!AD58)</f>
        <v/>
      </c>
      <c r="AE12" s="15">
        <f>Inputs!$B$99+Inputs!$C$99/1000*CHOOSE(Inputs!$D$99,Forecast!AE30,Forecast!AE35,Forecast!AE43,Forecast!AE58)</f>
        <v/>
      </c>
      <c r="AF12" s="15">
        <f>Inputs!$B$99+Inputs!$C$99/1000*CHOOSE(Inputs!$D$99,Forecast!AF30,Forecast!AF35,Forecast!AF43,Forecast!AF58)</f>
        <v/>
      </c>
      <c r="AG12" s="15">
        <f>Inputs!$B$99+Inputs!$C$99/1000*CHOOSE(Inputs!$D$99,Forecast!AG30,Forecast!AG35,Forecast!AG43,Forecast!AG58)</f>
        <v/>
      </c>
      <c r="AH12" s="15">
        <f>Inputs!$B$99+Inputs!$C$99/1000*CHOOSE(Inputs!$D$99,Forecast!AH30,Forecast!AH35,Forecast!AH43,Forecast!AH58)</f>
        <v/>
      </c>
      <c r="AI12" s="15">
        <f>Inputs!$B$99+Inputs!$C$99/1000*CHOOSE(Inputs!$D$99,Forecast!AI30,Forecast!AI35,Forecast!AI43,Forecast!AI58)</f>
        <v/>
      </c>
      <c r="AJ12" s="15">
        <f>Inputs!$B$99+Inputs!$C$99/1000*CHOOSE(Inputs!$D$99,Forecast!AJ30,Forecast!AJ35,Forecast!AJ43,Forecast!AJ58)</f>
        <v/>
      </c>
      <c r="AK12" s="15">
        <f>Inputs!$B$99+Inputs!$C$99/1000*CHOOSE(Inputs!$D$99,Forecast!AK30,Forecast!AK35,Forecast!AK43,Forecast!AK58)</f>
        <v/>
      </c>
      <c r="AL12" s="15">
        <f>Inputs!$B$99+Inputs!$C$99/1000*CHOOSE(Inputs!$D$99,Forecast!AL30,Forecast!AL35,Forecast!AL43,Forecast!AL58)</f>
        <v/>
      </c>
      <c r="AM12" s="15">
        <f>Inputs!$B$99+Inputs!$C$99/1000*CHOOSE(Inputs!$D$99,Forecast!AM30,Forecast!AM35,Forecast!AM43,Forecast!AM58)</f>
        <v/>
      </c>
    </row>
    <row r="13">
      <c r="A13" s="5">
        <f>Inputs!A100</f>
        <v/>
      </c>
      <c r="B13" s="35">
        <f>Inputs!D100</f>
        <v/>
      </c>
      <c r="D13" s="15">
        <f>Inputs!$B$100+Inputs!$C$100/1000*CHOOSE(Inputs!$D$100,Forecast!D30,Forecast!D35,Forecast!D43,Forecast!D58)</f>
        <v/>
      </c>
      <c r="E13" s="15">
        <f>Inputs!$B$100+Inputs!$C$100/1000*CHOOSE(Inputs!$D$100,Forecast!E30,Forecast!E35,Forecast!E43,Forecast!E58)</f>
        <v/>
      </c>
      <c r="F13" s="15">
        <f>Inputs!$B$100+Inputs!$C$100/1000*CHOOSE(Inputs!$D$100,Forecast!F30,Forecast!F35,Forecast!F43,Forecast!F58)</f>
        <v/>
      </c>
      <c r="G13" s="15">
        <f>Inputs!$B$100+Inputs!$C$100/1000*CHOOSE(Inputs!$D$100,Forecast!G30,Forecast!G35,Forecast!G43,Forecast!G58)</f>
        <v/>
      </c>
      <c r="H13" s="15">
        <f>Inputs!$B$100+Inputs!$C$100/1000*CHOOSE(Inputs!$D$100,Forecast!H30,Forecast!H35,Forecast!H43,Forecast!H58)</f>
        <v/>
      </c>
      <c r="I13" s="15">
        <f>Inputs!$B$100+Inputs!$C$100/1000*CHOOSE(Inputs!$D$100,Forecast!I30,Forecast!I35,Forecast!I43,Forecast!I58)</f>
        <v/>
      </c>
      <c r="J13" s="15">
        <f>Inputs!$B$100+Inputs!$C$100/1000*CHOOSE(Inputs!$D$100,Forecast!J30,Forecast!J35,Forecast!J43,Forecast!J58)</f>
        <v/>
      </c>
      <c r="K13" s="15">
        <f>Inputs!$B$100+Inputs!$C$100/1000*CHOOSE(Inputs!$D$100,Forecast!K30,Forecast!K35,Forecast!K43,Forecast!K58)</f>
        <v/>
      </c>
      <c r="L13" s="15">
        <f>Inputs!$B$100+Inputs!$C$100/1000*CHOOSE(Inputs!$D$100,Forecast!L30,Forecast!L35,Forecast!L43,Forecast!L58)</f>
        <v/>
      </c>
      <c r="M13" s="15">
        <f>Inputs!$B$100+Inputs!$C$100/1000*CHOOSE(Inputs!$D$100,Forecast!M30,Forecast!M35,Forecast!M43,Forecast!M58)</f>
        <v/>
      </c>
      <c r="N13" s="15">
        <f>Inputs!$B$100+Inputs!$C$100/1000*CHOOSE(Inputs!$D$100,Forecast!N30,Forecast!N35,Forecast!N43,Forecast!N58)</f>
        <v/>
      </c>
      <c r="O13" s="15">
        <f>Inputs!$B$100+Inputs!$C$100/1000*CHOOSE(Inputs!$D$100,Forecast!O30,Forecast!O35,Forecast!O43,Forecast!O58)</f>
        <v/>
      </c>
      <c r="P13" s="15">
        <f>Inputs!$B$100+Inputs!$C$100/1000*CHOOSE(Inputs!$D$100,Forecast!P30,Forecast!P35,Forecast!P43,Forecast!P58)</f>
        <v/>
      </c>
      <c r="Q13" s="15">
        <f>Inputs!$B$100+Inputs!$C$100/1000*CHOOSE(Inputs!$D$100,Forecast!Q30,Forecast!Q35,Forecast!Q43,Forecast!Q58)</f>
        <v/>
      </c>
      <c r="R13" s="15">
        <f>Inputs!$B$100+Inputs!$C$100/1000*CHOOSE(Inputs!$D$100,Forecast!R30,Forecast!R35,Forecast!R43,Forecast!R58)</f>
        <v/>
      </c>
      <c r="S13" s="15">
        <f>Inputs!$B$100+Inputs!$C$100/1000*CHOOSE(Inputs!$D$100,Forecast!S30,Forecast!S35,Forecast!S43,Forecast!S58)</f>
        <v/>
      </c>
      <c r="T13" s="15">
        <f>Inputs!$B$100+Inputs!$C$100/1000*CHOOSE(Inputs!$D$100,Forecast!T30,Forecast!T35,Forecast!T43,Forecast!T58)</f>
        <v/>
      </c>
      <c r="U13" s="15">
        <f>Inputs!$B$100+Inputs!$C$100/1000*CHOOSE(Inputs!$D$100,Forecast!U30,Forecast!U35,Forecast!U43,Forecast!U58)</f>
        <v/>
      </c>
      <c r="V13" s="15">
        <f>Inputs!$B$100+Inputs!$C$100/1000*CHOOSE(Inputs!$D$100,Forecast!V30,Forecast!V35,Forecast!V43,Forecast!V58)</f>
        <v/>
      </c>
      <c r="W13" s="15">
        <f>Inputs!$B$100+Inputs!$C$100/1000*CHOOSE(Inputs!$D$100,Forecast!W30,Forecast!W35,Forecast!W43,Forecast!W58)</f>
        <v/>
      </c>
      <c r="X13" s="15">
        <f>Inputs!$B$100+Inputs!$C$100/1000*CHOOSE(Inputs!$D$100,Forecast!X30,Forecast!X35,Forecast!X43,Forecast!X58)</f>
        <v/>
      </c>
      <c r="Y13" s="15">
        <f>Inputs!$B$100+Inputs!$C$100/1000*CHOOSE(Inputs!$D$100,Forecast!Y30,Forecast!Y35,Forecast!Y43,Forecast!Y58)</f>
        <v/>
      </c>
      <c r="Z13" s="15">
        <f>Inputs!$B$100+Inputs!$C$100/1000*CHOOSE(Inputs!$D$100,Forecast!Z30,Forecast!Z35,Forecast!Z43,Forecast!Z58)</f>
        <v/>
      </c>
      <c r="AA13" s="15">
        <f>Inputs!$B$100+Inputs!$C$100/1000*CHOOSE(Inputs!$D$100,Forecast!AA30,Forecast!AA35,Forecast!AA43,Forecast!AA58)</f>
        <v/>
      </c>
      <c r="AB13" s="15">
        <f>Inputs!$B$100+Inputs!$C$100/1000*CHOOSE(Inputs!$D$100,Forecast!AB30,Forecast!AB35,Forecast!AB43,Forecast!AB58)</f>
        <v/>
      </c>
      <c r="AC13" s="15">
        <f>Inputs!$B$100+Inputs!$C$100/1000*CHOOSE(Inputs!$D$100,Forecast!AC30,Forecast!AC35,Forecast!AC43,Forecast!AC58)</f>
        <v/>
      </c>
      <c r="AD13" s="15">
        <f>Inputs!$B$100+Inputs!$C$100/1000*CHOOSE(Inputs!$D$100,Forecast!AD30,Forecast!AD35,Forecast!AD43,Forecast!AD58)</f>
        <v/>
      </c>
      <c r="AE13" s="15">
        <f>Inputs!$B$100+Inputs!$C$100/1000*CHOOSE(Inputs!$D$100,Forecast!AE30,Forecast!AE35,Forecast!AE43,Forecast!AE58)</f>
        <v/>
      </c>
      <c r="AF13" s="15">
        <f>Inputs!$B$100+Inputs!$C$100/1000*CHOOSE(Inputs!$D$100,Forecast!AF30,Forecast!AF35,Forecast!AF43,Forecast!AF58)</f>
        <v/>
      </c>
      <c r="AG13" s="15">
        <f>Inputs!$B$100+Inputs!$C$100/1000*CHOOSE(Inputs!$D$100,Forecast!AG30,Forecast!AG35,Forecast!AG43,Forecast!AG58)</f>
        <v/>
      </c>
      <c r="AH13" s="15">
        <f>Inputs!$B$100+Inputs!$C$100/1000*CHOOSE(Inputs!$D$100,Forecast!AH30,Forecast!AH35,Forecast!AH43,Forecast!AH58)</f>
        <v/>
      </c>
      <c r="AI13" s="15">
        <f>Inputs!$B$100+Inputs!$C$100/1000*CHOOSE(Inputs!$D$100,Forecast!AI30,Forecast!AI35,Forecast!AI43,Forecast!AI58)</f>
        <v/>
      </c>
      <c r="AJ13" s="15">
        <f>Inputs!$B$100+Inputs!$C$100/1000*CHOOSE(Inputs!$D$100,Forecast!AJ30,Forecast!AJ35,Forecast!AJ43,Forecast!AJ58)</f>
        <v/>
      </c>
      <c r="AK13" s="15">
        <f>Inputs!$B$100+Inputs!$C$100/1000*CHOOSE(Inputs!$D$100,Forecast!AK30,Forecast!AK35,Forecast!AK43,Forecast!AK58)</f>
        <v/>
      </c>
      <c r="AL13" s="15">
        <f>Inputs!$B$100+Inputs!$C$100/1000*CHOOSE(Inputs!$D$100,Forecast!AL30,Forecast!AL35,Forecast!AL43,Forecast!AL58)</f>
        <v/>
      </c>
      <c r="AM13" s="15">
        <f>Inputs!$B$100+Inputs!$C$100/1000*CHOOSE(Inputs!$D$100,Forecast!AM30,Forecast!AM35,Forecast!AM43,Forecast!AM58)</f>
        <v/>
      </c>
    </row>
    <row r="14">
      <c r="A14" s="5">
        <f>Inputs!A101</f>
        <v/>
      </c>
      <c r="B14" s="35">
        <f>Inputs!D101</f>
        <v/>
      </c>
      <c r="D14" s="15">
        <f>Inputs!$B$101+Inputs!$C$101/1000*CHOOSE(Inputs!$D$101,Forecast!D30,Forecast!D35,Forecast!D43,Forecast!D58)</f>
        <v/>
      </c>
      <c r="E14" s="15">
        <f>Inputs!$B$101+Inputs!$C$101/1000*CHOOSE(Inputs!$D$101,Forecast!E30,Forecast!E35,Forecast!E43,Forecast!E58)</f>
        <v/>
      </c>
      <c r="F14" s="15">
        <f>Inputs!$B$101+Inputs!$C$101/1000*CHOOSE(Inputs!$D$101,Forecast!F30,Forecast!F35,Forecast!F43,Forecast!F58)</f>
        <v/>
      </c>
      <c r="G14" s="15">
        <f>Inputs!$B$101+Inputs!$C$101/1000*CHOOSE(Inputs!$D$101,Forecast!G30,Forecast!G35,Forecast!G43,Forecast!G58)</f>
        <v/>
      </c>
      <c r="H14" s="15">
        <f>Inputs!$B$101+Inputs!$C$101/1000*CHOOSE(Inputs!$D$101,Forecast!H30,Forecast!H35,Forecast!H43,Forecast!H58)</f>
        <v/>
      </c>
      <c r="I14" s="15">
        <f>Inputs!$B$101+Inputs!$C$101/1000*CHOOSE(Inputs!$D$101,Forecast!I30,Forecast!I35,Forecast!I43,Forecast!I58)</f>
        <v/>
      </c>
      <c r="J14" s="15">
        <f>Inputs!$B$101+Inputs!$C$101/1000*CHOOSE(Inputs!$D$101,Forecast!J30,Forecast!J35,Forecast!J43,Forecast!J58)</f>
        <v/>
      </c>
      <c r="K14" s="15">
        <f>Inputs!$B$101+Inputs!$C$101/1000*CHOOSE(Inputs!$D$101,Forecast!K30,Forecast!K35,Forecast!K43,Forecast!K58)</f>
        <v/>
      </c>
      <c r="L14" s="15">
        <f>Inputs!$B$101+Inputs!$C$101/1000*CHOOSE(Inputs!$D$101,Forecast!L30,Forecast!L35,Forecast!L43,Forecast!L58)</f>
        <v/>
      </c>
      <c r="M14" s="15">
        <f>Inputs!$B$101+Inputs!$C$101/1000*CHOOSE(Inputs!$D$101,Forecast!M30,Forecast!M35,Forecast!M43,Forecast!M58)</f>
        <v/>
      </c>
      <c r="N14" s="15">
        <f>Inputs!$B$101+Inputs!$C$101/1000*CHOOSE(Inputs!$D$101,Forecast!N30,Forecast!N35,Forecast!N43,Forecast!N58)</f>
        <v/>
      </c>
      <c r="O14" s="15">
        <f>Inputs!$B$101+Inputs!$C$101/1000*CHOOSE(Inputs!$D$101,Forecast!O30,Forecast!O35,Forecast!O43,Forecast!O58)</f>
        <v/>
      </c>
      <c r="P14" s="15">
        <f>Inputs!$B$101+Inputs!$C$101/1000*CHOOSE(Inputs!$D$101,Forecast!P30,Forecast!P35,Forecast!P43,Forecast!P58)</f>
        <v/>
      </c>
      <c r="Q14" s="15">
        <f>Inputs!$B$101+Inputs!$C$101/1000*CHOOSE(Inputs!$D$101,Forecast!Q30,Forecast!Q35,Forecast!Q43,Forecast!Q58)</f>
        <v/>
      </c>
      <c r="R14" s="15">
        <f>Inputs!$B$101+Inputs!$C$101/1000*CHOOSE(Inputs!$D$101,Forecast!R30,Forecast!R35,Forecast!R43,Forecast!R58)</f>
        <v/>
      </c>
      <c r="S14" s="15">
        <f>Inputs!$B$101+Inputs!$C$101/1000*CHOOSE(Inputs!$D$101,Forecast!S30,Forecast!S35,Forecast!S43,Forecast!S58)</f>
        <v/>
      </c>
      <c r="T14" s="15">
        <f>Inputs!$B$101+Inputs!$C$101/1000*CHOOSE(Inputs!$D$101,Forecast!T30,Forecast!T35,Forecast!T43,Forecast!T58)</f>
        <v/>
      </c>
      <c r="U14" s="15">
        <f>Inputs!$B$101+Inputs!$C$101/1000*CHOOSE(Inputs!$D$101,Forecast!U30,Forecast!U35,Forecast!U43,Forecast!U58)</f>
        <v/>
      </c>
      <c r="V14" s="15">
        <f>Inputs!$B$101+Inputs!$C$101/1000*CHOOSE(Inputs!$D$101,Forecast!V30,Forecast!V35,Forecast!V43,Forecast!V58)</f>
        <v/>
      </c>
      <c r="W14" s="15">
        <f>Inputs!$B$101+Inputs!$C$101/1000*CHOOSE(Inputs!$D$101,Forecast!W30,Forecast!W35,Forecast!W43,Forecast!W58)</f>
        <v/>
      </c>
      <c r="X14" s="15">
        <f>Inputs!$B$101+Inputs!$C$101/1000*CHOOSE(Inputs!$D$101,Forecast!X30,Forecast!X35,Forecast!X43,Forecast!X58)</f>
        <v/>
      </c>
      <c r="Y14" s="15">
        <f>Inputs!$B$101+Inputs!$C$101/1000*CHOOSE(Inputs!$D$101,Forecast!Y30,Forecast!Y35,Forecast!Y43,Forecast!Y58)</f>
        <v/>
      </c>
      <c r="Z14" s="15">
        <f>Inputs!$B$101+Inputs!$C$101/1000*CHOOSE(Inputs!$D$101,Forecast!Z30,Forecast!Z35,Forecast!Z43,Forecast!Z58)</f>
        <v/>
      </c>
      <c r="AA14" s="15">
        <f>Inputs!$B$101+Inputs!$C$101/1000*CHOOSE(Inputs!$D$101,Forecast!AA30,Forecast!AA35,Forecast!AA43,Forecast!AA58)</f>
        <v/>
      </c>
      <c r="AB14" s="15">
        <f>Inputs!$B$101+Inputs!$C$101/1000*CHOOSE(Inputs!$D$101,Forecast!AB30,Forecast!AB35,Forecast!AB43,Forecast!AB58)</f>
        <v/>
      </c>
      <c r="AC14" s="15">
        <f>Inputs!$B$101+Inputs!$C$101/1000*CHOOSE(Inputs!$D$101,Forecast!AC30,Forecast!AC35,Forecast!AC43,Forecast!AC58)</f>
        <v/>
      </c>
      <c r="AD14" s="15">
        <f>Inputs!$B$101+Inputs!$C$101/1000*CHOOSE(Inputs!$D$101,Forecast!AD30,Forecast!AD35,Forecast!AD43,Forecast!AD58)</f>
        <v/>
      </c>
      <c r="AE14" s="15">
        <f>Inputs!$B$101+Inputs!$C$101/1000*CHOOSE(Inputs!$D$101,Forecast!AE30,Forecast!AE35,Forecast!AE43,Forecast!AE58)</f>
        <v/>
      </c>
      <c r="AF14" s="15">
        <f>Inputs!$B$101+Inputs!$C$101/1000*CHOOSE(Inputs!$D$101,Forecast!AF30,Forecast!AF35,Forecast!AF43,Forecast!AF58)</f>
        <v/>
      </c>
      <c r="AG14" s="15">
        <f>Inputs!$B$101+Inputs!$C$101/1000*CHOOSE(Inputs!$D$101,Forecast!AG30,Forecast!AG35,Forecast!AG43,Forecast!AG58)</f>
        <v/>
      </c>
      <c r="AH14" s="15">
        <f>Inputs!$B$101+Inputs!$C$101/1000*CHOOSE(Inputs!$D$101,Forecast!AH30,Forecast!AH35,Forecast!AH43,Forecast!AH58)</f>
        <v/>
      </c>
      <c r="AI14" s="15">
        <f>Inputs!$B$101+Inputs!$C$101/1000*CHOOSE(Inputs!$D$101,Forecast!AI30,Forecast!AI35,Forecast!AI43,Forecast!AI58)</f>
        <v/>
      </c>
      <c r="AJ14" s="15">
        <f>Inputs!$B$101+Inputs!$C$101/1000*CHOOSE(Inputs!$D$101,Forecast!AJ30,Forecast!AJ35,Forecast!AJ43,Forecast!AJ58)</f>
        <v/>
      </c>
      <c r="AK14" s="15">
        <f>Inputs!$B$101+Inputs!$C$101/1000*CHOOSE(Inputs!$D$101,Forecast!AK30,Forecast!AK35,Forecast!AK43,Forecast!AK58)</f>
        <v/>
      </c>
      <c r="AL14" s="15">
        <f>Inputs!$B$101+Inputs!$C$101/1000*CHOOSE(Inputs!$D$101,Forecast!AL30,Forecast!AL35,Forecast!AL43,Forecast!AL58)</f>
        <v/>
      </c>
      <c r="AM14" s="15">
        <f>Inputs!$B$101+Inputs!$C$101/1000*CHOOSE(Inputs!$D$101,Forecast!AM30,Forecast!AM35,Forecast!AM43,Forecast!AM58)</f>
        <v/>
      </c>
    </row>
    <row r="15">
      <c r="A15" s="5">
        <f>Inputs!A102</f>
        <v/>
      </c>
      <c r="B15" s="35">
        <f>Inputs!D102</f>
        <v/>
      </c>
      <c r="D15" s="15">
        <f>Inputs!$B$102+Inputs!$C$102/1000*CHOOSE(Inputs!$D$102,Forecast!D30,Forecast!D35,Forecast!D43,Forecast!D58)</f>
        <v/>
      </c>
      <c r="E15" s="15">
        <f>Inputs!$B$102+Inputs!$C$102/1000*CHOOSE(Inputs!$D$102,Forecast!E30,Forecast!E35,Forecast!E43,Forecast!E58)</f>
        <v/>
      </c>
      <c r="F15" s="15">
        <f>Inputs!$B$102+Inputs!$C$102/1000*CHOOSE(Inputs!$D$102,Forecast!F30,Forecast!F35,Forecast!F43,Forecast!F58)</f>
        <v/>
      </c>
      <c r="G15" s="15">
        <f>Inputs!$B$102+Inputs!$C$102/1000*CHOOSE(Inputs!$D$102,Forecast!G30,Forecast!G35,Forecast!G43,Forecast!G58)</f>
        <v/>
      </c>
      <c r="H15" s="15">
        <f>Inputs!$B$102+Inputs!$C$102/1000*CHOOSE(Inputs!$D$102,Forecast!H30,Forecast!H35,Forecast!H43,Forecast!H58)</f>
        <v/>
      </c>
      <c r="I15" s="15">
        <f>Inputs!$B$102+Inputs!$C$102/1000*CHOOSE(Inputs!$D$102,Forecast!I30,Forecast!I35,Forecast!I43,Forecast!I58)</f>
        <v/>
      </c>
      <c r="J15" s="15">
        <f>Inputs!$B$102+Inputs!$C$102/1000*CHOOSE(Inputs!$D$102,Forecast!J30,Forecast!J35,Forecast!J43,Forecast!J58)</f>
        <v/>
      </c>
      <c r="K15" s="15">
        <f>Inputs!$B$102+Inputs!$C$102/1000*CHOOSE(Inputs!$D$102,Forecast!K30,Forecast!K35,Forecast!K43,Forecast!K58)</f>
        <v/>
      </c>
      <c r="L15" s="15">
        <f>Inputs!$B$102+Inputs!$C$102/1000*CHOOSE(Inputs!$D$102,Forecast!L30,Forecast!L35,Forecast!L43,Forecast!L58)</f>
        <v/>
      </c>
      <c r="M15" s="15">
        <f>Inputs!$B$102+Inputs!$C$102/1000*CHOOSE(Inputs!$D$102,Forecast!M30,Forecast!M35,Forecast!M43,Forecast!M58)</f>
        <v/>
      </c>
      <c r="N15" s="15">
        <f>Inputs!$B$102+Inputs!$C$102/1000*CHOOSE(Inputs!$D$102,Forecast!N30,Forecast!N35,Forecast!N43,Forecast!N58)</f>
        <v/>
      </c>
      <c r="O15" s="15">
        <f>Inputs!$B$102+Inputs!$C$102/1000*CHOOSE(Inputs!$D$102,Forecast!O30,Forecast!O35,Forecast!O43,Forecast!O58)</f>
        <v/>
      </c>
      <c r="P15" s="15">
        <f>Inputs!$B$102+Inputs!$C$102/1000*CHOOSE(Inputs!$D$102,Forecast!P30,Forecast!P35,Forecast!P43,Forecast!P58)</f>
        <v/>
      </c>
      <c r="Q15" s="15">
        <f>Inputs!$B$102+Inputs!$C$102/1000*CHOOSE(Inputs!$D$102,Forecast!Q30,Forecast!Q35,Forecast!Q43,Forecast!Q58)</f>
        <v/>
      </c>
      <c r="R15" s="15">
        <f>Inputs!$B$102+Inputs!$C$102/1000*CHOOSE(Inputs!$D$102,Forecast!R30,Forecast!R35,Forecast!R43,Forecast!R58)</f>
        <v/>
      </c>
      <c r="S15" s="15">
        <f>Inputs!$B$102+Inputs!$C$102/1000*CHOOSE(Inputs!$D$102,Forecast!S30,Forecast!S35,Forecast!S43,Forecast!S58)</f>
        <v/>
      </c>
      <c r="T15" s="15">
        <f>Inputs!$B$102+Inputs!$C$102/1000*CHOOSE(Inputs!$D$102,Forecast!T30,Forecast!T35,Forecast!T43,Forecast!T58)</f>
        <v/>
      </c>
      <c r="U15" s="15">
        <f>Inputs!$B$102+Inputs!$C$102/1000*CHOOSE(Inputs!$D$102,Forecast!U30,Forecast!U35,Forecast!U43,Forecast!U58)</f>
        <v/>
      </c>
      <c r="V15" s="15">
        <f>Inputs!$B$102+Inputs!$C$102/1000*CHOOSE(Inputs!$D$102,Forecast!V30,Forecast!V35,Forecast!V43,Forecast!V58)</f>
        <v/>
      </c>
      <c r="W15" s="15">
        <f>Inputs!$B$102+Inputs!$C$102/1000*CHOOSE(Inputs!$D$102,Forecast!W30,Forecast!W35,Forecast!W43,Forecast!W58)</f>
        <v/>
      </c>
      <c r="X15" s="15">
        <f>Inputs!$B$102+Inputs!$C$102/1000*CHOOSE(Inputs!$D$102,Forecast!X30,Forecast!X35,Forecast!X43,Forecast!X58)</f>
        <v/>
      </c>
      <c r="Y15" s="15">
        <f>Inputs!$B$102+Inputs!$C$102/1000*CHOOSE(Inputs!$D$102,Forecast!Y30,Forecast!Y35,Forecast!Y43,Forecast!Y58)</f>
        <v/>
      </c>
      <c r="Z15" s="15">
        <f>Inputs!$B$102+Inputs!$C$102/1000*CHOOSE(Inputs!$D$102,Forecast!Z30,Forecast!Z35,Forecast!Z43,Forecast!Z58)</f>
        <v/>
      </c>
      <c r="AA15" s="15">
        <f>Inputs!$B$102+Inputs!$C$102/1000*CHOOSE(Inputs!$D$102,Forecast!AA30,Forecast!AA35,Forecast!AA43,Forecast!AA58)</f>
        <v/>
      </c>
      <c r="AB15" s="15">
        <f>Inputs!$B$102+Inputs!$C$102/1000*CHOOSE(Inputs!$D$102,Forecast!AB30,Forecast!AB35,Forecast!AB43,Forecast!AB58)</f>
        <v/>
      </c>
      <c r="AC15" s="15">
        <f>Inputs!$B$102+Inputs!$C$102/1000*CHOOSE(Inputs!$D$102,Forecast!AC30,Forecast!AC35,Forecast!AC43,Forecast!AC58)</f>
        <v/>
      </c>
      <c r="AD15" s="15">
        <f>Inputs!$B$102+Inputs!$C$102/1000*CHOOSE(Inputs!$D$102,Forecast!AD30,Forecast!AD35,Forecast!AD43,Forecast!AD58)</f>
        <v/>
      </c>
      <c r="AE15" s="15">
        <f>Inputs!$B$102+Inputs!$C$102/1000*CHOOSE(Inputs!$D$102,Forecast!AE30,Forecast!AE35,Forecast!AE43,Forecast!AE58)</f>
        <v/>
      </c>
      <c r="AF15" s="15">
        <f>Inputs!$B$102+Inputs!$C$102/1000*CHOOSE(Inputs!$D$102,Forecast!AF30,Forecast!AF35,Forecast!AF43,Forecast!AF58)</f>
        <v/>
      </c>
      <c r="AG15" s="15">
        <f>Inputs!$B$102+Inputs!$C$102/1000*CHOOSE(Inputs!$D$102,Forecast!AG30,Forecast!AG35,Forecast!AG43,Forecast!AG58)</f>
        <v/>
      </c>
      <c r="AH15" s="15">
        <f>Inputs!$B$102+Inputs!$C$102/1000*CHOOSE(Inputs!$D$102,Forecast!AH30,Forecast!AH35,Forecast!AH43,Forecast!AH58)</f>
        <v/>
      </c>
      <c r="AI15" s="15">
        <f>Inputs!$B$102+Inputs!$C$102/1000*CHOOSE(Inputs!$D$102,Forecast!AI30,Forecast!AI35,Forecast!AI43,Forecast!AI58)</f>
        <v/>
      </c>
      <c r="AJ15" s="15">
        <f>Inputs!$B$102+Inputs!$C$102/1000*CHOOSE(Inputs!$D$102,Forecast!AJ30,Forecast!AJ35,Forecast!AJ43,Forecast!AJ58)</f>
        <v/>
      </c>
      <c r="AK15" s="15">
        <f>Inputs!$B$102+Inputs!$C$102/1000*CHOOSE(Inputs!$D$102,Forecast!AK30,Forecast!AK35,Forecast!AK43,Forecast!AK58)</f>
        <v/>
      </c>
      <c r="AL15" s="15">
        <f>Inputs!$B$102+Inputs!$C$102/1000*CHOOSE(Inputs!$D$102,Forecast!AL30,Forecast!AL35,Forecast!AL43,Forecast!AL58)</f>
        <v/>
      </c>
      <c r="AM15" s="15">
        <f>Inputs!$B$102+Inputs!$C$102/1000*CHOOSE(Inputs!$D$102,Forecast!AM30,Forecast!AM35,Forecast!AM43,Forecast!AM58)</f>
        <v/>
      </c>
    </row>
    <row r="16">
      <c r="A16" s="5">
        <f>Inputs!A103</f>
        <v/>
      </c>
      <c r="B16" s="35">
        <f>Inputs!D103</f>
        <v/>
      </c>
      <c r="D16" s="15">
        <f>Inputs!$B$103+Inputs!$C$103/1000*CHOOSE(Inputs!$D$103,Forecast!D30,Forecast!D35,Forecast!D43,Forecast!D58)</f>
        <v/>
      </c>
      <c r="E16" s="15">
        <f>Inputs!$B$103+Inputs!$C$103/1000*CHOOSE(Inputs!$D$103,Forecast!E30,Forecast!E35,Forecast!E43,Forecast!E58)</f>
        <v/>
      </c>
      <c r="F16" s="15">
        <f>Inputs!$B$103+Inputs!$C$103/1000*CHOOSE(Inputs!$D$103,Forecast!F30,Forecast!F35,Forecast!F43,Forecast!F58)</f>
        <v/>
      </c>
      <c r="G16" s="15">
        <f>Inputs!$B$103+Inputs!$C$103/1000*CHOOSE(Inputs!$D$103,Forecast!G30,Forecast!G35,Forecast!G43,Forecast!G58)</f>
        <v/>
      </c>
      <c r="H16" s="15">
        <f>Inputs!$B$103+Inputs!$C$103/1000*CHOOSE(Inputs!$D$103,Forecast!H30,Forecast!H35,Forecast!H43,Forecast!H58)</f>
        <v/>
      </c>
      <c r="I16" s="15">
        <f>Inputs!$B$103+Inputs!$C$103/1000*CHOOSE(Inputs!$D$103,Forecast!I30,Forecast!I35,Forecast!I43,Forecast!I58)</f>
        <v/>
      </c>
      <c r="J16" s="15">
        <f>Inputs!$B$103+Inputs!$C$103/1000*CHOOSE(Inputs!$D$103,Forecast!J30,Forecast!J35,Forecast!J43,Forecast!J58)</f>
        <v/>
      </c>
      <c r="K16" s="15">
        <f>Inputs!$B$103+Inputs!$C$103/1000*CHOOSE(Inputs!$D$103,Forecast!K30,Forecast!K35,Forecast!K43,Forecast!K58)</f>
        <v/>
      </c>
      <c r="L16" s="15">
        <f>Inputs!$B$103+Inputs!$C$103/1000*CHOOSE(Inputs!$D$103,Forecast!L30,Forecast!L35,Forecast!L43,Forecast!L58)</f>
        <v/>
      </c>
      <c r="M16" s="15">
        <f>Inputs!$B$103+Inputs!$C$103/1000*CHOOSE(Inputs!$D$103,Forecast!M30,Forecast!M35,Forecast!M43,Forecast!M58)</f>
        <v/>
      </c>
      <c r="N16" s="15">
        <f>Inputs!$B$103+Inputs!$C$103/1000*CHOOSE(Inputs!$D$103,Forecast!N30,Forecast!N35,Forecast!N43,Forecast!N58)</f>
        <v/>
      </c>
      <c r="O16" s="15">
        <f>Inputs!$B$103+Inputs!$C$103/1000*CHOOSE(Inputs!$D$103,Forecast!O30,Forecast!O35,Forecast!O43,Forecast!O58)</f>
        <v/>
      </c>
      <c r="P16" s="15">
        <f>Inputs!$B$103+Inputs!$C$103/1000*CHOOSE(Inputs!$D$103,Forecast!P30,Forecast!P35,Forecast!P43,Forecast!P58)</f>
        <v/>
      </c>
      <c r="Q16" s="15">
        <f>Inputs!$B$103+Inputs!$C$103/1000*CHOOSE(Inputs!$D$103,Forecast!Q30,Forecast!Q35,Forecast!Q43,Forecast!Q58)</f>
        <v/>
      </c>
      <c r="R16" s="15">
        <f>Inputs!$B$103+Inputs!$C$103/1000*CHOOSE(Inputs!$D$103,Forecast!R30,Forecast!R35,Forecast!R43,Forecast!R58)</f>
        <v/>
      </c>
      <c r="S16" s="15">
        <f>Inputs!$B$103+Inputs!$C$103/1000*CHOOSE(Inputs!$D$103,Forecast!S30,Forecast!S35,Forecast!S43,Forecast!S58)</f>
        <v/>
      </c>
      <c r="T16" s="15">
        <f>Inputs!$B$103+Inputs!$C$103/1000*CHOOSE(Inputs!$D$103,Forecast!T30,Forecast!T35,Forecast!T43,Forecast!T58)</f>
        <v/>
      </c>
      <c r="U16" s="15">
        <f>Inputs!$B$103+Inputs!$C$103/1000*CHOOSE(Inputs!$D$103,Forecast!U30,Forecast!U35,Forecast!U43,Forecast!U58)</f>
        <v/>
      </c>
      <c r="V16" s="15">
        <f>Inputs!$B$103+Inputs!$C$103/1000*CHOOSE(Inputs!$D$103,Forecast!V30,Forecast!V35,Forecast!V43,Forecast!V58)</f>
        <v/>
      </c>
      <c r="W16" s="15">
        <f>Inputs!$B$103+Inputs!$C$103/1000*CHOOSE(Inputs!$D$103,Forecast!W30,Forecast!W35,Forecast!W43,Forecast!W58)</f>
        <v/>
      </c>
      <c r="X16" s="15">
        <f>Inputs!$B$103+Inputs!$C$103/1000*CHOOSE(Inputs!$D$103,Forecast!X30,Forecast!X35,Forecast!X43,Forecast!X58)</f>
        <v/>
      </c>
      <c r="Y16" s="15">
        <f>Inputs!$B$103+Inputs!$C$103/1000*CHOOSE(Inputs!$D$103,Forecast!Y30,Forecast!Y35,Forecast!Y43,Forecast!Y58)</f>
        <v/>
      </c>
      <c r="Z16" s="15">
        <f>Inputs!$B$103+Inputs!$C$103/1000*CHOOSE(Inputs!$D$103,Forecast!Z30,Forecast!Z35,Forecast!Z43,Forecast!Z58)</f>
        <v/>
      </c>
      <c r="AA16" s="15">
        <f>Inputs!$B$103+Inputs!$C$103/1000*CHOOSE(Inputs!$D$103,Forecast!AA30,Forecast!AA35,Forecast!AA43,Forecast!AA58)</f>
        <v/>
      </c>
      <c r="AB16" s="15">
        <f>Inputs!$B$103+Inputs!$C$103/1000*CHOOSE(Inputs!$D$103,Forecast!AB30,Forecast!AB35,Forecast!AB43,Forecast!AB58)</f>
        <v/>
      </c>
      <c r="AC16" s="15">
        <f>Inputs!$B$103+Inputs!$C$103/1000*CHOOSE(Inputs!$D$103,Forecast!AC30,Forecast!AC35,Forecast!AC43,Forecast!AC58)</f>
        <v/>
      </c>
      <c r="AD16" s="15">
        <f>Inputs!$B$103+Inputs!$C$103/1000*CHOOSE(Inputs!$D$103,Forecast!AD30,Forecast!AD35,Forecast!AD43,Forecast!AD58)</f>
        <v/>
      </c>
      <c r="AE16" s="15">
        <f>Inputs!$B$103+Inputs!$C$103/1000*CHOOSE(Inputs!$D$103,Forecast!AE30,Forecast!AE35,Forecast!AE43,Forecast!AE58)</f>
        <v/>
      </c>
      <c r="AF16" s="15">
        <f>Inputs!$B$103+Inputs!$C$103/1000*CHOOSE(Inputs!$D$103,Forecast!AF30,Forecast!AF35,Forecast!AF43,Forecast!AF58)</f>
        <v/>
      </c>
      <c r="AG16" s="15">
        <f>Inputs!$B$103+Inputs!$C$103/1000*CHOOSE(Inputs!$D$103,Forecast!AG30,Forecast!AG35,Forecast!AG43,Forecast!AG58)</f>
        <v/>
      </c>
      <c r="AH16" s="15">
        <f>Inputs!$B$103+Inputs!$C$103/1000*CHOOSE(Inputs!$D$103,Forecast!AH30,Forecast!AH35,Forecast!AH43,Forecast!AH58)</f>
        <v/>
      </c>
      <c r="AI16" s="15">
        <f>Inputs!$B$103+Inputs!$C$103/1000*CHOOSE(Inputs!$D$103,Forecast!AI30,Forecast!AI35,Forecast!AI43,Forecast!AI58)</f>
        <v/>
      </c>
      <c r="AJ16" s="15">
        <f>Inputs!$B$103+Inputs!$C$103/1000*CHOOSE(Inputs!$D$103,Forecast!AJ30,Forecast!AJ35,Forecast!AJ43,Forecast!AJ58)</f>
        <v/>
      </c>
      <c r="AK16" s="15">
        <f>Inputs!$B$103+Inputs!$C$103/1000*CHOOSE(Inputs!$D$103,Forecast!AK30,Forecast!AK35,Forecast!AK43,Forecast!AK58)</f>
        <v/>
      </c>
      <c r="AL16" s="15">
        <f>Inputs!$B$103+Inputs!$C$103/1000*CHOOSE(Inputs!$D$103,Forecast!AL30,Forecast!AL35,Forecast!AL43,Forecast!AL58)</f>
        <v/>
      </c>
      <c r="AM16" s="15">
        <f>Inputs!$B$103+Inputs!$C$103/1000*CHOOSE(Inputs!$D$103,Forecast!AM30,Forecast!AM35,Forecast!AM43,Forecast!AM58)</f>
        <v/>
      </c>
    </row>
    <row r="17">
      <c r="A17" s="5">
        <f>Inputs!A104</f>
        <v/>
      </c>
      <c r="B17" s="35">
        <f>Inputs!D104</f>
        <v/>
      </c>
      <c r="D17" s="15">
        <f>Inputs!$B$104+Inputs!$C$104/1000*CHOOSE(Inputs!$D$104,Forecast!D30,Forecast!D35,Forecast!D43,Forecast!D58)</f>
        <v/>
      </c>
      <c r="E17" s="15">
        <f>Inputs!$B$104+Inputs!$C$104/1000*CHOOSE(Inputs!$D$104,Forecast!E30,Forecast!E35,Forecast!E43,Forecast!E58)</f>
        <v/>
      </c>
      <c r="F17" s="15">
        <f>Inputs!$B$104+Inputs!$C$104/1000*CHOOSE(Inputs!$D$104,Forecast!F30,Forecast!F35,Forecast!F43,Forecast!F58)</f>
        <v/>
      </c>
      <c r="G17" s="15">
        <f>Inputs!$B$104+Inputs!$C$104/1000*CHOOSE(Inputs!$D$104,Forecast!G30,Forecast!G35,Forecast!G43,Forecast!G58)</f>
        <v/>
      </c>
      <c r="H17" s="15">
        <f>Inputs!$B$104+Inputs!$C$104/1000*CHOOSE(Inputs!$D$104,Forecast!H30,Forecast!H35,Forecast!H43,Forecast!H58)</f>
        <v/>
      </c>
      <c r="I17" s="15">
        <f>Inputs!$B$104+Inputs!$C$104/1000*CHOOSE(Inputs!$D$104,Forecast!I30,Forecast!I35,Forecast!I43,Forecast!I58)</f>
        <v/>
      </c>
      <c r="J17" s="15">
        <f>Inputs!$B$104+Inputs!$C$104/1000*CHOOSE(Inputs!$D$104,Forecast!J30,Forecast!J35,Forecast!J43,Forecast!J58)</f>
        <v/>
      </c>
      <c r="K17" s="15">
        <f>Inputs!$B$104+Inputs!$C$104/1000*CHOOSE(Inputs!$D$104,Forecast!K30,Forecast!K35,Forecast!K43,Forecast!K58)</f>
        <v/>
      </c>
      <c r="L17" s="15">
        <f>Inputs!$B$104+Inputs!$C$104/1000*CHOOSE(Inputs!$D$104,Forecast!L30,Forecast!L35,Forecast!L43,Forecast!L58)</f>
        <v/>
      </c>
      <c r="M17" s="15">
        <f>Inputs!$B$104+Inputs!$C$104/1000*CHOOSE(Inputs!$D$104,Forecast!M30,Forecast!M35,Forecast!M43,Forecast!M58)</f>
        <v/>
      </c>
      <c r="N17" s="15">
        <f>Inputs!$B$104+Inputs!$C$104/1000*CHOOSE(Inputs!$D$104,Forecast!N30,Forecast!N35,Forecast!N43,Forecast!N58)</f>
        <v/>
      </c>
      <c r="O17" s="15">
        <f>Inputs!$B$104+Inputs!$C$104/1000*CHOOSE(Inputs!$D$104,Forecast!O30,Forecast!O35,Forecast!O43,Forecast!O58)</f>
        <v/>
      </c>
      <c r="P17" s="15">
        <f>Inputs!$B$104+Inputs!$C$104/1000*CHOOSE(Inputs!$D$104,Forecast!P30,Forecast!P35,Forecast!P43,Forecast!P58)</f>
        <v/>
      </c>
      <c r="Q17" s="15">
        <f>Inputs!$B$104+Inputs!$C$104/1000*CHOOSE(Inputs!$D$104,Forecast!Q30,Forecast!Q35,Forecast!Q43,Forecast!Q58)</f>
        <v/>
      </c>
      <c r="R17" s="15">
        <f>Inputs!$B$104+Inputs!$C$104/1000*CHOOSE(Inputs!$D$104,Forecast!R30,Forecast!R35,Forecast!R43,Forecast!R58)</f>
        <v/>
      </c>
      <c r="S17" s="15">
        <f>Inputs!$B$104+Inputs!$C$104/1000*CHOOSE(Inputs!$D$104,Forecast!S30,Forecast!S35,Forecast!S43,Forecast!S58)</f>
        <v/>
      </c>
      <c r="T17" s="15">
        <f>Inputs!$B$104+Inputs!$C$104/1000*CHOOSE(Inputs!$D$104,Forecast!T30,Forecast!T35,Forecast!T43,Forecast!T58)</f>
        <v/>
      </c>
      <c r="U17" s="15">
        <f>Inputs!$B$104+Inputs!$C$104/1000*CHOOSE(Inputs!$D$104,Forecast!U30,Forecast!U35,Forecast!U43,Forecast!U58)</f>
        <v/>
      </c>
      <c r="V17" s="15">
        <f>Inputs!$B$104+Inputs!$C$104/1000*CHOOSE(Inputs!$D$104,Forecast!V30,Forecast!V35,Forecast!V43,Forecast!V58)</f>
        <v/>
      </c>
      <c r="W17" s="15">
        <f>Inputs!$B$104+Inputs!$C$104/1000*CHOOSE(Inputs!$D$104,Forecast!W30,Forecast!W35,Forecast!W43,Forecast!W58)</f>
        <v/>
      </c>
      <c r="X17" s="15">
        <f>Inputs!$B$104+Inputs!$C$104/1000*CHOOSE(Inputs!$D$104,Forecast!X30,Forecast!X35,Forecast!X43,Forecast!X58)</f>
        <v/>
      </c>
      <c r="Y17" s="15">
        <f>Inputs!$B$104+Inputs!$C$104/1000*CHOOSE(Inputs!$D$104,Forecast!Y30,Forecast!Y35,Forecast!Y43,Forecast!Y58)</f>
        <v/>
      </c>
      <c r="Z17" s="15">
        <f>Inputs!$B$104+Inputs!$C$104/1000*CHOOSE(Inputs!$D$104,Forecast!Z30,Forecast!Z35,Forecast!Z43,Forecast!Z58)</f>
        <v/>
      </c>
      <c r="AA17" s="15">
        <f>Inputs!$B$104+Inputs!$C$104/1000*CHOOSE(Inputs!$D$104,Forecast!AA30,Forecast!AA35,Forecast!AA43,Forecast!AA58)</f>
        <v/>
      </c>
      <c r="AB17" s="15">
        <f>Inputs!$B$104+Inputs!$C$104/1000*CHOOSE(Inputs!$D$104,Forecast!AB30,Forecast!AB35,Forecast!AB43,Forecast!AB58)</f>
        <v/>
      </c>
      <c r="AC17" s="15">
        <f>Inputs!$B$104+Inputs!$C$104/1000*CHOOSE(Inputs!$D$104,Forecast!AC30,Forecast!AC35,Forecast!AC43,Forecast!AC58)</f>
        <v/>
      </c>
      <c r="AD17" s="15">
        <f>Inputs!$B$104+Inputs!$C$104/1000*CHOOSE(Inputs!$D$104,Forecast!AD30,Forecast!AD35,Forecast!AD43,Forecast!AD58)</f>
        <v/>
      </c>
      <c r="AE17" s="15">
        <f>Inputs!$B$104+Inputs!$C$104/1000*CHOOSE(Inputs!$D$104,Forecast!AE30,Forecast!AE35,Forecast!AE43,Forecast!AE58)</f>
        <v/>
      </c>
      <c r="AF17" s="15">
        <f>Inputs!$B$104+Inputs!$C$104/1000*CHOOSE(Inputs!$D$104,Forecast!AF30,Forecast!AF35,Forecast!AF43,Forecast!AF58)</f>
        <v/>
      </c>
      <c r="AG17" s="15">
        <f>Inputs!$B$104+Inputs!$C$104/1000*CHOOSE(Inputs!$D$104,Forecast!AG30,Forecast!AG35,Forecast!AG43,Forecast!AG58)</f>
        <v/>
      </c>
      <c r="AH17" s="15">
        <f>Inputs!$B$104+Inputs!$C$104/1000*CHOOSE(Inputs!$D$104,Forecast!AH30,Forecast!AH35,Forecast!AH43,Forecast!AH58)</f>
        <v/>
      </c>
      <c r="AI17" s="15">
        <f>Inputs!$B$104+Inputs!$C$104/1000*CHOOSE(Inputs!$D$104,Forecast!AI30,Forecast!AI35,Forecast!AI43,Forecast!AI58)</f>
        <v/>
      </c>
      <c r="AJ17" s="15">
        <f>Inputs!$B$104+Inputs!$C$104/1000*CHOOSE(Inputs!$D$104,Forecast!AJ30,Forecast!AJ35,Forecast!AJ43,Forecast!AJ58)</f>
        <v/>
      </c>
      <c r="AK17" s="15">
        <f>Inputs!$B$104+Inputs!$C$104/1000*CHOOSE(Inputs!$D$104,Forecast!AK30,Forecast!AK35,Forecast!AK43,Forecast!AK58)</f>
        <v/>
      </c>
      <c r="AL17" s="15">
        <f>Inputs!$B$104+Inputs!$C$104/1000*CHOOSE(Inputs!$D$104,Forecast!AL30,Forecast!AL35,Forecast!AL43,Forecast!AL58)</f>
        <v/>
      </c>
      <c r="AM17" s="15">
        <f>Inputs!$B$104+Inputs!$C$104/1000*CHOOSE(Inputs!$D$104,Forecast!AM30,Forecast!AM35,Forecast!AM43,Forecast!AM58)</f>
        <v/>
      </c>
    </row>
    <row r="18">
      <c r="A18" s="5">
        <f>Inputs!A105</f>
        <v/>
      </c>
      <c r="B18" s="35">
        <f>Inputs!D105</f>
        <v/>
      </c>
      <c r="D18" s="15">
        <f>Inputs!$B$105+Inputs!$C$105/1000*CHOOSE(Inputs!$D$105,Forecast!D30,Forecast!D35,Forecast!D43,Forecast!D58)</f>
        <v/>
      </c>
      <c r="E18" s="15">
        <f>Inputs!$B$105+Inputs!$C$105/1000*CHOOSE(Inputs!$D$105,Forecast!E30,Forecast!E35,Forecast!E43,Forecast!E58)</f>
        <v/>
      </c>
      <c r="F18" s="15">
        <f>Inputs!$B$105+Inputs!$C$105/1000*CHOOSE(Inputs!$D$105,Forecast!F30,Forecast!F35,Forecast!F43,Forecast!F58)</f>
        <v/>
      </c>
      <c r="G18" s="15">
        <f>Inputs!$B$105+Inputs!$C$105/1000*CHOOSE(Inputs!$D$105,Forecast!G30,Forecast!G35,Forecast!G43,Forecast!G58)</f>
        <v/>
      </c>
      <c r="H18" s="15">
        <f>Inputs!$B$105+Inputs!$C$105/1000*CHOOSE(Inputs!$D$105,Forecast!H30,Forecast!H35,Forecast!H43,Forecast!H58)</f>
        <v/>
      </c>
      <c r="I18" s="15">
        <f>Inputs!$B$105+Inputs!$C$105/1000*CHOOSE(Inputs!$D$105,Forecast!I30,Forecast!I35,Forecast!I43,Forecast!I58)</f>
        <v/>
      </c>
      <c r="J18" s="15">
        <f>Inputs!$B$105+Inputs!$C$105/1000*CHOOSE(Inputs!$D$105,Forecast!J30,Forecast!J35,Forecast!J43,Forecast!J58)</f>
        <v/>
      </c>
      <c r="K18" s="15">
        <f>Inputs!$B$105+Inputs!$C$105/1000*CHOOSE(Inputs!$D$105,Forecast!K30,Forecast!K35,Forecast!K43,Forecast!K58)</f>
        <v/>
      </c>
      <c r="L18" s="15">
        <f>Inputs!$B$105+Inputs!$C$105/1000*CHOOSE(Inputs!$D$105,Forecast!L30,Forecast!L35,Forecast!L43,Forecast!L58)</f>
        <v/>
      </c>
      <c r="M18" s="15">
        <f>Inputs!$B$105+Inputs!$C$105/1000*CHOOSE(Inputs!$D$105,Forecast!M30,Forecast!M35,Forecast!M43,Forecast!M58)</f>
        <v/>
      </c>
      <c r="N18" s="15">
        <f>Inputs!$B$105+Inputs!$C$105/1000*CHOOSE(Inputs!$D$105,Forecast!N30,Forecast!N35,Forecast!N43,Forecast!N58)</f>
        <v/>
      </c>
      <c r="O18" s="15">
        <f>Inputs!$B$105+Inputs!$C$105/1000*CHOOSE(Inputs!$D$105,Forecast!O30,Forecast!O35,Forecast!O43,Forecast!O58)</f>
        <v/>
      </c>
      <c r="P18" s="15">
        <f>Inputs!$B$105+Inputs!$C$105/1000*CHOOSE(Inputs!$D$105,Forecast!P30,Forecast!P35,Forecast!P43,Forecast!P58)</f>
        <v/>
      </c>
      <c r="Q18" s="15">
        <f>Inputs!$B$105+Inputs!$C$105/1000*CHOOSE(Inputs!$D$105,Forecast!Q30,Forecast!Q35,Forecast!Q43,Forecast!Q58)</f>
        <v/>
      </c>
      <c r="R18" s="15">
        <f>Inputs!$B$105+Inputs!$C$105/1000*CHOOSE(Inputs!$D$105,Forecast!R30,Forecast!R35,Forecast!R43,Forecast!R58)</f>
        <v/>
      </c>
      <c r="S18" s="15">
        <f>Inputs!$B$105+Inputs!$C$105/1000*CHOOSE(Inputs!$D$105,Forecast!S30,Forecast!S35,Forecast!S43,Forecast!S58)</f>
        <v/>
      </c>
      <c r="T18" s="15">
        <f>Inputs!$B$105+Inputs!$C$105/1000*CHOOSE(Inputs!$D$105,Forecast!T30,Forecast!T35,Forecast!T43,Forecast!T58)</f>
        <v/>
      </c>
      <c r="U18" s="15">
        <f>Inputs!$B$105+Inputs!$C$105/1000*CHOOSE(Inputs!$D$105,Forecast!U30,Forecast!U35,Forecast!U43,Forecast!U58)</f>
        <v/>
      </c>
      <c r="V18" s="15">
        <f>Inputs!$B$105+Inputs!$C$105/1000*CHOOSE(Inputs!$D$105,Forecast!V30,Forecast!V35,Forecast!V43,Forecast!V58)</f>
        <v/>
      </c>
      <c r="W18" s="15">
        <f>Inputs!$B$105+Inputs!$C$105/1000*CHOOSE(Inputs!$D$105,Forecast!W30,Forecast!W35,Forecast!W43,Forecast!W58)</f>
        <v/>
      </c>
      <c r="X18" s="15">
        <f>Inputs!$B$105+Inputs!$C$105/1000*CHOOSE(Inputs!$D$105,Forecast!X30,Forecast!X35,Forecast!X43,Forecast!X58)</f>
        <v/>
      </c>
      <c r="Y18" s="15">
        <f>Inputs!$B$105+Inputs!$C$105/1000*CHOOSE(Inputs!$D$105,Forecast!Y30,Forecast!Y35,Forecast!Y43,Forecast!Y58)</f>
        <v/>
      </c>
      <c r="Z18" s="15">
        <f>Inputs!$B$105+Inputs!$C$105/1000*CHOOSE(Inputs!$D$105,Forecast!Z30,Forecast!Z35,Forecast!Z43,Forecast!Z58)</f>
        <v/>
      </c>
      <c r="AA18" s="15">
        <f>Inputs!$B$105+Inputs!$C$105/1000*CHOOSE(Inputs!$D$105,Forecast!AA30,Forecast!AA35,Forecast!AA43,Forecast!AA58)</f>
        <v/>
      </c>
      <c r="AB18" s="15">
        <f>Inputs!$B$105+Inputs!$C$105/1000*CHOOSE(Inputs!$D$105,Forecast!AB30,Forecast!AB35,Forecast!AB43,Forecast!AB58)</f>
        <v/>
      </c>
      <c r="AC18" s="15">
        <f>Inputs!$B$105+Inputs!$C$105/1000*CHOOSE(Inputs!$D$105,Forecast!AC30,Forecast!AC35,Forecast!AC43,Forecast!AC58)</f>
        <v/>
      </c>
      <c r="AD18" s="15">
        <f>Inputs!$B$105+Inputs!$C$105/1000*CHOOSE(Inputs!$D$105,Forecast!AD30,Forecast!AD35,Forecast!AD43,Forecast!AD58)</f>
        <v/>
      </c>
      <c r="AE18" s="15">
        <f>Inputs!$B$105+Inputs!$C$105/1000*CHOOSE(Inputs!$D$105,Forecast!AE30,Forecast!AE35,Forecast!AE43,Forecast!AE58)</f>
        <v/>
      </c>
      <c r="AF18" s="15">
        <f>Inputs!$B$105+Inputs!$C$105/1000*CHOOSE(Inputs!$D$105,Forecast!AF30,Forecast!AF35,Forecast!AF43,Forecast!AF58)</f>
        <v/>
      </c>
      <c r="AG18" s="15">
        <f>Inputs!$B$105+Inputs!$C$105/1000*CHOOSE(Inputs!$D$105,Forecast!AG30,Forecast!AG35,Forecast!AG43,Forecast!AG58)</f>
        <v/>
      </c>
      <c r="AH18" s="15">
        <f>Inputs!$B$105+Inputs!$C$105/1000*CHOOSE(Inputs!$D$105,Forecast!AH30,Forecast!AH35,Forecast!AH43,Forecast!AH58)</f>
        <v/>
      </c>
      <c r="AI18" s="15">
        <f>Inputs!$B$105+Inputs!$C$105/1000*CHOOSE(Inputs!$D$105,Forecast!AI30,Forecast!AI35,Forecast!AI43,Forecast!AI58)</f>
        <v/>
      </c>
      <c r="AJ18" s="15">
        <f>Inputs!$B$105+Inputs!$C$105/1000*CHOOSE(Inputs!$D$105,Forecast!AJ30,Forecast!AJ35,Forecast!AJ43,Forecast!AJ58)</f>
        <v/>
      </c>
      <c r="AK18" s="15">
        <f>Inputs!$B$105+Inputs!$C$105/1000*CHOOSE(Inputs!$D$105,Forecast!AK30,Forecast!AK35,Forecast!AK43,Forecast!AK58)</f>
        <v/>
      </c>
      <c r="AL18" s="15">
        <f>Inputs!$B$105+Inputs!$C$105/1000*CHOOSE(Inputs!$D$105,Forecast!AL30,Forecast!AL35,Forecast!AL43,Forecast!AL58)</f>
        <v/>
      </c>
      <c r="AM18" s="15">
        <f>Inputs!$B$105+Inputs!$C$105/1000*CHOOSE(Inputs!$D$105,Forecast!AM30,Forecast!AM35,Forecast!AM43,Forecast!AM58)</f>
        <v/>
      </c>
    </row>
    <row r="19">
      <c r="A19" s="3" t="inlineStr">
        <is>
          <t>Total operating costs</t>
        </is>
      </c>
      <c r="D19" s="23">
        <f>SUM(D7:D18)</f>
        <v/>
      </c>
      <c r="E19" s="23">
        <f>SUM(E7:E18)</f>
        <v/>
      </c>
      <c r="F19" s="23">
        <f>SUM(F7:F18)</f>
        <v/>
      </c>
      <c r="G19" s="23">
        <f>SUM(G7:G18)</f>
        <v/>
      </c>
      <c r="H19" s="23">
        <f>SUM(H7:H18)</f>
        <v/>
      </c>
      <c r="I19" s="23">
        <f>SUM(I7:I18)</f>
        <v/>
      </c>
      <c r="J19" s="23">
        <f>SUM(J7:J18)</f>
        <v/>
      </c>
      <c r="K19" s="23">
        <f>SUM(K7:K18)</f>
        <v/>
      </c>
      <c r="L19" s="23">
        <f>SUM(L7:L18)</f>
        <v/>
      </c>
      <c r="M19" s="23">
        <f>SUM(M7:M18)</f>
        <v/>
      </c>
      <c r="N19" s="23">
        <f>SUM(N7:N18)</f>
        <v/>
      </c>
      <c r="O19" s="23">
        <f>SUM(O7:O18)</f>
        <v/>
      </c>
      <c r="P19" s="23">
        <f>SUM(P7:P18)</f>
        <v/>
      </c>
      <c r="Q19" s="23">
        <f>SUM(Q7:Q18)</f>
        <v/>
      </c>
      <c r="R19" s="23">
        <f>SUM(R7:R18)</f>
        <v/>
      </c>
      <c r="S19" s="23">
        <f>SUM(S7:S18)</f>
        <v/>
      </c>
      <c r="T19" s="23">
        <f>SUM(T7:T18)</f>
        <v/>
      </c>
      <c r="U19" s="23">
        <f>SUM(U7:U18)</f>
        <v/>
      </c>
      <c r="V19" s="23">
        <f>SUM(V7:V18)</f>
        <v/>
      </c>
      <c r="W19" s="23">
        <f>SUM(W7:W18)</f>
        <v/>
      </c>
      <c r="X19" s="23">
        <f>SUM(X7:X18)</f>
        <v/>
      </c>
      <c r="Y19" s="23">
        <f>SUM(Y7:Y18)</f>
        <v/>
      </c>
      <c r="Z19" s="23">
        <f>SUM(Z7:Z18)</f>
        <v/>
      </c>
      <c r="AA19" s="23">
        <f>SUM(AA7:AA18)</f>
        <v/>
      </c>
      <c r="AB19" s="23">
        <f>SUM(AB7:AB18)</f>
        <v/>
      </c>
      <c r="AC19" s="23">
        <f>SUM(AC7:AC18)</f>
        <v/>
      </c>
      <c r="AD19" s="23">
        <f>SUM(AD7:AD18)</f>
        <v/>
      </c>
      <c r="AE19" s="23">
        <f>SUM(AE7:AE18)</f>
        <v/>
      </c>
      <c r="AF19" s="23">
        <f>SUM(AF7:AF18)</f>
        <v/>
      </c>
      <c r="AG19" s="23">
        <f>SUM(AG7:AG18)</f>
        <v/>
      </c>
      <c r="AH19" s="23">
        <f>SUM(AH7:AH18)</f>
        <v/>
      </c>
      <c r="AI19" s="23">
        <f>SUM(AI7:AI18)</f>
        <v/>
      </c>
      <c r="AJ19" s="23">
        <f>SUM(AJ7:AJ18)</f>
        <v/>
      </c>
      <c r="AK19" s="23">
        <f>SUM(AK7:AK18)</f>
        <v/>
      </c>
      <c r="AL19" s="23">
        <f>SUM(AL7:AL18)</f>
        <v/>
      </c>
      <c r="AM19" s="23">
        <f>SUM(AM7:AM18)</f>
        <v/>
      </c>
    </row>
    <row r="21">
      <c r="A21" s="3" t="inlineStr">
        <is>
          <t>One-time launch costs</t>
        </is>
      </c>
      <c r="D21" s="23">
        <f>IF(D5=1,SUM(Inputs!$B$109:$B$111),0)</f>
        <v/>
      </c>
      <c r="E21" s="23">
        <f>IF(E5=1,SUM(Inputs!$B$109:$B$111),0)</f>
        <v/>
      </c>
      <c r="F21" s="23">
        <f>IF(F5=1,SUM(Inputs!$B$109:$B$111),0)</f>
        <v/>
      </c>
      <c r="G21" s="23">
        <f>IF(G5=1,SUM(Inputs!$B$109:$B$111),0)</f>
        <v/>
      </c>
      <c r="H21" s="23">
        <f>IF(H5=1,SUM(Inputs!$B$109:$B$111),0)</f>
        <v/>
      </c>
      <c r="I21" s="23">
        <f>IF(I5=1,SUM(Inputs!$B$109:$B$111),0)</f>
        <v/>
      </c>
      <c r="J21" s="23">
        <f>IF(J5=1,SUM(Inputs!$B$109:$B$111),0)</f>
        <v/>
      </c>
      <c r="K21" s="23">
        <f>IF(K5=1,SUM(Inputs!$B$109:$B$111),0)</f>
        <v/>
      </c>
      <c r="L21" s="23">
        <f>IF(L5=1,SUM(Inputs!$B$109:$B$111),0)</f>
        <v/>
      </c>
      <c r="M21" s="23">
        <f>IF(M5=1,SUM(Inputs!$B$109:$B$111),0)</f>
        <v/>
      </c>
      <c r="N21" s="23">
        <f>IF(N5=1,SUM(Inputs!$B$109:$B$111),0)</f>
        <v/>
      </c>
      <c r="O21" s="23">
        <f>IF(O5=1,SUM(Inputs!$B$109:$B$111),0)</f>
        <v/>
      </c>
      <c r="P21" s="23">
        <f>IF(P5=1,SUM(Inputs!$B$109:$B$111),0)</f>
        <v/>
      </c>
      <c r="Q21" s="23">
        <f>IF(Q5=1,SUM(Inputs!$B$109:$B$111),0)</f>
        <v/>
      </c>
      <c r="R21" s="23">
        <f>IF(R5=1,SUM(Inputs!$B$109:$B$111),0)</f>
        <v/>
      </c>
      <c r="S21" s="23">
        <f>IF(S5=1,SUM(Inputs!$B$109:$B$111),0)</f>
        <v/>
      </c>
      <c r="T21" s="23">
        <f>IF(T5=1,SUM(Inputs!$B$109:$B$111),0)</f>
        <v/>
      </c>
      <c r="U21" s="23">
        <f>IF(U5=1,SUM(Inputs!$B$109:$B$111),0)</f>
        <v/>
      </c>
      <c r="V21" s="23">
        <f>IF(V5=1,SUM(Inputs!$B$109:$B$111),0)</f>
        <v/>
      </c>
      <c r="W21" s="23">
        <f>IF(W5=1,SUM(Inputs!$B$109:$B$111),0)</f>
        <v/>
      </c>
      <c r="X21" s="23">
        <f>IF(X5=1,SUM(Inputs!$B$109:$B$111),0)</f>
        <v/>
      </c>
      <c r="Y21" s="23">
        <f>IF(Y5=1,SUM(Inputs!$B$109:$B$111),0)</f>
        <v/>
      </c>
      <c r="Z21" s="23">
        <f>IF(Z5=1,SUM(Inputs!$B$109:$B$111),0)</f>
        <v/>
      </c>
      <c r="AA21" s="23">
        <f>IF(AA5=1,SUM(Inputs!$B$109:$B$111),0)</f>
        <v/>
      </c>
      <c r="AB21" s="23">
        <f>IF(AB5=1,SUM(Inputs!$B$109:$B$111),0)</f>
        <v/>
      </c>
      <c r="AC21" s="23">
        <f>IF(AC5=1,SUM(Inputs!$B$109:$B$111),0)</f>
        <v/>
      </c>
      <c r="AD21" s="23">
        <f>IF(AD5=1,SUM(Inputs!$B$109:$B$111),0)</f>
        <v/>
      </c>
      <c r="AE21" s="23">
        <f>IF(AE5=1,SUM(Inputs!$B$109:$B$111),0)</f>
        <v/>
      </c>
      <c r="AF21" s="23">
        <f>IF(AF5=1,SUM(Inputs!$B$109:$B$111),0)</f>
        <v/>
      </c>
      <c r="AG21" s="23">
        <f>IF(AG5=1,SUM(Inputs!$B$109:$B$111),0)</f>
        <v/>
      </c>
      <c r="AH21" s="23">
        <f>IF(AH5=1,SUM(Inputs!$B$109:$B$111),0)</f>
        <v/>
      </c>
      <c r="AI21" s="23">
        <f>IF(AI5=1,SUM(Inputs!$B$109:$B$111),0)</f>
        <v/>
      </c>
      <c r="AJ21" s="23">
        <f>IF(AJ5=1,SUM(Inputs!$B$109:$B$111),0)</f>
        <v/>
      </c>
      <c r="AK21" s="23">
        <f>IF(AK5=1,SUM(Inputs!$B$109:$B$111),0)</f>
        <v/>
      </c>
      <c r="AL21" s="23">
        <f>IF(AL5=1,SUM(Inputs!$B$109:$B$111),0)</f>
        <v/>
      </c>
      <c r="AM21" s="23">
        <f>IF(AM5=1,SUM(Inputs!$B$109:$B$111),0)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86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8" customWidth="1" min="2" max="2"/>
    <col width="10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3" customWidth="1" min="40" max="40"/>
    <col width="11" customWidth="1" min="41" max="41"/>
    <col width="11" customWidth="1" min="42" max="42"/>
    <col width="11" customWidth="1" min="43" max="43"/>
  </cols>
  <sheetData>
    <row r="1">
      <c r="A1" s="1" t="inlineStr">
        <is>
          <t>Forecast - 36 months (selected scenario)</t>
        </is>
      </c>
    </row>
    <row r="3">
      <c r="A3" s="3">
        <f>"Scenario: "&amp;Scenarios!B3</f>
        <v/>
      </c>
    </row>
    <row r="4">
      <c r="A4" s="9" t="inlineStr">
        <is>
          <t>Line</t>
        </is>
      </c>
      <c r="B4" s="9" t="inlineStr">
        <is>
          <t>Unit</t>
        </is>
      </c>
      <c r="C4" s="9" t="inlineStr">
        <is>
          <t>Opening</t>
        </is>
      </c>
      <c r="D4" s="9" t="inlineStr">
        <is>
          <t>M1</t>
        </is>
      </c>
      <c r="E4" s="9" t="inlineStr">
        <is>
          <t>M2</t>
        </is>
      </c>
      <c r="F4" s="9" t="inlineStr">
        <is>
          <t>M3</t>
        </is>
      </c>
      <c r="G4" s="9" t="inlineStr">
        <is>
          <t>M4</t>
        </is>
      </c>
      <c r="H4" s="9" t="inlineStr">
        <is>
          <t>M5</t>
        </is>
      </c>
      <c r="I4" s="9" t="inlineStr">
        <is>
          <t>M6</t>
        </is>
      </c>
      <c r="J4" s="9" t="inlineStr">
        <is>
          <t>M7</t>
        </is>
      </c>
      <c r="K4" s="9" t="inlineStr">
        <is>
          <t>M8</t>
        </is>
      </c>
      <c r="L4" s="9" t="inlineStr">
        <is>
          <t>M9</t>
        </is>
      </c>
      <c r="M4" s="9" t="inlineStr">
        <is>
          <t>M10</t>
        </is>
      </c>
      <c r="N4" s="9" t="inlineStr">
        <is>
          <t>M11</t>
        </is>
      </c>
      <c r="O4" s="9" t="inlineStr">
        <is>
          <t>M12</t>
        </is>
      </c>
      <c r="P4" s="9" t="inlineStr">
        <is>
          <t>M13</t>
        </is>
      </c>
      <c r="Q4" s="9" t="inlineStr">
        <is>
          <t>M14</t>
        </is>
      </c>
      <c r="R4" s="9" t="inlineStr">
        <is>
          <t>M15</t>
        </is>
      </c>
      <c r="S4" s="9" t="inlineStr">
        <is>
          <t>M16</t>
        </is>
      </c>
      <c r="T4" s="9" t="inlineStr">
        <is>
          <t>M17</t>
        </is>
      </c>
      <c r="U4" s="9" t="inlineStr">
        <is>
          <t>M18</t>
        </is>
      </c>
      <c r="V4" s="9" t="inlineStr">
        <is>
          <t>M19</t>
        </is>
      </c>
      <c r="W4" s="9" t="inlineStr">
        <is>
          <t>M20</t>
        </is>
      </c>
      <c r="X4" s="9" t="inlineStr">
        <is>
          <t>M21</t>
        </is>
      </c>
      <c r="Y4" s="9" t="inlineStr">
        <is>
          <t>M22</t>
        </is>
      </c>
      <c r="Z4" s="9" t="inlineStr">
        <is>
          <t>M23</t>
        </is>
      </c>
      <c r="AA4" s="9" t="inlineStr">
        <is>
          <t>M24</t>
        </is>
      </c>
      <c r="AB4" s="9" t="inlineStr">
        <is>
          <t>M25</t>
        </is>
      </c>
      <c r="AC4" s="9" t="inlineStr">
        <is>
          <t>M26</t>
        </is>
      </c>
      <c r="AD4" s="9" t="inlineStr">
        <is>
          <t>M27</t>
        </is>
      </c>
      <c r="AE4" s="9" t="inlineStr">
        <is>
          <t>M28</t>
        </is>
      </c>
      <c r="AF4" s="9" t="inlineStr">
        <is>
          <t>M29</t>
        </is>
      </c>
      <c r="AG4" s="9" t="inlineStr">
        <is>
          <t>M30</t>
        </is>
      </c>
      <c r="AH4" s="9" t="inlineStr">
        <is>
          <t>M31</t>
        </is>
      </c>
      <c r="AI4" s="9" t="inlineStr">
        <is>
          <t>M32</t>
        </is>
      </c>
      <c r="AJ4" s="9" t="inlineStr">
        <is>
          <t>M33</t>
        </is>
      </c>
      <c r="AK4" s="9" t="inlineStr">
        <is>
          <t>M34</t>
        </is>
      </c>
      <c r="AL4" s="9" t="inlineStr">
        <is>
          <t>M35</t>
        </is>
      </c>
      <c r="AM4" s="9" t="inlineStr">
        <is>
          <t>M36</t>
        </is>
      </c>
      <c r="AO4" s="36" t="inlineStr">
        <is>
          <t>Year 1</t>
        </is>
      </c>
      <c r="AP4" s="36" t="inlineStr">
        <is>
          <t>Year 2</t>
        </is>
      </c>
      <c r="AQ4" s="36" t="inlineStr">
        <is>
          <t>Year 3</t>
        </is>
      </c>
    </row>
    <row r="5">
      <c r="A5" s="7" t="inlineStr">
        <is>
          <t>TIMELINE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</row>
    <row r="6">
      <c r="A6" s="5" t="inlineStr">
        <is>
          <t>Month #</t>
        </is>
      </c>
      <c r="B6" s="2" t="inlineStr">
        <is>
          <t>#</t>
        </is>
      </c>
      <c r="C6" s="35" t="n">
        <v>0</v>
      </c>
      <c r="D6" s="35">
        <f>C6+1</f>
        <v/>
      </c>
      <c r="E6" s="35">
        <f>D6+1</f>
        <v/>
      </c>
      <c r="F6" s="35">
        <f>E6+1</f>
        <v/>
      </c>
      <c r="G6" s="35">
        <f>F6+1</f>
        <v/>
      </c>
      <c r="H6" s="35">
        <f>G6+1</f>
        <v/>
      </c>
      <c r="I6" s="35">
        <f>H6+1</f>
        <v/>
      </c>
      <c r="J6" s="35">
        <f>I6+1</f>
        <v/>
      </c>
      <c r="K6" s="35">
        <f>J6+1</f>
        <v/>
      </c>
      <c r="L6" s="35">
        <f>K6+1</f>
        <v/>
      </c>
      <c r="M6" s="35">
        <f>L6+1</f>
        <v/>
      </c>
      <c r="N6" s="35">
        <f>M6+1</f>
        <v/>
      </c>
      <c r="O6" s="35">
        <f>N6+1</f>
        <v/>
      </c>
      <c r="P6" s="35">
        <f>O6+1</f>
        <v/>
      </c>
      <c r="Q6" s="35">
        <f>P6+1</f>
        <v/>
      </c>
      <c r="R6" s="35">
        <f>Q6+1</f>
        <v/>
      </c>
      <c r="S6" s="35">
        <f>R6+1</f>
        <v/>
      </c>
      <c r="T6" s="35">
        <f>S6+1</f>
        <v/>
      </c>
      <c r="U6" s="35">
        <f>T6+1</f>
        <v/>
      </c>
      <c r="V6" s="35">
        <f>U6+1</f>
        <v/>
      </c>
      <c r="W6" s="35">
        <f>V6+1</f>
        <v/>
      </c>
      <c r="X6" s="35">
        <f>W6+1</f>
        <v/>
      </c>
      <c r="Y6" s="35">
        <f>X6+1</f>
        <v/>
      </c>
      <c r="Z6" s="35">
        <f>Y6+1</f>
        <v/>
      </c>
      <c r="AA6" s="35">
        <f>Z6+1</f>
        <v/>
      </c>
      <c r="AB6" s="35">
        <f>AA6+1</f>
        <v/>
      </c>
      <c r="AC6" s="35">
        <f>AB6+1</f>
        <v/>
      </c>
      <c r="AD6" s="35">
        <f>AC6+1</f>
        <v/>
      </c>
      <c r="AE6" s="35">
        <f>AD6+1</f>
        <v/>
      </c>
      <c r="AF6" s="35">
        <f>AE6+1</f>
        <v/>
      </c>
      <c r="AG6" s="35">
        <f>AF6+1</f>
        <v/>
      </c>
      <c r="AH6" s="35">
        <f>AG6+1</f>
        <v/>
      </c>
      <c r="AI6" s="35">
        <f>AH6+1</f>
        <v/>
      </c>
      <c r="AJ6" s="35">
        <f>AI6+1</f>
        <v/>
      </c>
      <c r="AK6" s="35">
        <f>AJ6+1</f>
        <v/>
      </c>
      <c r="AL6" s="35">
        <f>AK6+1</f>
        <v/>
      </c>
      <c r="AM6" s="35">
        <f>AL6+1</f>
        <v/>
      </c>
    </row>
    <row r="7">
      <c r="A7" s="5" t="inlineStr">
        <is>
          <t>Month</t>
        </is>
      </c>
      <c r="B7" s="2" t="inlineStr">
        <is>
          <t>date</t>
        </is>
      </c>
      <c r="D7" s="37">
        <f>EDATE(Inputs!$B$7,D6-1)</f>
        <v/>
      </c>
      <c r="E7" s="37">
        <f>EDATE(Inputs!$B$7,E6-1)</f>
        <v/>
      </c>
      <c r="F7" s="37">
        <f>EDATE(Inputs!$B$7,F6-1)</f>
        <v/>
      </c>
      <c r="G7" s="37">
        <f>EDATE(Inputs!$B$7,G6-1)</f>
        <v/>
      </c>
      <c r="H7" s="37">
        <f>EDATE(Inputs!$B$7,H6-1)</f>
        <v/>
      </c>
      <c r="I7" s="37">
        <f>EDATE(Inputs!$B$7,I6-1)</f>
        <v/>
      </c>
      <c r="J7" s="37">
        <f>EDATE(Inputs!$B$7,J6-1)</f>
        <v/>
      </c>
      <c r="K7" s="37">
        <f>EDATE(Inputs!$B$7,K6-1)</f>
        <v/>
      </c>
      <c r="L7" s="37">
        <f>EDATE(Inputs!$B$7,L6-1)</f>
        <v/>
      </c>
      <c r="M7" s="37">
        <f>EDATE(Inputs!$B$7,M6-1)</f>
        <v/>
      </c>
      <c r="N7" s="37">
        <f>EDATE(Inputs!$B$7,N6-1)</f>
        <v/>
      </c>
      <c r="O7" s="37">
        <f>EDATE(Inputs!$B$7,O6-1)</f>
        <v/>
      </c>
      <c r="P7" s="37">
        <f>EDATE(Inputs!$B$7,P6-1)</f>
        <v/>
      </c>
      <c r="Q7" s="37">
        <f>EDATE(Inputs!$B$7,Q6-1)</f>
        <v/>
      </c>
      <c r="R7" s="37">
        <f>EDATE(Inputs!$B$7,R6-1)</f>
        <v/>
      </c>
      <c r="S7" s="37">
        <f>EDATE(Inputs!$B$7,S6-1)</f>
        <v/>
      </c>
      <c r="T7" s="37">
        <f>EDATE(Inputs!$B$7,T6-1)</f>
        <v/>
      </c>
      <c r="U7" s="37">
        <f>EDATE(Inputs!$B$7,U6-1)</f>
        <v/>
      </c>
      <c r="V7" s="37">
        <f>EDATE(Inputs!$B$7,V6-1)</f>
        <v/>
      </c>
      <c r="W7" s="37">
        <f>EDATE(Inputs!$B$7,W6-1)</f>
        <v/>
      </c>
      <c r="X7" s="37">
        <f>EDATE(Inputs!$B$7,X6-1)</f>
        <v/>
      </c>
      <c r="Y7" s="37">
        <f>EDATE(Inputs!$B$7,Y6-1)</f>
        <v/>
      </c>
      <c r="Z7" s="37">
        <f>EDATE(Inputs!$B$7,Z6-1)</f>
        <v/>
      </c>
      <c r="AA7" s="37">
        <f>EDATE(Inputs!$B$7,AA6-1)</f>
        <v/>
      </c>
      <c r="AB7" s="37">
        <f>EDATE(Inputs!$B$7,AB6-1)</f>
        <v/>
      </c>
      <c r="AC7" s="37">
        <f>EDATE(Inputs!$B$7,AC6-1)</f>
        <v/>
      </c>
      <c r="AD7" s="37">
        <f>EDATE(Inputs!$B$7,AD6-1)</f>
        <v/>
      </c>
      <c r="AE7" s="37">
        <f>EDATE(Inputs!$B$7,AE6-1)</f>
        <v/>
      </c>
      <c r="AF7" s="37">
        <f>EDATE(Inputs!$B$7,AF6-1)</f>
        <v/>
      </c>
      <c r="AG7" s="37">
        <f>EDATE(Inputs!$B$7,AG6-1)</f>
        <v/>
      </c>
      <c r="AH7" s="37">
        <f>EDATE(Inputs!$B$7,AH6-1)</f>
        <v/>
      </c>
      <c r="AI7" s="37">
        <f>EDATE(Inputs!$B$7,AI6-1)</f>
        <v/>
      </c>
      <c r="AJ7" s="37">
        <f>EDATE(Inputs!$B$7,AJ6-1)</f>
        <v/>
      </c>
      <c r="AK7" s="37">
        <f>EDATE(Inputs!$B$7,AK6-1)</f>
        <v/>
      </c>
      <c r="AL7" s="37">
        <f>EDATE(Inputs!$B$7,AL6-1)</f>
        <v/>
      </c>
      <c r="AM7" s="37">
        <f>EDATE(Inputs!$B$7,AM6-1)</f>
        <v/>
      </c>
    </row>
    <row r="8">
      <c r="A8" s="5" t="inlineStr">
        <is>
          <t>Calendar month</t>
        </is>
      </c>
      <c r="B8" s="2" t="inlineStr">
        <is>
          <t>1-12</t>
        </is>
      </c>
      <c r="D8" s="35">
        <f>MONTH(D7)</f>
        <v/>
      </c>
      <c r="E8" s="35">
        <f>MONTH(E7)</f>
        <v/>
      </c>
      <c r="F8" s="35">
        <f>MONTH(F7)</f>
        <v/>
      </c>
      <c r="G8" s="35">
        <f>MONTH(G7)</f>
        <v/>
      </c>
      <c r="H8" s="35">
        <f>MONTH(H7)</f>
        <v/>
      </c>
      <c r="I8" s="35">
        <f>MONTH(I7)</f>
        <v/>
      </c>
      <c r="J8" s="35">
        <f>MONTH(J7)</f>
        <v/>
      </c>
      <c r="K8" s="35">
        <f>MONTH(K7)</f>
        <v/>
      </c>
      <c r="L8" s="35">
        <f>MONTH(L7)</f>
        <v/>
      </c>
      <c r="M8" s="35">
        <f>MONTH(M7)</f>
        <v/>
      </c>
      <c r="N8" s="35">
        <f>MONTH(N7)</f>
        <v/>
      </c>
      <c r="O8" s="35">
        <f>MONTH(O7)</f>
        <v/>
      </c>
      <c r="P8" s="35">
        <f>MONTH(P7)</f>
        <v/>
      </c>
      <c r="Q8" s="35">
        <f>MONTH(Q7)</f>
        <v/>
      </c>
      <c r="R8" s="35">
        <f>MONTH(R7)</f>
        <v/>
      </c>
      <c r="S8" s="35">
        <f>MONTH(S7)</f>
        <v/>
      </c>
      <c r="T8" s="35">
        <f>MONTH(T7)</f>
        <v/>
      </c>
      <c r="U8" s="35">
        <f>MONTH(U7)</f>
        <v/>
      </c>
      <c r="V8" s="35">
        <f>MONTH(V7)</f>
        <v/>
      </c>
      <c r="W8" s="35">
        <f>MONTH(W7)</f>
        <v/>
      </c>
      <c r="X8" s="35">
        <f>MONTH(X7)</f>
        <v/>
      </c>
      <c r="Y8" s="35">
        <f>MONTH(Y7)</f>
        <v/>
      </c>
      <c r="Z8" s="35">
        <f>MONTH(Z7)</f>
        <v/>
      </c>
      <c r="AA8" s="35">
        <f>MONTH(AA7)</f>
        <v/>
      </c>
      <c r="AB8" s="35">
        <f>MONTH(AB7)</f>
        <v/>
      </c>
      <c r="AC8" s="35">
        <f>MONTH(AC7)</f>
        <v/>
      </c>
      <c r="AD8" s="35">
        <f>MONTH(AD7)</f>
        <v/>
      </c>
      <c r="AE8" s="35">
        <f>MONTH(AE7)</f>
        <v/>
      </c>
      <c r="AF8" s="35">
        <f>MONTH(AF7)</f>
        <v/>
      </c>
      <c r="AG8" s="35">
        <f>MONTH(AG7)</f>
        <v/>
      </c>
      <c r="AH8" s="35">
        <f>MONTH(AH7)</f>
        <v/>
      </c>
      <c r="AI8" s="35">
        <f>MONTH(AI7)</f>
        <v/>
      </c>
      <c r="AJ8" s="35">
        <f>MONTH(AJ7)</f>
        <v/>
      </c>
      <c r="AK8" s="35">
        <f>MONTH(AK7)</f>
        <v/>
      </c>
      <c r="AL8" s="35">
        <f>MONTH(AL7)</f>
        <v/>
      </c>
      <c r="AM8" s="35">
        <f>MONTH(AM7)</f>
        <v/>
      </c>
    </row>
    <row r="9">
      <c r="A9" s="5" t="inlineStr">
        <is>
          <t>Seasonality index</t>
        </is>
      </c>
      <c r="B9" s="2" t="inlineStr">
        <is>
          <t>x</t>
        </is>
      </c>
      <c r="D9" s="28">
        <f>INDEX(Inputs!$B$68:$B$79,D8)</f>
        <v/>
      </c>
      <c r="E9" s="28">
        <f>INDEX(Inputs!$B$68:$B$79,E8)</f>
        <v/>
      </c>
      <c r="F9" s="28">
        <f>INDEX(Inputs!$B$68:$B$79,F8)</f>
        <v/>
      </c>
      <c r="G9" s="28">
        <f>INDEX(Inputs!$B$68:$B$79,G8)</f>
        <v/>
      </c>
      <c r="H9" s="28">
        <f>INDEX(Inputs!$B$68:$B$79,H8)</f>
        <v/>
      </c>
      <c r="I9" s="28">
        <f>INDEX(Inputs!$B$68:$B$79,I8)</f>
        <v/>
      </c>
      <c r="J9" s="28">
        <f>INDEX(Inputs!$B$68:$B$79,J8)</f>
        <v/>
      </c>
      <c r="K9" s="28">
        <f>INDEX(Inputs!$B$68:$B$79,K8)</f>
        <v/>
      </c>
      <c r="L9" s="28">
        <f>INDEX(Inputs!$B$68:$B$79,L8)</f>
        <v/>
      </c>
      <c r="M9" s="28">
        <f>INDEX(Inputs!$B$68:$B$79,M8)</f>
        <v/>
      </c>
      <c r="N9" s="28">
        <f>INDEX(Inputs!$B$68:$B$79,N8)</f>
        <v/>
      </c>
      <c r="O9" s="28">
        <f>INDEX(Inputs!$B$68:$B$79,O8)</f>
        <v/>
      </c>
      <c r="P9" s="28">
        <f>INDEX(Inputs!$B$68:$B$79,P8)</f>
        <v/>
      </c>
      <c r="Q9" s="28">
        <f>INDEX(Inputs!$B$68:$B$79,Q8)</f>
        <v/>
      </c>
      <c r="R9" s="28">
        <f>INDEX(Inputs!$B$68:$B$79,R8)</f>
        <v/>
      </c>
      <c r="S9" s="28">
        <f>INDEX(Inputs!$B$68:$B$79,S8)</f>
        <v/>
      </c>
      <c r="T9" s="28">
        <f>INDEX(Inputs!$B$68:$B$79,T8)</f>
        <v/>
      </c>
      <c r="U9" s="28">
        <f>INDEX(Inputs!$B$68:$B$79,U8)</f>
        <v/>
      </c>
      <c r="V9" s="28">
        <f>INDEX(Inputs!$B$68:$B$79,V8)</f>
        <v/>
      </c>
      <c r="W9" s="28">
        <f>INDEX(Inputs!$B$68:$B$79,W8)</f>
        <v/>
      </c>
      <c r="X9" s="28">
        <f>INDEX(Inputs!$B$68:$B$79,X8)</f>
        <v/>
      </c>
      <c r="Y9" s="28">
        <f>INDEX(Inputs!$B$68:$B$79,Y8)</f>
        <v/>
      </c>
      <c r="Z9" s="28">
        <f>INDEX(Inputs!$B$68:$B$79,Z8)</f>
        <v/>
      </c>
      <c r="AA9" s="28">
        <f>INDEX(Inputs!$B$68:$B$79,AA8)</f>
        <v/>
      </c>
      <c r="AB9" s="28">
        <f>INDEX(Inputs!$B$68:$B$79,AB8)</f>
        <v/>
      </c>
      <c r="AC9" s="28">
        <f>INDEX(Inputs!$B$68:$B$79,AC8)</f>
        <v/>
      </c>
      <c r="AD9" s="28">
        <f>INDEX(Inputs!$B$68:$B$79,AD8)</f>
        <v/>
      </c>
      <c r="AE9" s="28">
        <f>INDEX(Inputs!$B$68:$B$79,AE8)</f>
        <v/>
      </c>
      <c r="AF9" s="28">
        <f>INDEX(Inputs!$B$68:$B$79,AF8)</f>
        <v/>
      </c>
      <c r="AG9" s="28">
        <f>INDEX(Inputs!$B$68:$B$79,AG8)</f>
        <v/>
      </c>
      <c r="AH9" s="28">
        <f>INDEX(Inputs!$B$68:$B$79,AH8)</f>
        <v/>
      </c>
      <c r="AI9" s="28">
        <f>INDEX(Inputs!$B$68:$B$79,AI8)</f>
        <v/>
      </c>
      <c r="AJ9" s="28">
        <f>INDEX(Inputs!$B$68:$B$79,AJ8)</f>
        <v/>
      </c>
      <c r="AK9" s="28">
        <f>INDEX(Inputs!$B$68:$B$79,AK8)</f>
        <v/>
      </c>
      <c r="AL9" s="28">
        <f>INDEX(Inputs!$B$68:$B$79,AL8)</f>
        <v/>
      </c>
      <c r="AM9" s="28">
        <f>INDEX(Inputs!$B$68:$B$79,AM8)</f>
        <v/>
      </c>
      <c r="AO9" s="28">
        <f>AVERAGE(D9:O9)</f>
        <v/>
      </c>
      <c r="AP9" s="28">
        <f>AVERAGE(P9:AA9)</f>
        <v/>
      </c>
      <c r="AQ9" s="28">
        <f>AVERAGE(AB9:AM9)</f>
        <v/>
      </c>
    </row>
    <row r="10">
      <c r="A10" s="5" t="inlineStr">
        <is>
          <t>Conversion seasonality</t>
        </is>
      </c>
      <c r="B10" s="2" t="inlineStr">
        <is>
          <t>x</t>
        </is>
      </c>
      <c r="D10" s="28">
        <f>1+(D9-1)*Inputs!$B$16</f>
        <v/>
      </c>
      <c r="E10" s="28">
        <f>1+(E9-1)*Inputs!$B$16</f>
        <v/>
      </c>
      <c r="F10" s="28">
        <f>1+(F9-1)*Inputs!$B$16</f>
        <v/>
      </c>
      <c r="G10" s="28">
        <f>1+(G9-1)*Inputs!$B$16</f>
        <v/>
      </c>
      <c r="H10" s="28">
        <f>1+(H9-1)*Inputs!$B$16</f>
        <v/>
      </c>
      <c r="I10" s="28">
        <f>1+(I9-1)*Inputs!$B$16</f>
        <v/>
      </c>
      <c r="J10" s="28">
        <f>1+(J9-1)*Inputs!$B$16</f>
        <v/>
      </c>
      <c r="K10" s="28">
        <f>1+(K9-1)*Inputs!$B$16</f>
        <v/>
      </c>
      <c r="L10" s="28">
        <f>1+(L9-1)*Inputs!$B$16</f>
        <v/>
      </c>
      <c r="M10" s="28">
        <f>1+(M9-1)*Inputs!$B$16</f>
        <v/>
      </c>
      <c r="N10" s="28">
        <f>1+(N9-1)*Inputs!$B$16</f>
        <v/>
      </c>
      <c r="O10" s="28">
        <f>1+(O9-1)*Inputs!$B$16</f>
        <v/>
      </c>
      <c r="P10" s="28">
        <f>1+(P9-1)*Inputs!$B$16</f>
        <v/>
      </c>
      <c r="Q10" s="28">
        <f>1+(Q9-1)*Inputs!$B$16</f>
        <v/>
      </c>
      <c r="R10" s="28">
        <f>1+(R9-1)*Inputs!$B$16</f>
        <v/>
      </c>
      <c r="S10" s="28">
        <f>1+(S9-1)*Inputs!$B$16</f>
        <v/>
      </c>
      <c r="T10" s="28">
        <f>1+(T9-1)*Inputs!$B$16</f>
        <v/>
      </c>
      <c r="U10" s="28">
        <f>1+(U9-1)*Inputs!$B$16</f>
        <v/>
      </c>
      <c r="V10" s="28">
        <f>1+(V9-1)*Inputs!$B$16</f>
        <v/>
      </c>
      <c r="W10" s="28">
        <f>1+(W9-1)*Inputs!$B$16</f>
        <v/>
      </c>
      <c r="X10" s="28">
        <f>1+(X9-1)*Inputs!$B$16</f>
        <v/>
      </c>
      <c r="Y10" s="28">
        <f>1+(Y9-1)*Inputs!$B$16</f>
        <v/>
      </c>
      <c r="Z10" s="28">
        <f>1+(Z9-1)*Inputs!$B$16</f>
        <v/>
      </c>
      <c r="AA10" s="28">
        <f>1+(AA9-1)*Inputs!$B$16</f>
        <v/>
      </c>
      <c r="AB10" s="28">
        <f>1+(AB9-1)*Inputs!$B$16</f>
        <v/>
      </c>
      <c r="AC10" s="28">
        <f>1+(AC9-1)*Inputs!$B$16</f>
        <v/>
      </c>
      <c r="AD10" s="28">
        <f>1+(AD9-1)*Inputs!$B$16</f>
        <v/>
      </c>
      <c r="AE10" s="28">
        <f>1+(AE9-1)*Inputs!$B$16</f>
        <v/>
      </c>
      <c r="AF10" s="28">
        <f>1+(AF9-1)*Inputs!$B$16</f>
        <v/>
      </c>
      <c r="AG10" s="28">
        <f>1+(AG9-1)*Inputs!$B$16</f>
        <v/>
      </c>
      <c r="AH10" s="28">
        <f>1+(AH9-1)*Inputs!$B$16</f>
        <v/>
      </c>
      <c r="AI10" s="28">
        <f>1+(AI9-1)*Inputs!$B$16</f>
        <v/>
      </c>
      <c r="AJ10" s="28">
        <f>1+(AJ9-1)*Inputs!$B$16</f>
        <v/>
      </c>
      <c r="AK10" s="28">
        <f>1+(AK9-1)*Inputs!$B$16</f>
        <v/>
      </c>
      <c r="AL10" s="28">
        <f>1+(AL9-1)*Inputs!$B$16</f>
        <v/>
      </c>
      <c r="AM10" s="28">
        <f>1+(AM9-1)*Inputs!$B$16</f>
        <v/>
      </c>
      <c r="AO10" s="28">
        <f>AVERAGE(D10:O10)</f>
        <v/>
      </c>
      <c r="AP10" s="28">
        <f>AVERAGE(P10:AA10)</f>
        <v/>
      </c>
      <c r="AQ10" s="28">
        <f>AVERAGE(AB10:AM10)</f>
        <v/>
      </c>
    </row>
    <row r="11">
      <c r="A11" s="7" t="inlineStr">
        <is>
          <t>MARKETING BUDGET (drives paid traffic)</t>
        </is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8" t="n"/>
      <c r="AO11" s="8" t="n"/>
      <c r="AP11" s="8" t="n"/>
      <c r="AQ11" s="8" t="n"/>
    </row>
    <row r="12">
      <c r="A12" s="3" t="inlineStr">
        <is>
          <t>Total marketing budget</t>
        </is>
      </c>
      <c r="B12" s="2" t="inlineStr">
        <is>
          <t>$</t>
        </is>
      </c>
      <c r="D12" s="23">
        <f>MIN(Inputs!$B$28,Inputs!$B$26*(1+Inputs!$B$27)^(D6-1))*Scenarios!$B$12*(1+Inputs!$B$29*(D9-1))</f>
        <v/>
      </c>
      <c r="E12" s="23">
        <f>MIN(Inputs!$B$28,Inputs!$B$26*(1+Inputs!$B$27)^(E6-1))*Scenarios!$B$12*(1+Inputs!$B$29*(E9-1))</f>
        <v/>
      </c>
      <c r="F12" s="23">
        <f>MIN(Inputs!$B$28,Inputs!$B$26*(1+Inputs!$B$27)^(F6-1))*Scenarios!$B$12*(1+Inputs!$B$29*(F9-1))</f>
        <v/>
      </c>
      <c r="G12" s="23">
        <f>MIN(Inputs!$B$28,Inputs!$B$26*(1+Inputs!$B$27)^(G6-1))*Scenarios!$B$12*(1+Inputs!$B$29*(G9-1))</f>
        <v/>
      </c>
      <c r="H12" s="23">
        <f>MIN(Inputs!$B$28,Inputs!$B$26*(1+Inputs!$B$27)^(H6-1))*Scenarios!$B$12*(1+Inputs!$B$29*(H9-1))</f>
        <v/>
      </c>
      <c r="I12" s="23">
        <f>MIN(Inputs!$B$28,Inputs!$B$26*(1+Inputs!$B$27)^(I6-1))*Scenarios!$B$12*(1+Inputs!$B$29*(I9-1))</f>
        <v/>
      </c>
      <c r="J12" s="23">
        <f>MIN(Inputs!$B$28,Inputs!$B$26*(1+Inputs!$B$27)^(J6-1))*Scenarios!$B$12*(1+Inputs!$B$29*(J9-1))</f>
        <v/>
      </c>
      <c r="K12" s="23">
        <f>MIN(Inputs!$B$28,Inputs!$B$26*(1+Inputs!$B$27)^(K6-1))*Scenarios!$B$12*(1+Inputs!$B$29*(K9-1))</f>
        <v/>
      </c>
      <c r="L12" s="23">
        <f>MIN(Inputs!$B$28,Inputs!$B$26*(1+Inputs!$B$27)^(L6-1))*Scenarios!$B$12*(1+Inputs!$B$29*(L9-1))</f>
        <v/>
      </c>
      <c r="M12" s="23">
        <f>MIN(Inputs!$B$28,Inputs!$B$26*(1+Inputs!$B$27)^(M6-1))*Scenarios!$B$12*(1+Inputs!$B$29*(M9-1))</f>
        <v/>
      </c>
      <c r="N12" s="23">
        <f>MIN(Inputs!$B$28,Inputs!$B$26*(1+Inputs!$B$27)^(N6-1))*Scenarios!$B$12*(1+Inputs!$B$29*(N9-1))</f>
        <v/>
      </c>
      <c r="O12" s="23">
        <f>MIN(Inputs!$B$28,Inputs!$B$26*(1+Inputs!$B$27)^(O6-1))*Scenarios!$B$12*(1+Inputs!$B$29*(O9-1))</f>
        <v/>
      </c>
      <c r="P12" s="23">
        <f>MIN(Inputs!$B$28,Inputs!$B$26*(1+Inputs!$B$27)^(P6-1))*Scenarios!$B$12*(1+Inputs!$B$29*(P9-1))</f>
        <v/>
      </c>
      <c r="Q12" s="23">
        <f>MIN(Inputs!$B$28,Inputs!$B$26*(1+Inputs!$B$27)^(Q6-1))*Scenarios!$B$12*(1+Inputs!$B$29*(Q9-1))</f>
        <v/>
      </c>
      <c r="R12" s="23">
        <f>MIN(Inputs!$B$28,Inputs!$B$26*(1+Inputs!$B$27)^(R6-1))*Scenarios!$B$12*(1+Inputs!$B$29*(R9-1))</f>
        <v/>
      </c>
      <c r="S12" s="23">
        <f>MIN(Inputs!$B$28,Inputs!$B$26*(1+Inputs!$B$27)^(S6-1))*Scenarios!$B$12*(1+Inputs!$B$29*(S9-1))</f>
        <v/>
      </c>
      <c r="T12" s="23">
        <f>MIN(Inputs!$B$28,Inputs!$B$26*(1+Inputs!$B$27)^(T6-1))*Scenarios!$B$12*(1+Inputs!$B$29*(T9-1))</f>
        <v/>
      </c>
      <c r="U12" s="23">
        <f>MIN(Inputs!$B$28,Inputs!$B$26*(1+Inputs!$B$27)^(U6-1))*Scenarios!$B$12*(1+Inputs!$B$29*(U9-1))</f>
        <v/>
      </c>
      <c r="V12" s="23">
        <f>MIN(Inputs!$B$28,Inputs!$B$26*(1+Inputs!$B$27)^(V6-1))*Scenarios!$B$12*(1+Inputs!$B$29*(V9-1))</f>
        <v/>
      </c>
      <c r="W12" s="23">
        <f>MIN(Inputs!$B$28,Inputs!$B$26*(1+Inputs!$B$27)^(W6-1))*Scenarios!$B$12*(1+Inputs!$B$29*(W9-1))</f>
        <v/>
      </c>
      <c r="X12" s="23">
        <f>MIN(Inputs!$B$28,Inputs!$B$26*(1+Inputs!$B$27)^(X6-1))*Scenarios!$B$12*(1+Inputs!$B$29*(X9-1))</f>
        <v/>
      </c>
      <c r="Y12" s="23">
        <f>MIN(Inputs!$B$28,Inputs!$B$26*(1+Inputs!$B$27)^(Y6-1))*Scenarios!$B$12*(1+Inputs!$B$29*(Y9-1))</f>
        <v/>
      </c>
      <c r="Z12" s="23">
        <f>MIN(Inputs!$B$28,Inputs!$B$26*(1+Inputs!$B$27)^(Z6-1))*Scenarios!$B$12*(1+Inputs!$B$29*(Z9-1))</f>
        <v/>
      </c>
      <c r="AA12" s="23">
        <f>MIN(Inputs!$B$28,Inputs!$B$26*(1+Inputs!$B$27)^(AA6-1))*Scenarios!$B$12*(1+Inputs!$B$29*(AA9-1))</f>
        <v/>
      </c>
      <c r="AB12" s="23">
        <f>MIN(Inputs!$B$28,Inputs!$B$26*(1+Inputs!$B$27)^(AB6-1))*Scenarios!$B$12*(1+Inputs!$B$29*(AB9-1))</f>
        <v/>
      </c>
      <c r="AC12" s="23">
        <f>MIN(Inputs!$B$28,Inputs!$B$26*(1+Inputs!$B$27)^(AC6-1))*Scenarios!$B$12*(1+Inputs!$B$29*(AC9-1))</f>
        <v/>
      </c>
      <c r="AD12" s="23">
        <f>MIN(Inputs!$B$28,Inputs!$B$26*(1+Inputs!$B$27)^(AD6-1))*Scenarios!$B$12*(1+Inputs!$B$29*(AD9-1))</f>
        <v/>
      </c>
      <c r="AE12" s="23">
        <f>MIN(Inputs!$B$28,Inputs!$B$26*(1+Inputs!$B$27)^(AE6-1))*Scenarios!$B$12*(1+Inputs!$B$29*(AE9-1))</f>
        <v/>
      </c>
      <c r="AF12" s="23">
        <f>MIN(Inputs!$B$28,Inputs!$B$26*(1+Inputs!$B$27)^(AF6-1))*Scenarios!$B$12*(1+Inputs!$B$29*(AF9-1))</f>
        <v/>
      </c>
      <c r="AG12" s="23">
        <f>MIN(Inputs!$B$28,Inputs!$B$26*(1+Inputs!$B$27)^(AG6-1))*Scenarios!$B$12*(1+Inputs!$B$29*(AG9-1))</f>
        <v/>
      </c>
      <c r="AH12" s="23">
        <f>MIN(Inputs!$B$28,Inputs!$B$26*(1+Inputs!$B$27)^(AH6-1))*Scenarios!$B$12*(1+Inputs!$B$29*(AH9-1))</f>
        <v/>
      </c>
      <c r="AI12" s="23">
        <f>MIN(Inputs!$B$28,Inputs!$B$26*(1+Inputs!$B$27)^(AI6-1))*Scenarios!$B$12*(1+Inputs!$B$29*(AI9-1))</f>
        <v/>
      </c>
      <c r="AJ12" s="23">
        <f>MIN(Inputs!$B$28,Inputs!$B$26*(1+Inputs!$B$27)^(AJ6-1))*Scenarios!$B$12*(1+Inputs!$B$29*(AJ9-1))</f>
        <v/>
      </c>
      <c r="AK12" s="23">
        <f>MIN(Inputs!$B$28,Inputs!$B$26*(1+Inputs!$B$27)^(AK6-1))*Scenarios!$B$12*(1+Inputs!$B$29*(AK9-1))</f>
        <v/>
      </c>
      <c r="AL12" s="23">
        <f>MIN(Inputs!$B$28,Inputs!$B$26*(1+Inputs!$B$27)^(AL6-1))*Scenarios!$B$12*(1+Inputs!$B$29*(AL9-1))</f>
        <v/>
      </c>
      <c r="AM12" s="23">
        <f>MIN(Inputs!$B$28,Inputs!$B$26*(1+Inputs!$B$27)^(AM6-1))*Scenarios!$B$12*(1+Inputs!$B$29*(AM9-1))</f>
        <v/>
      </c>
      <c r="AO12" s="23">
        <f>SUM(D12:O12)</f>
        <v/>
      </c>
      <c r="AP12" s="23">
        <f>SUM(P12:AA12)</f>
        <v/>
      </c>
      <c r="AQ12" s="23">
        <f>SUM(AB12:AM12)</f>
        <v/>
      </c>
    </row>
    <row r="13">
      <c r="A13" s="5">
        <f>"  Budget - "&amp;Inputs!A57</f>
        <v/>
      </c>
      <c r="B13" s="2" t="inlineStr">
        <is>
          <t>$</t>
        </is>
      </c>
      <c r="D13" s="15">
        <f>D12*'Unit Economics'!$B$15</f>
        <v/>
      </c>
      <c r="E13" s="15">
        <f>E12*'Unit Economics'!$B$15</f>
        <v/>
      </c>
      <c r="F13" s="15">
        <f>F12*'Unit Economics'!$B$15</f>
        <v/>
      </c>
      <c r="G13" s="15">
        <f>G12*'Unit Economics'!$B$15</f>
        <v/>
      </c>
      <c r="H13" s="15">
        <f>H12*'Unit Economics'!$B$15</f>
        <v/>
      </c>
      <c r="I13" s="15">
        <f>I12*'Unit Economics'!$B$15</f>
        <v/>
      </c>
      <c r="J13" s="15">
        <f>J12*'Unit Economics'!$B$15</f>
        <v/>
      </c>
      <c r="K13" s="15">
        <f>K12*'Unit Economics'!$B$15</f>
        <v/>
      </c>
      <c r="L13" s="15">
        <f>L12*'Unit Economics'!$B$15</f>
        <v/>
      </c>
      <c r="M13" s="15">
        <f>M12*'Unit Economics'!$B$15</f>
        <v/>
      </c>
      <c r="N13" s="15">
        <f>N12*'Unit Economics'!$B$15</f>
        <v/>
      </c>
      <c r="O13" s="15">
        <f>O12*'Unit Economics'!$B$15</f>
        <v/>
      </c>
      <c r="P13" s="15">
        <f>P12*'Unit Economics'!$B$15</f>
        <v/>
      </c>
      <c r="Q13" s="15">
        <f>Q12*'Unit Economics'!$B$15</f>
        <v/>
      </c>
      <c r="R13" s="15">
        <f>R12*'Unit Economics'!$B$15</f>
        <v/>
      </c>
      <c r="S13" s="15">
        <f>S12*'Unit Economics'!$B$15</f>
        <v/>
      </c>
      <c r="T13" s="15">
        <f>T12*'Unit Economics'!$B$15</f>
        <v/>
      </c>
      <c r="U13" s="15">
        <f>U12*'Unit Economics'!$B$15</f>
        <v/>
      </c>
      <c r="V13" s="15">
        <f>V12*'Unit Economics'!$B$15</f>
        <v/>
      </c>
      <c r="W13" s="15">
        <f>W12*'Unit Economics'!$B$15</f>
        <v/>
      </c>
      <c r="X13" s="15">
        <f>X12*'Unit Economics'!$B$15</f>
        <v/>
      </c>
      <c r="Y13" s="15">
        <f>Y12*'Unit Economics'!$B$15</f>
        <v/>
      </c>
      <c r="Z13" s="15">
        <f>Z12*'Unit Economics'!$B$15</f>
        <v/>
      </c>
      <c r="AA13" s="15">
        <f>AA12*'Unit Economics'!$B$15</f>
        <v/>
      </c>
      <c r="AB13" s="15">
        <f>AB12*'Unit Economics'!$B$15</f>
        <v/>
      </c>
      <c r="AC13" s="15">
        <f>AC12*'Unit Economics'!$B$15</f>
        <v/>
      </c>
      <c r="AD13" s="15">
        <f>AD12*'Unit Economics'!$B$15</f>
        <v/>
      </c>
      <c r="AE13" s="15">
        <f>AE12*'Unit Economics'!$B$15</f>
        <v/>
      </c>
      <c r="AF13" s="15">
        <f>AF12*'Unit Economics'!$B$15</f>
        <v/>
      </c>
      <c r="AG13" s="15">
        <f>AG12*'Unit Economics'!$B$15</f>
        <v/>
      </c>
      <c r="AH13" s="15">
        <f>AH12*'Unit Economics'!$B$15</f>
        <v/>
      </c>
      <c r="AI13" s="15">
        <f>AI12*'Unit Economics'!$B$15</f>
        <v/>
      </c>
      <c r="AJ13" s="15">
        <f>AJ12*'Unit Economics'!$B$15</f>
        <v/>
      </c>
      <c r="AK13" s="15">
        <f>AK12*'Unit Economics'!$B$15</f>
        <v/>
      </c>
      <c r="AL13" s="15">
        <f>AL12*'Unit Economics'!$B$15</f>
        <v/>
      </c>
      <c r="AM13" s="15">
        <f>AM12*'Unit Economics'!$B$15</f>
        <v/>
      </c>
      <c r="AO13" s="15">
        <f>SUM(D13:O13)</f>
        <v/>
      </c>
      <c r="AP13" s="15">
        <f>SUM(P13:AA13)</f>
        <v/>
      </c>
      <c r="AQ13" s="15">
        <f>SUM(AB13:AM13)</f>
        <v/>
      </c>
    </row>
    <row r="14">
      <c r="A14" s="5">
        <f>"  Budget - "&amp;Inputs!A58</f>
        <v/>
      </c>
      <c r="B14" s="2" t="inlineStr">
        <is>
          <t>$</t>
        </is>
      </c>
      <c r="D14" s="15">
        <f>D12*'Unit Economics'!$B$16</f>
        <v/>
      </c>
      <c r="E14" s="15">
        <f>E12*'Unit Economics'!$B$16</f>
        <v/>
      </c>
      <c r="F14" s="15">
        <f>F12*'Unit Economics'!$B$16</f>
        <v/>
      </c>
      <c r="G14" s="15">
        <f>G12*'Unit Economics'!$B$16</f>
        <v/>
      </c>
      <c r="H14" s="15">
        <f>H12*'Unit Economics'!$B$16</f>
        <v/>
      </c>
      <c r="I14" s="15">
        <f>I12*'Unit Economics'!$B$16</f>
        <v/>
      </c>
      <c r="J14" s="15">
        <f>J12*'Unit Economics'!$B$16</f>
        <v/>
      </c>
      <c r="K14" s="15">
        <f>K12*'Unit Economics'!$B$16</f>
        <v/>
      </c>
      <c r="L14" s="15">
        <f>L12*'Unit Economics'!$B$16</f>
        <v/>
      </c>
      <c r="M14" s="15">
        <f>M12*'Unit Economics'!$B$16</f>
        <v/>
      </c>
      <c r="N14" s="15">
        <f>N12*'Unit Economics'!$B$16</f>
        <v/>
      </c>
      <c r="O14" s="15">
        <f>O12*'Unit Economics'!$B$16</f>
        <v/>
      </c>
      <c r="P14" s="15">
        <f>P12*'Unit Economics'!$B$16</f>
        <v/>
      </c>
      <c r="Q14" s="15">
        <f>Q12*'Unit Economics'!$B$16</f>
        <v/>
      </c>
      <c r="R14" s="15">
        <f>R12*'Unit Economics'!$B$16</f>
        <v/>
      </c>
      <c r="S14" s="15">
        <f>S12*'Unit Economics'!$B$16</f>
        <v/>
      </c>
      <c r="T14" s="15">
        <f>T12*'Unit Economics'!$B$16</f>
        <v/>
      </c>
      <c r="U14" s="15">
        <f>U12*'Unit Economics'!$B$16</f>
        <v/>
      </c>
      <c r="V14" s="15">
        <f>V12*'Unit Economics'!$B$16</f>
        <v/>
      </c>
      <c r="W14" s="15">
        <f>W12*'Unit Economics'!$B$16</f>
        <v/>
      </c>
      <c r="X14" s="15">
        <f>X12*'Unit Economics'!$B$16</f>
        <v/>
      </c>
      <c r="Y14" s="15">
        <f>Y12*'Unit Economics'!$B$16</f>
        <v/>
      </c>
      <c r="Z14" s="15">
        <f>Z12*'Unit Economics'!$B$16</f>
        <v/>
      </c>
      <c r="AA14" s="15">
        <f>AA12*'Unit Economics'!$B$16</f>
        <v/>
      </c>
      <c r="AB14" s="15">
        <f>AB12*'Unit Economics'!$B$16</f>
        <v/>
      </c>
      <c r="AC14" s="15">
        <f>AC12*'Unit Economics'!$B$16</f>
        <v/>
      </c>
      <c r="AD14" s="15">
        <f>AD12*'Unit Economics'!$B$16</f>
        <v/>
      </c>
      <c r="AE14" s="15">
        <f>AE12*'Unit Economics'!$B$16</f>
        <v/>
      </c>
      <c r="AF14" s="15">
        <f>AF12*'Unit Economics'!$B$16</f>
        <v/>
      </c>
      <c r="AG14" s="15">
        <f>AG12*'Unit Economics'!$B$16</f>
        <v/>
      </c>
      <c r="AH14" s="15">
        <f>AH12*'Unit Economics'!$B$16</f>
        <v/>
      </c>
      <c r="AI14" s="15">
        <f>AI12*'Unit Economics'!$B$16</f>
        <v/>
      </c>
      <c r="AJ14" s="15">
        <f>AJ12*'Unit Economics'!$B$16</f>
        <v/>
      </c>
      <c r="AK14" s="15">
        <f>AK12*'Unit Economics'!$B$16</f>
        <v/>
      </c>
      <c r="AL14" s="15">
        <f>AL12*'Unit Economics'!$B$16</f>
        <v/>
      </c>
      <c r="AM14" s="15">
        <f>AM12*'Unit Economics'!$B$16</f>
        <v/>
      </c>
      <c r="AO14" s="15">
        <f>SUM(D14:O14)</f>
        <v/>
      </c>
      <c r="AP14" s="15">
        <f>SUM(P14:AA14)</f>
        <v/>
      </c>
      <c r="AQ14" s="15">
        <f>SUM(AB14:AM14)</f>
        <v/>
      </c>
    </row>
    <row r="15">
      <c r="A15" s="5">
        <f>"  Budget - "&amp;Inputs!A59</f>
        <v/>
      </c>
      <c r="B15" s="2" t="inlineStr">
        <is>
          <t>$</t>
        </is>
      </c>
      <c r="D15" s="15">
        <f>D12*'Unit Economics'!$B$17</f>
        <v/>
      </c>
      <c r="E15" s="15">
        <f>E12*'Unit Economics'!$B$17</f>
        <v/>
      </c>
      <c r="F15" s="15">
        <f>F12*'Unit Economics'!$B$17</f>
        <v/>
      </c>
      <c r="G15" s="15">
        <f>G12*'Unit Economics'!$B$17</f>
        <v/>
      </c>
      <c r="H15" s="15">
        <f>H12*'Unit Economics'!$B$17</f>
        <v/>
      </c>
      <c r="I15" s="15">
        <f>I12*'Unit Economics'!$B$17</f>
        <v/>
      </c>
      <c r="J15" s="15">
        <f>J12*'Unit Economics'!$B$17</f>
        <v/>
      </c>
      <c r="K15" s="15">
        <f>K12*'Unit Economics'!$B$17</f>
        <v/>
      </c>
      <c r="L15" s="15">
        <f>L12*'Unit Economics'!$B$17</f>
        <v/>
      </c>
      <c r="M15" s="15">
        <f>M12*'Unit Economics'!$B$17</f>
        <v/>
      </c>
      <c r="N15" s="15">
        <f>N12*'Unit Economics'!$B$17</f>
        <v/>
      </c>
      <c r="O15" s="15">
        <f>O12*'Unit Economics'!$B$17</f>
        <v/>
      </c>
      <c r="P15" s="15">
        <f>P12*'Unit Economics'!$B$17</f>
        <v/>
      </c>
      <c r="Q15" s="15">
        <f>Q12*'Unit Economics'!$B$17</f>
        <v/>
      </c>
      <c r="R15" s="15">
        <f>R12*'Unit Economics'!$B$17</f>
        <v/>
      </c>
      <c r="S15" s="15">
        <f>S12*'Unit Economics'!$B$17</f>
        <v/>
      </c>
      <c r="T15" s="15">
        <f>T12*'Unit Economics'!$B$17</f>
        <v/>
      </c>
      <c r="U15" s="15">
        <f>U12*'Unit Economics'!$B$17</f>
        <v/>
      </c>
      <c r="V15" s="15">
        <f>V12*'Unit Economics'!$B$17</f>
        <v/>
      </c>
      <c r="W15" s="15">
        <f>W12*'Unit Economics'!$B$17</f>
        <v/>
      </c>
      <c r="X15" s="15">
        <f>X12*'Unit Economics'!$B$17</f>
        <v/>
      </c>
      <c r="Y15" s="15">
        <f>Y12*'Unit Economics'!$B$17</f>
        <v/>
      </c>
      <c r="Z15" s="15">
        <f>Z12*'Unit Economics'!$B$17</f>
        <v/>
      </c>
      <c r="AA15" s="15">
        <f>AA12*'Unit Economics'!$B$17</f>
        <v/>
      </c>
      <c r="AB15" s="15">
        <f>AB12*'Unit Economics'!$B$17</f>
        <v/>
      </c>
      <c r="AC15" s="15">
        <f>AC12*'Unit Economics'!$B$17</f>
        <v/>
      </c>
      <c r="AD15" s="15">
        <f>AD12*'Unit Economics'!$B$17</f>
        <v/>
      </c>
      <c r="AE15" s="15">
        <f>AE12*'Unit Economics'!$B$17</f>
        <v/>
      </c>
      <c r="AF15" s="15">
        <f>AF12*'Unit Economics'!$B$17</f>
        <v/>
      </c>
      <c r="AG15" s="15">
        <f>AG12*'Unit Economics'!$B$17</f>
        <v/>
      </c>
      <c r="AH15" s="15">
        <f>AH12*'Unit Economics'!$B$17</f>
        <v/>
      </c>
      <c r="AI15" s="15">
        <f>AI12*'Unit Economics'!$B$17</f>
        <v/>
      </c>
      <c r="AJ15" s="15">
        <f>AJ12*'Unit Economics'!$B$17</f>
        <v/>
      </c>
      <c r="AK15" s="15">
        <f>AK12*'Unit Economics'!$B$17</f>
        <v/>
      </c>
      <c r="AL15" s="15">
        <f>AL12*'Unit Economics'!$B$17</f>
        <v/>
      </c>
      <c r="AM15" s="15">
        <f>AM12*'Unit Economics'!$B$17</f>
        <v/>
      </c>
      <c r="AO15" s="15">
        <f>SUM(D15:O15)</f>
        <v/>
      </c>
      <c r="AP15" s="15">
        <f>SUM(P15:AA15)</f>
        <v/>
      </c>
      <c r="AQ15" s="15">
        <f>SUM(AB15:AM15)</f>
        <v/>
      </c>
    </row>
    <row r="16">
      <c r="A16" s="5">
        <f>"  Budget - "&amp;Inputs!A60</f>
        <v/>
      </c>
      <c r="B16" s="2" t="inlineStr">
        <is>
          <t>$</t>
        </is>
      </c>
      <c r="D16" s="15">
        <f>D12*'Unit Economics'!$B$18</f>
        <v/>
      </c>
      <c r="E16" s="15">
        <f>E12*'Unit Economics'!$B$18</f>
        <v/>
      </c>
      <c r="F16" s="15">
        <f>F12*'Unit Economics'!$B$18</f>
        <v/>
      </c>
      <c r="G16" s="15">
        <f>G12*'Unit Economics'!$B$18</f>
        <v/>
      </c>
      <c r="H16" s="15">
        <f>H12*'Unit Economics'!$B$18</f>
        <v/>
      </c>
      <c r="I16" s="15">
        <f>I12*'Unit Economics'!$B$18</f>
        <v/>
      </c>
      <c r="J16" s="15">
        <f>J12*'Unit Economics'!$B$18</f>
        <v/>
      </c>
      <c r="K16" s="15">
        <f>K12*'Unit Economics'!$B$18</f>
        <v/>
      </c>
      <c r="L16" s="15">
        <f>L12*'Unit Economics'!$B$18</f>
        <v/>
      </c>
      <c r="M16" s="15">
        <f>M12*'Unit Economics'!$B$18</f>
        <v/>
      </c>
      <c r="N16" s="15">
        <f>N12*'Unit Economics'!$B$18</f>
        <v/>
      </c>
      <c r="O16" s="15">
        <f>O12*'Unit Economics'!$B$18</f>
        <v/>
      </c>
      <c r="P16" s="15">
        <f>P12*'Unit Economics'!$B$18</f>
        <v/>
      </c>
      <c r="Q16" s="15">
        <f>Q12*'Unit Economics'!$B$18</f>
        <v/>
      </c>
      <c r="R16" s="15">
        <f>R12*'Unit Economics'!$B$18</f>
        <v/>
      </c>
      <c r="S16" s="15">
        <f>S12*'Unit Economics'!$B$18</f>
        <v/>
      </c>
      <c r="T16" s="15">
        <f>T12*'Unit Economics'!$B$18</f>
        <v/>
      </c>
      <c r="U16" s="15">
        <f>U12*'Unit Economics'!$B$18</f>
        <v/>
      </c>
      <c r="V16" s="15">
        <f>V12*'Unit Economics'!$B$18</f>
        <v/>
      </c>
      <c r="W16" s="15">
        <f>W12*'Unit Economics'!$B$18</f>
        <v/>
      </c>
      <c r="X16" s="15">
        <f>X12*'Unit Economics'!$B$18</f>
        <v/>
      </c>
      <c r="Y16" s="15">
        <f>Y12*'Unit Economics'!$B$18</f>
        <v/>
      </c>
      <c r="Z16" s="15">
        <f>Z12*'Unit Economics'!$B$18</f>
        <v/>
      </c>
      <c r="AA16" s="15">
        <f>AA12*'Unit Economics'!$B$18</f>
        <v/>
      </c>
      <c r="AB16" s="15">
        <f>AB12*'Unit Economics'!$B$18</f>
        <v/>
      </c>
      <c r="AC16" s="15">
        <f>AC12*'Unit Economics'!$B$18</f>
        <v/>
      </c>
      <c r="AD16" s="15">
        <f>AD12*'Unit Economics'!$B$18</f>
        <v/>
      </c>
      <c r="AE16" s="15">
        <f>AE12*'Unit Economics'!$B$18</f>
        <v/>
      </c>
      <c r="AF16" s="15">
        <f>AF12*'Unit Economics'!$B$18</f>
        <v/>
      </c>
      <c r="AG16" s="15">
        <f>AG12*'Unit Economics'!$B$18</f>
        <v/>
      </c>
      <c r="AH16" s="15">
        <f>AH12*'Unit Economics'!$B$18</f>
        <v/>
      </c>
      <c r="AI16" s="15">
        <f>AI12*'Unit Economics'!$B$18</f>
        <v/>
      </c>
      <c r="AJ16" s="15">
        <f>AJ12*'Unit Economics'!$B$18</f>
        <v/>
      </c>
      <c r="AK16" s="15">
        <f>AK12*'Unit Economics'!$B$18</f>
        <v/>
      </c>
      <c r="AL16" s="15">
        <f>AL12*'Unit Economics'!$B$18</f>
        <v/>
      </c>
      <c r="AM16" s="15">
        <f>AM12*'Unit Economics'!$B$18</f>
        <v/>
      </c>
      <c r="AO16" s="15">
        <f>SUM(D16:O16)</f>
        <v/>
      </c>
      <c r="AP16" s="15">
        <f>SUM(P16:AA16)</f>
        <v/>
      </c>
      <c r="AQ16" s="15">
        <f>SUM(AB16:AM16)</f>
        <v/>
      </c>
    </row>
    <row r="17">
      <c r="A17" s="5">
        <f>"  Budget - "&amp;Inputs!A61</f>
        <v/>
      </c>
      <c r="B17" s="2" t="inlineStr">
        <is>
          <t>$</t>
        </is>
      </c>
      <c r="D17" s="15">
        <f>D12*'Unit Economics'!$B$19</f>
        <v/>
      </c>
      <c r="E17" s="15">
        <f>E12*'Unit Economics'!$B$19</f>
        <v/>
      </c>
      <c r="F17" s="15">
        <f>F12*'Unit Economics'!$B$19</f>
        <v/>
      </c>
      <c r="G17" s="15">
        <f>G12*'Unit Economics'!$B$19</f>
        <v/>
      </c>
      <c r="H17" s="15">
        <f>H12*'Unit Economics'!$B$19</f>
        <v/>
      </c>
      <c r="I17" s="15">
        <f>I12*'Unit Economics'!$B$19</f>
        <v/>
      </c>
      <c r="J17" s="15">
        <f>J12*'Unit Economics'!$B$19</f>
        <v/>
      </c>
      <c r="K17" s="15">
        <f>K12*'Unit Economics'!$B$19</f>
        <v/>
      </c>
      <c r="L17" s="15">
        <f>L12*'Unit Economics'!$B$19</f>
        <v/>
      </c>
      <c r="M17" s="15">
        <f>M12*'Unit Economics'!$B$19</f>
        <v/>
      </c>
      <c r="N17" s="15">
        <f>N12*'Unit Economics'!$B$19</f>
        <v/>
      </c>
      <c r="O17" s="15">
        <f>O12*'Unit Economics'!$B$19</f>
        <v/>
      </c>
      <c r="P17" s="15">
        <f>P12*'Unit Economics'!$B$19</f>
        <v/>
      </c>
      <c r="Q17" s="15">
        <f>Q12*'Unit Economics'!$B$19</f>
        <v/>
      </c>
      <c r="R17" s="15">
        <f>R12*'Unit Economics'!$B$19</f>
        <v/>
      </c>
      <c r="S17" s="15">
        <f>S12*'Unit Economics'!$B$19</f>
        <v/>
      </c>
      <c r="T17" s="15">
        <f>T12*'Unit Economics'!$B$19</f>
        <v/>
      </c>
      <c r="U17" s="15">
        <f>U12*'Unit Economics'!$B$19</f>
        <v/>
      </c>
      <c r="V17" s="15">
        <f>V12*'Unit Economics'!$B$19</f>
        <v/>
      </c>
      <c r="W17" s="15">
        <f>W12*'Unit Economics'!$B$19</f>
        <v/>
      </c>
      <c r="X17" s="15">
        <f>X12*'Unit Economics'!$B$19</f>
        <v/>
      </c>
      <c r="Y17" s="15">
        <f>Y12*'Unit Economics'!$B$19</f>
        <v/>
      </c>
      <c r="Z17" s="15">
        <f>Z12*'Unit Economics'!$B$19</f>
        <v/>
      </c>
      <c r="AA17" s="15">
        <f>AA12*'Unit Economics'!$B$19</f>
        <v/>
      </c>
      <c r="AB17" s="15">
        <f>AB12*'Unit Economics'!$B$19</f>
        <v/>
      </c>
      <c r="AC17" s="15">
        <f>AC12*'Unit Economics'!$B$19</f>
        <v/>
      </c>
      <c r="AD17" s="15">
        <f>AD12*'Unit Economics'!$B$19</f>
        <v/>
      </c>
      <c r="AE17" s="15">
        <f>AE12*'Unit Economics'!$B$19</f>
        <v/>
      </c>
      <c r="AF17" s="15">
        <f>AF12*'Unit Economics'!$B$19</f>
        <v/>
      </c>
      <c r="AG17" s="15">
        <f>AG12*'Unit Economics'!$B$19</f>
        <v/>
      </c>
      <c r="AH17" s="15">
        <f>AH12*'Unit Economics'!$B$19</f>
        <v/>
      </c>
      <c r="AI17" s="15">
        <f>AI12*'Unit Economics'!$B$19</f>
        <v/>
      </c>
      <c r="AJ17" s="15">
        <f>AJ12*'Unit Economics'!$B$19</f>
        <v/>
      </c>
      <c r="AK17" s="15">
        <f>AK12*'Unit Economics'!$B$19</f>
        <v/>
      </c>
      <c r="AL17" s="15">
        <f>AL12*'Unit Economics'!$B$19</f>
        <v/>
      </c>
      <c r="AM17" s="15">
        <f>AM12*'Unit Economics'!$B$19</f>
        <v/>
      </c>
      <c r="AO17" s="15">
        <f>SUM(D17:O17)</f>
        <v/>
      </c>
      <c r="AP17" s="15">
        <f>SUM(P17:AA17)</f>
        <v/>
      </c>
      <c r="AQ17" s="15">
        <f>SUM(AB17:AM17)</f>
        <v/>
      </c>
    </row>
    <row r="18">
      <c r="A18" s="5">
        <f>"  Budget - "&amp;Inputs!A62</f>
        <v/>
      </c>
      <c r="B18" s="2" t="inlineStr">
        <is>
          <t>$</t>
        </is>
      </c>
      <c r="D18" s="15">
        <f>D12*'Unit Economics'!$B$20</f>
        <v/>
      </c>
      <c r="E18" s="15">
        <f>E12*'Unit Economics'!$B$20</f>
        <v/>
      </c>
      <c r="F18" s="15">
        <f>F12*'Unit Economics'!$B$20</f>
        <v/>
      </c>
      <c r="G18" s="15">
        <f>G12*'Unit Economics'!$B$20</f>
        <v/>
      </c>
      <c r="H18" s="15">
        <f>H12*'Unit Economics'!$B$20</f>
        <v/>
      </c>
      <c r="I18" s="15">
        <f>I12*'Unit Economics'!$B$20</f>
        <v/>
      </c>
      <c r="J18" s="15">
        <f>J12*'Unit Economics'!$B$20</f>
        <v/>
      </c>
      <c r="K18" s="15">
        <f>K12*'Unit Economics'!$B$20</f>
        <v/>
      </c>
      <c r="L18" s="15">
        <f>L12*'Unit Economics'!$B$20</f>
        <v/>
      </c>
      <c r="M18" s="15">
        <f>M12*'Unit Economics'!$B$20</f>
        <v/>
      </c>
      <c r="N18" s="15">
        <f>N12*'Unit Economics'!$B$20</f>
        <v/>
      </c>
      <c r="O18" s="15">
        <f>O12*'Unit Economics'!$B$20</f>
        <v/>
      </c>
      <c r="P18" s="15">
        <f>P12*'Unit Economics'!$B$20</f>
        <v/>
      </c>
      <c r="Q18" s="15">
        <f>Q12*'Unit Economics'!$B$20</f>
        <v/>
      </c>
      <c r="R18" s="15">
        <f>R12*'Unit Economics'!$B$20</f>
        <v/>
      </c>
      <c r="S18" s="15">
        <f>S12*'Unit Economics'!$B$20</f>
        <v/>
      </c>
      <c r="T18" s="15">
        <f>T12*'Unit Economics'!$B$20</f>
        <v/>
      </c>
      <c r="U18" s="15">
        <f>U12*'Unit Economics'!$B$20</f>
        <v/>
      </c>
      <c r="V18" s="15">
        <f>V12*'Unit Economics'!$B$20</f>
        <v/>
      </c>
      <c r="W18" s="15">
        <f>W12*'Unit Economics'!$B$20</f>
        <v/>
      </c>
      <c r="X18" s="15">
        <f>X12*'Unit Economics'!$B$20</f>
        <v/>
      </c>
      <c r="Y18" s="15">
        <f>Y12*'Unit Economics'!$B$20</f>
        <v/>
      </c>
      <c r="Z18" s="15">
        <f>Z12*'Unit Economics'!$B$20</f>
        <v/>
      </c>
      <c r="AA18" s="15">
        <f>AA12*'Unit Economics'!$B$20</f>
        <v/>
      </c>
      <c r="AB18" s="15">
        <f>AB12*'Unit Economics'!$B$20</f>
        <v/>
      </c>
      <c r="AC18" s="15">
        <f>AC12*'Unit Economics'!$B$20</f>
        <v/>
      </c>
      <c r="AD18" s="15">
        <f>AD12*'Unit Economics'!$B$20</f>
        <v/>
      </c>
      <c r="AE18" s="15">
        <f>AE12*'Unit Economics'!$B$20</f>
        <v/>
      </c>
      <c r="AF18" s="15">
        <f>AF12*'Unit Economics'!$B$20</f>
        <v/>
      </c>
      <c r="AG18" s="15">
        <f>AG12*'Unit Economics'!$B$20</f>
        <v/>
      </c>
      <c r="AH18" s="15">
        <f>AH12*'Unit Economics'!$B$20</f>
        <v/>
      </c>
      <c r="AI18" s="15">
        <f>AI12*'Unit Economics'!$B$20</f>
        <v/>
      </c>
      <c r="AJ18" s="15">
        <f>AJ12*'Unit Economics'!$B$20</f>
        <v/>
      </c>
      <c r="AK18" s="15">
        <f>AK12*'Unit Economics'!$B$20</f>
        <v/>
      </c>
      <c r="AL18" s="15">
        <f>AL12*'Unit Economics'!$B$20</f>
        <v/>
      </c>
      <c r="AM18" s="15">
        <f>AM12*'Unit Economics'!$B$20</f>
        <v/>
      </c>
      <c r="AO18" s="15">
        <f>SUM(D18:O18)</f>
        <v/>
      </c>
      <c r="AP18" s="15">
        <f>SUM(P18:AA18)</f>
        <v/>
      </c>
      <c r="AQ18" s="15">
        <f>SUM(AB18:AM18)</f>
        <v/>
      </c>
    </row>
    <row r="19">
      <c r="A19" s="7" t="inlineStr">
        <is>
          <t>TRAFFIC (visits)</t>
        </is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  <c r="AJ19" s="8" t="n"/>
      <c r="AK19" s="8" t="n"/>
      <c r="AL19" s="8" t="n"/>
      <c r="AM19" s="8" t="n"/>
      <c r="AN19" s="8" t="n"/>
      <c r="AO19" s="8" t="n"/>
      <c r="AP19" s="8" t="n"/>
      <c r="AQ19" s="8" t="n"/>
    </row>
    <row r="20">
      <c r="A20" s="5">
        <f>"  Paid visits - "&amp;Inputs!A57</f>
        <v/>
      </c>
      <c r="B20" s="2" t="inlineStr">
        <is>
          <t>visits</t>
        </is>
      </c>
      <c r="D20" s="35">
        <f>IFERROR(D13/'Unit Economics'!$C$15,0)</f>
        <v/>
      </c>
      <c r="E20" s="35">
        <f>IFERROR(E13/'Unit Economics'!$C$15,0)</f>
        <v/>
      </c>
      <c r="F20" s="35">
        <f>IFERROR(F13/'Unit Economics'!$C$15,0)</f>
        <v/>
      </c>
      <c r="G20" s="35">
        <f>IFERROR(G13/'Unit Economics'!$C$15,0)</f>
        <v/>
      </c>
      <c r="H20" s="35">
        <f>IFERROR(H13/'Unit Economics'!$C$15,0)</f>
        <v/>
      </c>
      <c r="I20" s="35">
        <f>IFERROR(I13/'Unit Economics'!$C$15,0)</f>
        <v/>
      </c>
      <c r="J20" s="35">
        <f>IFERROR(J13/'Unit Economics'!$C$15,0)</f>
        <v/>
      </c>
      <c r="K20" s="35">
        <f>IFERROR(K13/'Unit Economics'!$C$15,0)</f>
        <v/>
      </c>
      <c r="L20" s="35">
        <f>IFERROR(L13/'Unit Economics'!$C$15,0)</f>
        <v/>
      </c>
      <c r="M20" s="35">
        <f>IFERROR(M13/'Unit Economics'!$C$15,0)</f>
        <v/>
      </c>
      <c r="N20" s="35">
        <f>IFERROR(N13/'Unit Economics'!$C$15,0)</f>
        <v/>
      </c>
      <c r="O20" s="35">
        <f>IFERROR(O13/'Unit Economics'!$C$15,0)</f>
        <v/>
      </c>
      <c r="P20" s="35">
        <f>IFERROR(P13/'Unit Economics'!$C$15,0)</f>
        <v/>
      </c>
      <c r="Q20" s="35">
        <f>IFERROR(Q13/'Unit Economics'!$C$15,0)</f>
        <v/>
      </c>
      <c r="R20" s="35">
        <f>IFERROR(R13/'Unit Economics'!$C$15,0)</f>
        <v/>
      </c>
      <c r="S20" s="35">
        <f>IFERROR(S13/'Unit Economics'!$C$15,0)</f>
        <v/>
      </c>
      <c r="T20" s="35">
        <f>IFERROR(T13/'Unit Economics'!$C$15,0)</f>
        <v/>
      </c>
      <c r="U20" s="35">
        <f>IFERROR(U13/'Unit Economics'!$C$15,0)</f>
        <v/>
      </c>
      <c r="V20" s="35">
        <f>IFERROR(V13/'Unit Economics'!$C$15,0)</f>
        <v/>
      </c>
      <c r="W20" s="35">
        <f>IFERROR(W13/'Unit Economics'!$C$15,0)</f>
        <v/>
      </c>
      <c r="X20" s="35">
        <f>IFERROR(X13/'Unit Economics'!$C$15,0)</f>
        <v/>
      </c>
      <c r="Y20" s="35">
        <f>IFERROR(Y13/'Unit Economics'!$C$15,0)</f>
        <v/>
      </c>
      <c r="Z20" s="35">
        <f>IFERROR(Z13/'Unit Economics'!$C$15,0)</f>
        <v/>
      </c>
      <c r="AA20" s="35">
        <f>IFERROR(AA13/'Unit Economics'!$C$15,0)</f>
        <v/>
      </c>
      <c r="AB20" s="35">
        <f>IFERROR(AB13/'Unit Economics'!$C$15,0)</f>
        <v/>
      </c>
      <c r="AC20" s="35">
        <f>IFERROR(AC13/'Unit Economics'!$C$15,0)</f>
        <v/>
      </c>
      <c r="AD20" s="35">
        <f>IFERROR(AD13/'Unit Economics'!$C$15,0)</f>
        <v/>
      </c>
      <c r="AE20" s="35">
        <f>IFERROR(AE13/'Unit Economics'!$C$15,0)</f>
        <v/>
      </c>
      <c r="AF20" s="35">
        <f>IFERROR(AF13/'Unit Economics'!$C$15,0)</f>
        <v/>
      </c>
      <c r="AG20" s="35">
        <f>IFERROR(AG13/'Unit Economics'!$C$15,0)</f>
        <v/>
      </c>
      <c r="AH20" s="35">
        <f>IFERROR(AH13/'Unit Economics'!$C$15,0)</f>
        <v/>
      </c>
      <c r="AI20" s="35">
        <f>IFERROR(AI13/'Unit Economics'!$C$15,0)</f>
        <v/>
      </c>
      <c r="AJ20" s="35">
        <f>IFERROR(AJ13/'Unit Economics'!$C$15,0)</f>
        <v/>
      </c>
      <c r="AK20" s="35">
        <f>IFERROR(AK13/'Unit Economics'!$C$15,0)</f>
        <v/>
      </c>
      <c r="AL20" s="35">
        <f>IFERROR(AL13/'Unit Economics'!$C$15,0)</f>
        <v/>
      </c>
      <c r="AM20" s="35">
        <f>IFERROR(AM13/'Unit Economics'!$C$15,0)</f>
        <v/>
      </c>
      <c r="AO20" s="35">
        <f>SUM(D20:O20)</f>
        <v/>
      </c>
      <c r="AP20" s="35">
        <f>SUM(P20:AA20)</f>
        <v/>
      </c>
      <c r="AQ20" s="35">
        <f>SUM(AB20:AM20)</f>
        <v/>
      </c>
    </row>
    <row r="21">
      <c r="A21" s="5">
        <f>"  Paid visits - "&amp;Inputs!A58</f>
        <v/>
      </c>
      <c r="B21" s="2" t="inlineStr">
        <is>
          <t>visits</t>
        </is>
      </c>
      <c r="D21" s="35">
        <f>IFERROR(D14/'Unit Economics'!$C$16,0)</f>
        <v/>
      </c>
      <c r="E21" s="35">
        <f>IFERROR(E14/'Unit Economics'!$C$16,0)</f>
        <v/>
      </c>
      <c r="F21" s="35">
        <f>IFERROR(F14/'Unit Economics'!$C$16,0)</f>
        <v/>
      </c>
      <c r="G21" s="35">
        <f>IFERROR(G14/'Unit Economics'!$C$16,0)</f>
        <v/>
      </c>
      <c r="H21" s="35">
        <f>IFERROR(H14/'Unit Economics'!$C$16,0)</f>
        <v/>
      </c>
      <c r="I21" s="35">
        <f>IFERROR(I14/'Unit Economics'!$C$16,0)</f>
        <v/>
      </c>
      <c r="J21" s="35">
        <f>IFERROR(J14/'Unit Economics'!$C$16,0)</f>
        <v/>
      </c>
      <c r="K21" s="35">
        <f>IFERROR(K14/'Unit Economics'!$C$16,0)</f>
        <v/>
      </c>
      <c r="L21" s="35">
        <f>IFERROR(L14/'Unit Economics'!$C$16,0)</f>
        <v/>
      </c>
      <c r="M21" s="35">
        <f>IFERROR(M14/'Unit Economics'!$C$16,0)</f>
        <v/>
      </c>
      <c r="N21" s="35">
        <f>IFERROR(N14/'Unit Economics'!$C$16,0)</f>
        <v/>
      </c>
      <c r="O21" s="35">
        <f>IFERROR(O14/'Unit Economics'!$C$16,0)</f>
        <v/>
      </c>
      <c r="P21" s="35">
        <f>IFERROR(P14/'Unit Economics'!$C$16,0)</f>
        <v/>
      </c>
      <c r="Q21" s="35">
        <f>IFERROR(Q14/'Unit Economics'!$C$16,0)</f>
        <v/>
      </c>
      <c r="R21" s="35">
        <f>IFERROR(R14/'Unit Economics'!$C$16,0)</f>
        <v/>
      </c>
      <c r="S21" s="35">
        <f>IFERROR(S14/'Unit Economics'!$C$16,0)</f>
        <v/>
      </c>
      <c r="T21" s="35">
        <f>IFERROR(T14/'Unit Economics'!$C$16,0)</f>
        <v/>
      </c>
      <c r="U21" s="35">
        <f>IFERROR(U14/'Unit Economics'!$C$16,0)</f>
        <v/>
      </c>
      <c r="V21" s="35">
        <f>IFERROR(V14/'Unit Economics'!$C$16,0)</f>
        <v/>
      </c>
      <c r="W21" s="35">
        <f>IFERROR(W14/'Unit Economics'!$C$16,0)</f>
        <v/>
      </c>
      <c r="X21" s="35">
        <f>IFERROR(X14/'Unit Economics'!$C$16,0)</f>
        <v/>
      </c>
      <c r="Y21" s="35">
        <f>IFERROR(Y14/'Unit Economics'!$C$16,0)</f>
        <v/>
      </c>
      <c r="Z21" s="35">
        <f>IFERROR(Z14/'Unit Economics'!$C$16,0)</f>
        <v/>
      </c>
      <c r="AA21" s="35">
        <f>IFERROR(AA14/'Unit Economics'!$C$16,0)</f>
        <v/>
      </c>
      <c r="AB21" s="35">
        <f>IFERROR(AB14/'Unit Economics'!$C$16,0)</f>
        <v/>
      </c>
      <c r="AC21" s="35">
        <f>IFERROR(AC14/'Unit Economics'!$C$16,0)</f>
        <v/>
      </c>
      <c r="AD21" s="35">
        <f>IFERROR(AD14/'Unit Economics'!$C$16,0)</f>
        <v/>
      </c>
      <c r="AE21" s="35">
        <f>IFERROR(AE14/'Unit Economics'!$C$16,0)</f>
        <v/>
      </c>
      <c r="AF21" s="35">
        <f>IFERROR(AF14/'Unit Economics'!$C$16,0)</f>
        <v/>
      </c>
      <c r="AG21" s="35">
        <f>IFERROR(AG14/'Unit Economics'!$C$16,0)</f>
        <v/>
      </c>
      <c r="AH21" s="35">
        <f>IFERROR(AH14/'Unit Economics'!$C$16,0)</f>
        <v/>
      </c>
      <c r="AI21" s="35">
        <f>IFERROR(AI14/'Unit Economics'!$C$16,0)</f>
        <v/>
      </c>
      <c r="AJ21" s="35">
        <f>IFERROR(AJ14/'Unit Economics'!$C$16,0)</f>
        <v/>
      </c>
      <c r="AK21" s="35">
        <f>IFERROR(AK14/'Unit Economics'!$C$16,0)</f>
        <v/>
      </c>
      <c r="AL21" s="35">
        <f>IFERROR(AL14/'Unit Economics'!$C$16,0)</f>
        <v/>
      </c>
      <c r="AM21" s="35">
        <f>IFERROR(AM14/'Unit Economics'!$C$16,0)</f>
        <v/>
      </c>
      <c r="AO21" s="35">
        <f>SUM(D21:O21)</f>
        <v/>
      </c>
      <c r="AP21" s="35">
        <f>SUM(P21:AA21)</f>
        <v/>
      </c>
      <c r="AQ21" s="35">
        <f>SUM(AB21:AM21)</f>
        <v/>
      </c>
    </row>
    <row r="22">
      <c r="A22" s="5">
        <f>"  Paid visits - "&amp;Inputs!A59</f>
        <v/>
      </c>
      <c r="B22" s="2" t="inlineStr">
        <is>
          <t>visits</t>
        </is>
      </c>
      <c r="D22" s="35">
        <f>IFERROR(D15/'Unit Economics'!$C$17,0)</f>
        <v/>
      </c>
      <c r="E22" s="35">
        <f>IFERROR(E15/'Unit Economics'!$C$17,0)</f>
        <v/>
      </c>
      <c r="F22" s="35">
        <f>IFERROR(F15/'Unit Economics'!$C$17,0)</f>
        <v/>
      </c>
      <c r="G22" s="35">
        <f>IFERROR(G15/'Unit Economics'!$C$17,0)</f>
        <v/>
      </c>
      <c r="H22" s="35">
        <f>IFERROR(H15/'Unit Economics'!$C$17,0)</f>
        <v/>
      </c>
      <c r="I22" s="35">
        <f>IFERROR(I15/'Unit Economics'!$C$17,0)</f>
        <v/>
      </c>
      <c r="J22" s="35">
        <f>IFERROR(J15/'Unit Economics'!$C$17,0)</f>
        <v/>
      </c>
      <c r="K22" s="35">
        <f>IFERROR(K15/'Unit Economics'!$C$17,0)</f>
        <v/>
      </c>
      <c r="L22" s="35">
        <f>IFERROR(L15/'Unit Economics'!$C$17,0)</f>
        <v/>
      </c>
      <c r="M22" s="35">
        <f>IFERROR(M15/'Unit Economics'!$C$17,0)</f>
        <v/>
      </c>
      <c r="N22" s="35">
        <f>IFERROR(N15/'Unit Economics'!$C$17,0)</f>
        <v/>
      </c>
      <c r="O22" s="35">
        <f>IFERROR(O15/'Unit Economics'!$C$17,0)</f>
        <v/>
      </c>
      <c r="P22" s="35">
        <f>IFERROR(P15/'Unit Economics'!$C$17,0)</f>
        <v/>
      </c>
      <c r="Q22" s="35">
        <f>IFERROR(Q15/'Unit Economics'!$C$17,0)</f>
        <v/>
      </c>
      <c r="R22" s="35">
        <f>IFERROR(R15/'Unit Economics'!$C$17,0)</f>
        <v/>
      </c>
      <c r="S22" s="35">
        <f>IFERROR(S15/'Unit Economics'!$C$17,0)</f>
        <v/>
      </c>
      <c r="T22" s="35">
        <f>IFERROR(T15/'Unit Economics'!$C$17,0)</f>
        <v/>
      </c>
      <c r="U22" s="35">
        <f>IFERROR(U15/'Unit Economics'!$C$17,0)</f>
        <v/>
      </c>
      <c r="V22" s="35">
        <f>IFERROR(V15/'Unit Economics'!$C$17,0)</f>
        <v/>
      </c>
      <c r="W22" s="35">
        <f>IFERROR(W15/'Unit Economics'!$C$17,0)</f>
        <v/>
      </c>
      <c r="X22" s="35">
        <f>IFERROR(X15/'Unit Economics'!$C$17,0)</f>
        <v/>
      </c>
      <c r="Y22" s="35">
        <f>IFERROR(Y15/'Unit Economics'!$C$17,0)</f>
        <v/>
      </c>
      <c r="Z22" s="35">
        <f>IFERROR(Z15/'Unit Economics'!$C$17,0)</f>
        <v/>
      </c>
      <c r="AA22" s="35">
        <f>IFERROR(AA15/'Unit Economics'!$C$17,0)</f>
        <v/>
      </c>
      <c r="AB22" s="35">
        <f>IFERROR(AB15/'Unit Economics'!$C$17,0)</f>
        <v/>
      </c>
      <c r="AC22" s="35">
        <f>IFERROR(AC15/'Unit Economics'!$C$17,0)</f>
        <v/>
      </c>
      <c r="AD22" s="35">
        <f>IFERROR(AD15/'Unit Economics'!$C$17,0)</f>
        <v/>
      </c>
      <c r="AE22" s="35">
        <f>IFERROR(AE15/'Unit Economics'!$C$17,0)</f>
        <v/>
      </c>
      <c r="AF22" s="35">
        <f>IFERROR(AF15/'Unit Economics'!$C$17,0)</f>
        <v/>
      </c>
      <c r="AG22" s="35">
        <f>IFERROR(AG15/'Unit Economics'!$C$17,0)</f>
        <v/>
      </c>
      <c r="AH22" s="35">
        <f>IFERROR(AH15/'Unit Economics'!$C$17,0)</f>
        <v/>
      </c>
      <c r="AI22" s="35">
        <f>IFERROR(AI15/'Unit Economics'!$C$17,0)</f>
        <v/>
      </c>
      <c r="AJ22" s="35">
        <f>IFERROR(AJ15/'Unit Economics'!$C$17,0)</f>
        <v/>
      </c>
      <c r="AK22" s="35">
        <f>IFERROR(AK15/'Unit Economics'!$C$17,0)</f>
        <v/>
      </c>
      <c r="AL22" s="35">
        <f>IFERROR(AL15/'Unit Economics'!$C$17,0)</f>
        <v/>
      </c>
      <c r="AM22" s="35">
        <f>IFERROR(AM15/'Unit Economics'!$C$17,0)</f>
        <v/>
      </c>
      <c r="AO22" s="35">
        <f>SUM(D22:O22)</f>
        <v/>
      </c>
      <c r="AP22" s="35">
        <f>SUM(P22:AA22)</f>
        <v/>
      </c>
      <c r="AQ22" s="35">
        <f>SUM(AB22:AM22)</f>
        <v/>
      </c>
    </row>
    <row r="23">
      <c r="A23" s="5">
        <f>"  Paid visits - "&amp;Inputs!A60</f>
        <v/>
      </c>
      <c r="B23" s="2" t="inlineStr">
        <is>
          <t>visits</t>
        </is>
      </c>
      <c r="D23" s="35">
        <f>IFERROR(D16/'Unit Economics'!$C$18,0)</f>
        <v/>
      </c>
      <c r="E23" s="35">
        <f>IFERROR(E16/'Unit Economics'!$C$18,0)</f>
        <v/>
      </c>
      <c r="F23" s="35">
        <f>IFERROR(F16/'Unit Economics'!$C$18,0)</f>
        <v/>
      </c>
      <c r="G23" s="35">
        <f>IFERROR(G16/'Unit Economics'!$C$18,0)</f>
        <v/>
      </c>
      <c r="H23" s="35">
        <f>IFERROR(H16/'Unit Economics'!$C$18,0)</f>
        <v/>
      </c>
      <c r="I23" s="35">
        <f>IFERROR(I16/'Unit Economics'!$C$18,0)</f>
        <v/>
      </c>
      <c r="J23" s="35">
        <f>IFERROR(J16/'Unit Economics'!$C$18,0)</f>
        <v/>
      </c>
      <c r="K23" s="35">
        <f>IFERROR(K16/'Unit Economics'!$C$18,0)</f>
        <v/>
      </c>
      <c r="L23" s="35">
        <f>IFERROR(L16/'Unit Economics'!$C$18,0)</f>
        <v/>
      </c>
      <c r="M23" s="35">
        <f>IFERROR(M16/'Unit Economics'!$C$18,0)</f>
        <v/>
      </c>
      <c r="N23" s="35">
        <f>IFERROR(N16/'Unit Economics'!$C$18,0)</f>
        <v/>
      </c>
      <c r="O23" s="35">
        <f>IFERROR(O16/'Unit Economics'!$C$18,0)</f>
        <v/>
      </c>
      <c r="P23" s="35">
        <f>IFERROR(P16/'Unit Economics'!$C$18,0)</f>
        <v/>
      </c>
      <c r="Q23" s="35">
        <f>IFERROR(Q16/'Unit Economics'!$C$18,0)</f>
        <v/>
      </c>
      <c r="R23" s="35">
        <f>IFERROR(R16/'Unit Economics'!$C$18,0)</f>
        <v/>
      </c>
      <c r="S23" s="35">
        <f>IFERROR(S16/'Unit Economics'!$C$18,0)</f>
        <v/>
      </c>
      <c r="T23" s="35">
        <f>IFERROR(T16/'Unit Economics'!$C$18,0)</f>
        <v/>
      </c>
      <c r="U23" s="35">
        <f>IFERROR(U16/'Unit Economics'!$C$18,0)</f>
        <v/>
      </c>
      <c r="V23" s="35">
        <f>IFERROR(V16/'Unit Economics'!$C$18,0)</f>
        <v/>
      </c>
      <c r="W23" s="35">
        <f>IFERROR(W16/'Unit Economics'!$C$18,0)</f>
        <v/>
      </c>
      <c r="X23" s="35">
        <f>IFERROR(X16/'Unit Economics'!$C$18,0)</f>
        <v/>
      </c>
      <c r="Y23" s="35">
        <f>IFERROR(Y16/'Unit Economics'!$C$18,0)</f>
        <v/>
      </c>
      <c r="Z23" s="35">
        <f>IFERROR(Z16/'Unit Economics'!$C$18,0)</f>
        <v/>
      </c>
      <c r="AA23" s="35">
        <f>IFERROR(AA16/'Unit Economics'!$C$18,0)</f>
        <v/>
      </c>
      <c r="AB23" s="35">
        <f>IFERROR(AB16/'Unit Economics'!$C$18,0)</f>
        <v/>
      </c>
      <c r="AC23" s="35">
        <f>IFERROR(AC16/'Unit Economics'!$C$18,0)</f>
        <v/>
      </c>
      <c r="AD23" s="35">
        <f>IFERROR(AD16/'Unit Economics'!$C$18,0)</f>
        <v/>
      </c>
      <c r="AE23" s="35">
        <f>IFERROR(AE16/'Unit Economics'!$C$18,0)</f>
        <v/>
      </c>
      <c r="AF23" s="35">
        <f>IFERROR(AF16/'Unit Economics'!$C$18,0)</f>
        <v/>
      </c>
      <c r="AG23" s="35">
        <f>IFERROR(AG16/'Unit Economics'!$C$18,0)</f>
        <v/>
      </c>
      <c r="AH23" s="35">
        <f>IFERROR(AH16/'Unit Economics'!$C$18,0)</f>
        <v/>
      </c>
      <c r="AI23" s="35">
        <f>IFERROR(AI16/'Unit Economics'!$C$18,0)</f>
        <v/>
      </c>
      <c r="AJ23" s="35">
        <f>IFERROR(AJ16/'Unit Economics'!$C$18,0)</f>
        <v/>
      </c>
      <c r="AK23" s="35">
        <f>IFERROR(AK16/'Unit Economics'!$C$18,0)</f>
        <v/>
      </c>
      <c r="AL23" s="35">
        <f>IFERROR(AL16/'Unit Economics'!$C$18,0)</f>
        <v/>
      </c>
      <c r="AM23" s="35">
        <f>IFERROR(AM16/'Unit Economics'!$C$18,0)</f>
        <v/>
      </c>
      <c r="AO23" s="35">
        <f>SUM(D23:O23)</f>
        <v/>
      </c>
      <c r="AP23" s="35">
        <f>SUM(P23:AA23)</f>
        <v/>
      </c>
      <c r="AQ23" s="35">
        <f>SUM(AB23:AM23)</f>
        <v/>
      </c>
    </row>
    <row r="24">
      <c r="A24" s="5">
        <f>"  Paid visits - "&amp;Inputs!A61</f>
        <v/>
      </c>
      <c r="B24" s="2" t="inlineStr">
        <is>
          <t>visits</t>
        </is>
      </c>
      <c r="D24" s="35">
        <f>IFERROR(D17/'Unit Economics'!$C$19,0)</f>
        <v/>
      </c>
      <c r="E24" s="35">
        <f>IFERROR(E17/'Unit Economics'!$C$19,0)</f>
        <v/>
      </c>
      <c r="F24" s="35">
        <f>IFERROR(F17/'Unit Economics'!$C$19,0)</f>
        <v/>
      </c>
      <c r="G24" s="35">
        <f>IFERROR(G17/'Unit Economics'!$C$19,0)</f>
        <v/>
      </c>
      <c r="H24" s="35">
        <f>IFERROR(H17/'Unit Economics'!$C$19,0)</f>
        <v/>
      </c>
      <c r="I24" s="35">
        <f>IFERROR(I17/'Unit Economics'!$C$19,0)</f>
        <v/>
      </c>
      <c r="J24" s="35">
        <f>IFERROR(J17/'Unit Economics'!$C$19,0)</f>
        <v/>
      </c>
      <c r="K24" s="35">
        <f>IFERROR(K17/'Unit Economics'!$C$19,0)</f>
        <v/>
      </c>
      <c r="L24" s="35">
        <f>IFERROR(L17/'Unit Economics'!$C$19,0)</f>
        <v/>
      </c>
      <c r="M24" s="35">
        <f>IFERROR(M17/'Unit Economics'!$C$19,0)</f>
        <v/>
      </c>
      <c r="N24" s="35">
        <f>IFERROR(N17/'Unit Economics'!$C$19,0)</f>
        <v/>
      </c>
      <c r="O24" s="35">
        <f>IFERROR(O17/'Unit Economics'!$C$19,0)</f>
        <v/>
      </c>
      <c r="P24" s="35">
        <f>IFERROR(P17/'Unit Economics'!$C$19,0)</f>
        <v/>
      </c>
      <c r="Q24" s="35">
        <f>IFERROR(Q17/'Unit Economics'!$C$19,0)</f>
        <v/>
      </c>
      <c r="R24" s="35">
        <f>IFERROR(R17/'Unit Economics'!$C$19,0)</f>
        <v/>
      </c>
      <c r="S24" s="35">
        <f>IFERROR(S17/'Unit Economics'!$C$19,0)</f>
        <v/>
      </c>
      <c r="T24" s="35">
        <f>IFERROR(T17/'Unit Economics'!$C$19,0)</f>
        <v/>
      </c>
      <c r="U24" s="35">
        <f>IFERROR(U17/'Unit Economics'!$C$19,0)</f>
        <v/>
      </c>
      <c r="V24" s="35">
        <f>IFERROR(V17/'Unit Economics'!$C$19,0)</f>
        <v/>
      </c>
      <c r="W24" s="35">
        <f>IFERROR(W17/'Unit Economics'!$C$19,0)</f>
        <v/>
      </c>
      <c r="X24" s="35">
        <f>IFERROR(X17/'Unit Economics'!$C$19,0)</f>
        <v/>
      </c>
      <c r="Y24" s="35">
        <f>IFERROR(Y17/'Unit Economics'!$C$19,0)</f>
        <v/>
      </c>
      <c r="Z24" s="35">
        <f>IFERROR(Z17/'Unit Economics'!$C$19,0)</f>
        <v/>
      </c>
      <c r="AA24" s="35">
        <f>IFERROR(AA17/'Unit Economics'!$C$19,0)</f>
        <v/>
      </c>
      <c r="AB24" s="35">
        <f>IFERROR(AB17/'Unit Economics'!$C$19,0)</f>
        <v/>
      </c>
      <c r="AC24" s="35">
        <f>IFERROR(AC17/'Unit Economics'!$C$19,0)</f>
        <v/>
      </c>
      <c r="AD24" s="35">
        <f>IFERROR(AD17/'Unit Economics'!$C$19,0)</f>
        <v/>
      </c>
      <c r="AE24" s="35">
        <f>IFERROR(AE17/'Unit Economics'!$C$19,0)</f>
        <v/>
      </c>
      <c r="AF24" s="35">
        <f>IFERROR(AF17/'Unit Economics'!$C$19,0)</f>
        <v/>
      </c>
      <c r="AG24" s="35">
        <f>IFERROR(AG17/'Unit Economics'!$C$19,0)</f>
        <v/>
      </c>
      <c r="AH24" s="35">
        <f>IFERROR(AH17/'Unit Economics'!$C$19,0)</f>
        <v/>
      </c>
      <c r="AI24" s="35">
        <f>IFERROR(AI17/'Unit Economics'!$C$19,0)</f>
        <v/>
      </c>
      <c r="AJ24" s="35">
        <f>IFERROR(AJ17/'Unit Economics'!$C$19,0)</f>
        <v/>
      </c>
      <c r="AK24" s="35">
        <f>IFERROR(AK17/'Unit Economics'!$C$19,0)</f>
        <v/>
      </c>
      <c r="AL24" s="35">
        <f>IFERROR(AL17/'Unit Economics'!$C$19,0)</f>
        <v/>
      </c>
      <c r="AM24" s="35">
        <f>IFERROR(AM17/'Unit Economics'!$C$19,0)</f>
        <v/>
      </c>
      <c r="AO24" s="35">
        <f>SUM(D24:O24)</f>
        <v/>
      </c>
      <c r="AP24" s="35">
        <f>SUM(P24:AA24)</f>
        <v/>
      </c>
      <c r="AQ24" s="35">
        <f>SUM(AB24:AM24)</f>
        <v/>
      </c>
    </row>
    <row r="25">
      <c r="A25" s="5">
        <f>"  Paid visits - "&amp;Inputs!A62</f>
        <v/>
      </c>
      <c r="B25" s="2" t="inlineStr">
        <is>
          <t>visits</t>
        </is>
      </c>
      <c r="D25" s="35">
        <f>IFERROR(D18/'Unit Economics'!$C$20,0)</f>
        <v/>
      </c>
      <c r="E25" s="35">
        <f>IFERROR(E18/'Unit Economics'!$C$20,0)</f>
        <v/>
      </c>
      <c r="F25" s="35">
        <f>IFERROR(F18/'Unit Economics'!$C$20,0)</f>
        <v/>
      </c>
      <c r="G25" s="35">
        <f>IFERROR(G18/'Unit Economics'!$C$20,0)</f>
        <v/>
      </c>
      <c r="H25" s="35">
        <f>IFERROR(H18/'Unit Economics'!$C$20,0)</f>
        <v/>
      </c>
      <c r="I25" s="35">
        <f>IFERROR(I18/'Unit Economics'!$C$20,0)</f>
        <v/>
      </c>
      <c r="J25" s="35">
        <f>IFERROR(J18/'Unit Economics'!$C$20,0)</f>
        <v/>
      </c>
      <c r="K25" s="35">
        <f>IFERROR(K18/'Unit Economics'!$C$20,0)</f>
        <v/>
      </c>
      <c r="L25" s="35">
        <f>IFERROR(L18/'Unit Economics'!$C$20,0)</f>
        <v/>
      </c>
      <c r="M25" s="35">
        <f>IFERROR(M18/'Unit Economics'!$C$20,0)</f>
        <v/>
      </c>
      <c r="N25" s="35">
        <f>IFERROR(N18/'Unit Economics'!$C$20,0)</f>
        <v/>
      </c>
      <c r="O25" s="35">
        <f>IFERROR(O18/'Unit Economics'!$C$20,0)</f>
        <v/>
      </c>
      <c r="P25" s="35">
        <f>IFERROR(P18/'Unit Economics'!$C$20,0)</f>
        <v/>
      </c>
      <c r="Q25" s="35">
        <f>IFERROR(Q18/'Unit Economics'!$C$20,0)</f>
        <v/>
      </c>
      <c r="R25" s="35">
        <f>IFERROR(R18/'Unit Economics'!$C$20,0)</f>
        <v/>
      </c>
      <c r="S25" s="35">
        <f>IFERROR(S18/'Unit Economics'!$C$20,0)</f>
        <v/>
      </c>
      <c r="T25" s="35">
        <f>IFERROR(T18/'Unit Economics'!$C$20,0)</f>
        <v/>
      </c>
      <c r="U25" s="35">
        <f>IFERROR(U18/'Unit Economics'!$C$20,0)</f>
        <v/>
      </c>
      <c r="V25" s="35">
        <f>IFERROR(V18/'Unit Economics'!$C$20,0)</f>
        <v/>
      </c>
      <c r="W25" s="35">
        <f>IFERROR(W18/'Unit Economics'!$C$20,0)</f>
        <v/>
      </c>
      <c r="X25" s="35">
        <f>IFERROR(X18/'Unit Economics'!$C$20,0)</f>
        <v/>
      </c>
      <c r="Y25" s="35">
        <f>IFERROR(Y18/'Unit Economics'!$C$20,0)</f>
        <v/>
      </c>
      <c r="Z25" s="35">
        <f>IFERROR(Z18/'Unit Economics'!$C$20,0)</f>
        <v/>
      </c>
      <c r="AA25" s="35">
        <f>IFERROR(AA18/'Unit Economics'!$C$20,0)</f>
        <v/>
      </c>
      <c r="AB25" s="35">
        <f>IFERROR(AB18/'Unit Economics'!$C$20,0)</f>
        <v/>
      </c>
      <c r="AC25" s="35">
        <f>IFERROR(AC18/'Unit Economics'!$C$20,0)</f>
        <v/>
      </c>
      <c r="AD25" s="35">
        <f>IFERROR(AD18/'Unit Economics'!$C$20,0)</f>
        <v/>
      </c>
      <c r="AE25" s="35">
        <f>IFERROR(AE18/'Unit Economics'!$C$20,0)</f>
        <v/>
      </c>
      <c r="AF25" s="35">
        <f>IFERROR(AF18/'Unit Economics'!$C$20,0)</f>
        <v/>
      </c>
      <c r="AG25" s="35">
        <f>IFERROR(AG18/'Unit Economics'!$C$20,0)</f>
        <v/>
      </c>
      <c r="AH25" s="35">
        <f>IFERROR(AH18/'Unit Economics'!$C$20,0)</f>
        <v/>
      </c>
      <c r="AI25" s="35">
        <f>IFERROR(AI18/'Unit Economics'!$C$20,0)</f>
        <v/>
      </c>
      <c r="AJ25" s="35">
        <f>IFERROR(AJ18/'Unit Economics'!$C$20,0)</f>
        <v/>
      </c>
      <c r="AK25" s="35">
        <f>IFERROR(AK18/'Unit Economics'!$C$20,0)</f>
        <v/>
      </c>
      <c r="AL25" s="35">
        <f>IFERROR(AL18/'Unit Economics'!$C$20,0)</f>
        <v/>
      </c>
      <c r="AM25" s="35">
        <f>IFERROR(AM18/'Unit Economics'!$C$20,0)</f>
        <v/>
      </c>
      <c r="AO25" s="35">
        <f>SUM(D25:O25)</f>
        <v/>
      </c>
      <c r="AP25" s="35">
        <f>SUM(P25:AA25)</f>
        <v/>
      </c>
      <c r="AQ25" s="35">
        <f>SUM(AB25:AM25)</f>
        <v/>
      </c>
    </row>
    <row r="26">
      <c r="A26" s="3" t="inlineStr">
        <is>
          <t>Paid visits (budget / CPC)</t>
        </is>
      </c>
      <c r="B26" s="2" t="inlineStr">
        <is>
          <t>visits</t>
        </is>
      </c>
      <c r="D26" s="38">
        <f>SUM(D20:D25)</f>
        <v/>
      </c>
      <c r="E26" s="38">
        <f>SUM(E20:E25)</f>
        <v/>
      </c>
      <c r="F26" s="38">
        <f>SUM(F20:F25)</f>
        <v/>
      </c>
      <c r="G26" s="38">
        <f>SUM(G20:G25)</f>
        <v/>
      </c>
      <c r="H26" s="38">
        <f>SUM(H20:H25)</f>
        <v/>
      </c>
      <c r="I26" s="38">
        <f>SUM(I20:I25)</f>
        <v/>
      </c>
      <c r="J26" s="38">
        <f>SUM(J20:J25)</f>
        <v/>
      </c>
      <c r="K26" s="38">
        <f>SUM(K20:K25)</f>
        <v/>
      </c>
      <c r="L26" s="38">
        <f>SUM(L20:L25)</f>
        <v/>
      </c>
      <c r="M26" s="38">
        <f>SUM(M20:M25)</f>
        <v/>
      </c>
      <c r="N26" s="38">
        <f>SUM(N20:N25)</f>
        <v/>
      </c>
      <c r="O26" s="38">
        <f>SUM(O20:O25)</f>
        <v/>
      </c>
      <c r="P26" s="38">
        <f>SUM(P20:P25)</f>
        <v/>
      </c>
      <c r="Q26" s="38">
        <f>SUM(Q20:Q25)</f>
        <v/>
      </c>
      <c r="R26" s="38">
        <f>SUM(R20:R25)</f>
        <v/>
      </c>
      <c r="S26" s="38">
        <f>SUM(S20:S25)</f>
        <v/>
      </c>
      <c r="T26" s="38">
        <f>SUM(T20:T25)</f>
        <v/>
      </c>
      <c r="U26" s="38">
        <f>SUM(U20:U25)</f>
        <v/>
      </c>
      <c r="V26" s="38">
        <f>SUM(V20:V25)</f>
        <v/>
      </c>
      <c r="W26" s="38">
        <f>SUM(W20:W25)</f>
        <v/>
      </c>
      <c r="X26" s="38">
        <f>SUM(X20:X25)</f>
        <v/>
      </c>
      <c r="Y26" s="38">
        <f>SUM(Y20:Y25)</f>
        <v/>
      </c>
      <c r="Z26" s="38">
        <f>SUM(Z20:Z25)</f>
        <v/>
      </c>
      <c r="AA26" s="38">
        <f>SUM(AA20:AA25)</f>
        <v/>
      </c>
      <c r="AB26" s="38">
        <f>SUM(AB20:AB25)</f>
        <v/>
      </c>
      <c r="AC26" s="38">
        <f>SUM(AC20:AC25)</f>
        <v/>
      </c>
      <c r="AD26" s="38">
        <f>SUM(AD20:AD25)</f>
        <v/>
      </c>
      <c r="AE26" s="38">
        <f>SUM(AE20:AE25)</f>
        <v/>
      </c>
      <c r="AF26" s="38">
        <f>SUM(AF20:AF25)</f>
        <v/>
      </c>
      <c r="AG26" s="38">
        <f>SUM(AG20:AG25)</f>
        <v/>
      </c>
      <c r="AH26" s="38">
        <f>SUM(AH20:AH25)</f>
        <v/>
      </c>
      <c r="AI26" s="38">
        <f>SUM(AI20:AI25)</f>
        <v/>
      </c>
      <c r="AJ26" s="38">
        <f>SUM(AJ20:AJ25)</f>
        <v/>
      </c>
      <c r="AK26" s="38">
        <f>SUM(AK20:AK25)</f>
        <v/>
      </c>
      <c r="AL26" s="38">
        <f>SUM(AL20:AL25)</f>
        <v/>
      </c>
      <c r="AM26" s="38">
        <f>SUM(AM20:AM25)</f>
        <v/>
      </c>
      <c r="AO26" s="38">
        <f>SUM(D26:O26)</f>
        <v/>
      </c>
      <c r="AP26" s="38">
        <f>SUM(P26:AA26)</f>
        <v/>
      </c>
      <c r="AQ26" s="38">
        <f>SUM(AB26:AM26)</f>
        <v/>
      </c>
    </row>
    <row r="27">
      <c r="A27" s="5" t="inlineStr">
        <is>
          <t xml:space="preserve">  Organic trend (pre-season)</t>
        </is>
      </c>
      <c r="B27" s="2" t="inlineStr">
        <is>
          <t>visits</t>
        </is>
      </c>
      <c r="D27" s="35">
        <f>IF(D6=1,Inputs!$B$20,C27*(1+Inputs!$B$21*Inputs!$B$22^(D6-1)))</f>
        <v/>
      </c>
      <c r="E27" s="35">
        <f>IF(E6=1,Inputs!$B$20,D27*(1+Inputs!$B$21*Inputs!$B$22^(E6-1)))</f>
        <v/>
      </c>
      <c r="F27" s="35">
        <f>IF(F6=1,Inputs!$B$20,E27*(1+Inputs!$B$21*Inputs!$B$22^(F6-1)))</f>
        <v/>
      </c>
      <c r="G27" s="35">
        <f>IF(G6=1,Inputs!$B$20,F27*(1+Inputs!$B$21*Inputs!$B$22^(G6-1)))</f>
        <v/>
      </c>
      <c r="H27" s="35">
        <f>IF(H6=1,Inputs!$B$20,G27*(1+Inputs!$B$21*Inputs!$B$22^(H6-1)))</f>
        <v/>
      </c>
      <c r="I27" s="35">
        <f>IF(I6=1,Inputs!$B$20,H27*(1+Inputs!$B$21*Inputs!$B$22^(I6-1)))</f>
        <v/>
      </c>
      <c r="J27" s="35">
        <f>IF(J6=1,Inputs!$B$20,I27*(1+Inputs!$B$21*Inputs!$B$22^(J6-1)))</f>
        <v/>
      </c>
      <c r="K27" s="35">
        <f>IF(K6=1,Inputs!$B$20,J27*(1+Inputs!$B$21*Inputs!$B$22^(K6-1)))</f>
        <v/>
      </c>
      <c r="L27" s="35">
        <f>IF(L6=1,Inputs!$B$20,K27*(1+Inputs!$B$21*Inputs!$B$22^(L6-1)))</f>
        <v/>
      </c>
      <c r="M27" s="35">
        <f>IF(M6=1,Inputs!$B$20,L27*(1+Inputs!$B$21*Inputs!$B$22^(M6-1)))</f>
        <v/>
      </c>
      <c r="N27" s="35">
        <f>IF(N6=1,Inputs!$B$20,M27*(1+Inputs!$B$21*Inputs!$B$22^(N6-1)))</f>
        <v/>
      </c>
      <c r="O27" s="35">
        <f>IF(O6=1,Inputs!$B$20,N27*(1+Inputs!$B$21*Inputs!$B$22^(O6-1)))</f>
        <v/>
      </c>
      <c r="P27" s="35">
        <f>IF(P6=1,Inputs!$B$20,O27*(1+Inputs!$B$21*Inputs!$B$22^(P6-1)))</f>
        <v/>
      </c>
      <c r="Q27" s="35">
        <f>IF(Q6=1,Inputs!$B$20,P27*(1+Inputs!$B$21*Inputs!$B$22^(Q6-1)))</f>
        <v/>
      </c>
      <c r="R27" s="35">
        <f>IF(R6=1,Inputs!$B$20,Q27*(1+Inputs!$B$21*Inputs!$B$22^(R6-1)))</f>
        <v/>
      </c>
      <c r="S27" s="35">
        <f>IF(S6=1,Inputs!$B$20,R27*(1+Inputs!$B$21*Inputs!$B$22^(S6-1)))</f>
        <v/>
      </c>
      <c r="T27" s="35">
        <f>IF(T6=1,Inputs!$B$20,S27*(1+Inputs!$B$21*Inputs!$B$22^(T6-1)))</f>
        <v/>
      </c>
      <c r="U27" s="35">
        <f>IF(U6=1,Inputs!$B$20,T27*(1+Inputs!$B$21*Inputs!$B$22^(U6-1)))</f>
        <v/>
      </c>
      <c r="V27" s="35">
        <f>IF(V6=1,Inputs!$B$20,U27*(1+Inputs!$B$21*Inputs!$B$22^(V6-1)))</f>
        <v/>
      </c>
      <c r="W27" s="35">
        <f>IF(W6=1,Inputs!$B$20,V27*(1+Inputs!$B$21*Inputs!$B$22^(W6-1)))</f>
        <v/>
      </c>
      <c r="X27" s="35">
        <f>IF(X6=1,Inputs!$B$20,W27*(1+Inputs!$B$21*Inputs!$B$22^(X6-1)))</f>
        <v/>
      </c>
      <c r="Y27" s="35">
        <f>IF(Y6=1,Inputs!$B$20,X27*(1+Inputs!$B$21*Inputs!$B$22^(Y6-1)))</f>
        <v/>
      </c>
      <c r="Z27" s="35">
        <f>IF(Z6=1,Inputs!$B$20,Y27*(1+Inputs!$B$21*Inputs!$B$22^(Z6-1)))</f>
        <v/>
      </c>
      <c r="AA27" s="35">
        <f>IF(AA6=1,Inputs!$B$20,Z27*(1+Inputs!$B$21*Inputs!$B$22^(AA6-1)))</f>
        <v/>
      </c>
      <c r="AB27" s="35">
        <f>IF(AB6=1,Inputs!$B$20,AA27*(1+Inputs!$B$21*Inputs!$B$22^(AB6-1)))</f>
        <v/>
      </c>
      <c r="AC27" s="35">
        <f>IF(AC6=1,Inputs!$B$20,AB27*(1+Inputs!$B$21*Inputs!$B$22^(AC6-1)))</f>
        <v/>
      </c>
      <c r="AD27" s="35">
        <f>IF(AD6=1,Inputs!$B$20,AC27*(1+Inputs!$B$21*Inputs!$B$22^(AD6-1)))</f>
        <v/>
      </c>
      <c r="AE27" s="35">
        <f>IF(AE6=1,Inputs!$B$20,AD27*(1+Inputs!$B$21*Inputs!$B$22^(AE6-1)))</f>
        <v/>
      </c>
      <c r="AF27" s="35">
        <f>IF(AF6=1,Inputs!$B$20,AE27*(1+Inputs!$B$21*Inputs!$B$22^(AF6-1)))</f>
        <v/>
      </c>
      <c r="AG27" s="35">
        <f>IF(AG6=1,Inputs!$B$20,AF27*(1+Inputs!$B$21*Inputs!$B$22^(AG6-1)))</f>
        <v/>
      </c>
      <c r="AH27" s="35">
        <f>IF(AH6=1,Inputs!$B$20,AG27*(1+Inputs!$B$21*Inputs!$B$22^(AH6-1)))</f>
        <v/>
      </c>
      <c r="AI27" s="35">
        <f>IF(AI6=1,Inputs!$B$20,AH27*(1+Inputs!$B$21*Inputs!$B$22^(AI6-1)))</f>
        <v/>
      </c>
      <c r="AJ27" s="35">
        <f>IF(AJ6=1,Inputs!$B$20,AI27*(1+Inputs!$B$21*Inputs!$B$22^(AJ6-1)))</f>
        <v/>
      </c>
      <c r="AK27" s="35">
        <f>IF(AK6=1,Inputs!$B$20,AJ27*(1+Inputs!$B$21*Inputs!$B$22^(AK6-1)))</f>
        <v/>
      </c>
      <c r="AL27" s="35">
        <f>IF(AL6=1,Inputs!$B$20,AK27*(1+Inputs!$B$21*Inputs!$B$22^(AL6-1)))</f>
        <v/>
      </c>
      <c r="AM27" s="35">
        <f>IF(AM6=1,Inputs!$B$20,AL27*(1+Inputs!$B$21*Inputs!$B$22^(AM6-1)))</f>
        <v/>
      </c>
    </row>
    <row r="28">
      <c r="A28" s="3" t="inlineStr">
        <is>
          <t>Organic visits</t>
        </is>
      </c>
      <c r="B28" s="2" t="inlineStr">
        <is>
          <t>visits</t>
        </is>
      </c>
      <c r="D28" s="38">
        <f>D27*D9*Scenarios!$B$7</f>
        <v/>
      </c>
      <c r="E28" s="38">
        <f>E27*E9*Scenarios!$B$7</f>
        <v/>
      </c>
      <c r="F28" s="38">
        <f>F27*F9*Scenarios!$B$7</f>
        <v/>
      </c>
      <c r="G28" s="38">
        <f>G27*G9*Scenarios!$B$7</f>
        <v/>
      </c>
      <c r="H28" s="38">
        <f>H27*H9*Scenarios!$B$7</f>
        <v/>
      </c>
      <c r="I28" s="38">
        <f>I27*I9*Scenarios!$B$7</f>
        <v/>
      </c>
      <c r="J28" s="38">
        <f>J27*J9*Scenarios!$B$7</f>
        <v/>
      </c>
      <c r="K28" s="38">
        <f>K27*K9*Scenarios!$B$7</f>
        <v/>
      </c>
      <c r="L28" s="38">
        <f>L27*L9*Scenarios!$B$7</f>
        <v/>
      </c>
      <c r="M28" s="38">
        <f>M27*M9*Scenarios!$B$7</f>
        <v/>
      </c>
      <c r="N28" s="38">
        <f>N27*N9*Scenarios!$B$7</f>
        <v/>
      </c>
      <c r="O28" s="38">
        <f>O27*O9*Scenarios!$B$7</f>
        <v/>
      </c>
      <c r="P28" s="38">
        <f>P27*P9*Scenarios!$B$7</f>
        <v/>
      </c>
      <c r="Q28" s="38">
        <f>Q27*Q9*Scenarios!$B$7</f>
        <v/>
      </c>
      <c r="R28" s="38">
        <f>R27*R9*Scenarios!$B$7</f>
        <v/>
      </c>
      <c r="S28" s="38">
        <f>S27*S9*Scenarios!$B$7</f>
        <v/>
      </c>
      <c r="T28" s="38">
        <f>T27*T9*Scenarios!$B$7</f>
        <v/>
      </c>
      <c r="U28" s="38">
        <f>U27*U9*Scenarios!$B$7</f>
        <v/>
      </c>
      <c r="V28" s="38">
        <f>V27*V9*Scenarios!$B$7</f>
        <v/>
      </c>
      <c r="W28" s="38">
        <f>W27*W9*Scenarios!$B$7</f>
        <v/>
      </c>
      <c r="X28" s="38">
        <f>X27*X9*Scenarios!$B$7</f>
        <v/>
      </c>
      <c r="Y28" s="38">
        <f>Y27*Y9*Scenarios!$B$7</f>
        <v/>
      </c>
      <c r="Z28" s="38">
        <f>Z27*Z9*Scenarios!$B$7</f>
        <v/>
      </c>
      <c r="AA28" s="38">
        <f>AA27*AA9*Scenarios!$B$7</f>
        <v/>
      </c>
      <c r="AB28" s="38">
        <f>AB27*AB9*Scenarios!$B$7</f>
        <v/>
      </c>
      <c r="AC28" s="38">
        <f>AC27*AC9*Scenarios!$B$7</f>
        <v/>
      </c>
      <c r="AD28" s="38">
        <f>AD27*AD9*Scenarios!$B$7</f>
        <v/>
      </c>
      <c r="AE28" s="38">
        <f>AE27*AE9*Scenarios!$B$7</f>
        <v/>
      </c>
      <c r="AF28" s="38">
        <f>AF27*AF9*Scenarios!$B$7</f>
        <v/>
      </c>
      <c r="AG28" s="38">
        <f>AG27*AG9*Scenarios!$B$7</f>
        <v/>
      </c>
      <c r="AH28" s="38">
        <f>AH27*AH9*Scenarios!$B$7</f>
        <v/>
      </c>
      <c r="AI28" s="38">
        <f>AI27*AI9*Scenarios!$B$7</f>
        <v/>
      </c>
      <c r="AJ28" s="38">
        <f>AJ27*AJ9*Scenarios!$B$7</f>
        <v/>
      </c>
      <c r="AK28" s="38">
        <f>AK27*AK9*Scenarios!$B$7</f>
        <v/>
      </c>
      <c r="AL28" s="38">
        <f>AL27*AL9*Scenarios!$B$7</f>
        <v/>
      </c>
      <c r="AM28" s="38">
        <f>AM27*AM9*Scenarios!$B$7</f>
        <v/>
      </c>
      <c r="AO28" s="38">
        <f>SUM(D28:O28)</f>
        <v/>
      </c>
      <c r="AP28" s="38">
        <f>SUM(P28:AA28)</f>
        <v/>
      </c>
      <c r="AQ28" s="38">
        <f>SUM(AB28:AM28)</f>
        <v/>
      </c>
    </row>
    <row r="29">
      <c r="A29" s="5" t="inlineStr">
        <is>
          <t>Referral visits (recipients of prior month's items)</t>
        </is>
      </c>
      <c r="B29" s="2" t="inlineStr">
        <is>
          <t>visits</t>
        </is>
      </c>
      <c r="D29" s="35">
        <f>C44*Inputs!$B$23*Scenarios!$B$7</f>
        <v/>
      </c>
      <c r="E29" s="35">
        <f>D44*Inputs!$B$23*Scenarios!$B$7</f>
        <v/>
      </c>
      <c r="F29" s="35">
        <f>E44*Inputs!$B$23*Scenarios!$B$7</f>
        <v/>
      </c>
      <c r="G29" s="35">
        <f>F44*Inputs!$B$23*Scenarios!$B$7</f>
        <v/>
      </c>
      <c r="H29" s="35">
        <f>G44*Inputs!$B$23*Scenarios!$B$7</f>
        <v/>
      </c>
      <c r="I29" s="35">
        <f>H44*Inputs!$B$23*Scenarios!$B$7</f>
        <v/>
      </c>
      <c r="J29" s="35">
        <f>I44*Inputs!$B$23*Scenarios!$B$7</f>
        <v/>
      </c>
      <c r="K29" s="35">
        <f>J44*Inputs!$B$23*Scenarios!$B$7</f>
        <v/>
      </c>
      <c r="L29" s="35">
        <f>K44*Inputs!$B$23*Scenarios!$B$7</f>
        <v/>
      </c>
      <c r="M29" s="35">
        <f>L44*Inputs!$B$23*Scenarios!$B$7</f>
        <v/>
      </c>
      <c r="N29" s="35">
        <f>M44*Inputs!$B$23*Scenarios!$B$7</f>
        <v/>
      </c>
      <c r="O29" s="35">
        <f>N44*Inputs!$B$23*Scenarios!$B$7</f>
        <v/>
      </c>
      <c r="P29" s="35">
        <f>O44*Inputs!$B$23*Scenarios!$B$7</f>
        <v/>
      </c>
      <c r="Q29" s="35">
        <f>P44*Inputs!$B$23*Scenarios!$B$7</f>
        <v/>
      </c>
      <c r="R29" s="35">
        <f>Q44*Inputs!$B$23*Scenarios!$B$7</f>
        <v/>
      </c>
      <c r="S29" s="35">
        <f>R44*Inputs!$B$23*Scenarios!$B$7</f>
        <v/>
      </c>
      <c r="T29" s="35">
        <f>S44*Inputs!$B$23*Scenarios!$B$7</f>
        <v/>
      </c>
      <c r="U29" s="35">
        <f>T44*Inputs!$B$23*Scenarios!$B$7</f>
        <v/>
      </c>
      <c r="V29" s="35">
        <f>U44*Inputs!$B$23*Scenarios!$B$7</f>
        <v/>
      </c>
      <c r="W29" s="35">
        <f>V44*Inputs!$B$23*Scenarios!$B$7</f>
        <v/>
      </c>
      <c r="X29" s="35">
        <f>W44*Inputs!$B$23*Scenarios!$B$7</f>
        <v/>
      </c>
      <c r="Y29" s="35">
        <f>X44*Inputs!$B$23*Scenarios!$B$7</f>
        <v/>
      </c>
      <c r="Z29" s="35">
        <f>Y44*Inputs!$B$23*Scenarios!$B$7</f>
        <v/>
      </c>
      <c r="AA29" s="35">
        <f>Z44*Inputs!$B$23*Scenarios!$B$7</f>
        <v/>
      </c>
      <c r="AB29" s="35">
        <f>AA44*Inputs!$B$23*Scenarios!$B$7</f>
        <v/>
      </c>
      <c r="AC29" s="35">
        <f>AB44*Inputs!$B$23*Scenarios!$B$7</f>
        <v/>
      </c>
      <c r="AD29" s="35">
        <f>AC44*Inputs!$B$23*Scenarios!$B$7</f>
        <v/>
      </c>
      <c r="AE29" s="35">
        <f>AD44*Inputs!$B$23*Scenarios!$B$7</f>
        <v/>
      </c>
      <c r="AF29" s="35">
        <f>AE44*Inputs!$B$23*Scenarios!$B$7</f>
        <v/>
      </c>
      <c r="AG29" s="35">
        <f>AF44*Inputs!$B$23*Scenarios!$B$7</f>
        <v/>
      </c>
      <c r="AH29" s="35">
        <f>AG44*Inputs!$B$23*Scenarios!$B$7</f>
        <v/>
      </c>
      <c r="AI29" s="35">
        <f>AH44*Inputs!$B$23*Scenarios!$B$7</f>
        <v/>
      </c>
      <c r="AJ29" s="35">
        <f>AI44*Inputs!$B$23*Scenarios!$B$7</f>
        <v/>
      </c>
      <c r="AK29" s="35">
        <f>AJ44*Inputs!$B$23*Scenarios!$B$7</f>
        <v/>
      </c>
      <c r="AL29" s="35">
        <f>AK44*Inputs!$B$23*Scenarios!$B$7</f>
        <v/>
      </c>
      <c r="AM29" s="35">
        <f>AL44*Inputs!$B$23*Scenarios!$B$7</f>
        <v/>
      </c>
      <c r="AO29" s="35">
        <f>SUM(D29:O29)</f>
        <v/>
      </c>
      <c r="AP29" s="35">
        <f>SUM(P29:AA29)</f>
        <v/>
      </c>
      <c r="AQ29" s="35">
        <f>SUM(AB29:AM29)</f>
        <v/>
      </c>
    </row>
    <row r="30">
      <c r="A30" s="3" t="inlineStr">
        <is>
          <t>Total visits</t>
        </is>
      </c>
      <c r="B30" s="2" t="inlineStr">
        <is>
          <t>visits</t>
        </is>
      </c>
      <c r="D30" s="38">
        <f>D26+D28+D29</f>
        <v/>
      </c>
      <c r="E30" s="38">
        <f>E26+E28+E29</f>
        <v/>
      </c>
      <c r="F30" s="38">
        <f>F26+F28+F29</f>
        <v/>
      </c>
      <c r="G30" s="38">
        <f>G26+G28+G29</f>
        <v/>
      </c>
      <c r="H30" s="38">
        <f>H26+H28+H29</f>
        <v/>
      </c>
      <c r="I30" s="38">
        <f>I26+I28+I29</f>
        <v/>
      </c>
      <c r="J30" s="38">
        <f>J26+J28+J29</f>
        <v/>
      </c>
      <c r="K30" s="38">
        <f>K26+K28+K29</f>
        <v/>
      </c>
      <c r="L30" s="38">
        <f>L26+L28+L29</f>
        <v/>
      </c>
      <c r="M30" s="38">
        <f>M26+M28+M29</f>
        <v/>
      </c>
      <c r="N30" s="38">
        <f>N26+N28+N29</f>
        <v/>
      </c>
      <c r="O30" s="38">
        <f>O26+O28+O29</f>
        <v/>
      </c>
      <c r="P30" s="38">
        <f>P26+P28+P29</f>
        <v/>
      </c>
      <c r="Q30" s="38">
        <f>Q26+Q28+Q29</f>
        <v/>
      </c>
      <c r="R30" s="38">
        <f>R26+R28+R29</f>
        <v/>
      </c>
      <c r="S30" s="38">
        <f>S26+S28+S29</f>
        <v/>
      </c>
      <c r="T30" s="38">
        <f>T26+T28+T29</f>
        <v/>
      </c>
      <c r="U30" s="38">
        <f>U26+U28+U29</f>
        <v/>
      </c>
      <c r="V30" s="38">
        <f>V26+V28+V29</f>
        <v/>
      </c>
      <c r="W30" s="38">
        <f>W26+W28+W29</f>
        <v/>
      </c>
      <c r="X30" s="38">
        <f>X26+X28+X29</f>
        <v/>
      </c>
      <c r="Y30" s="38">
        <f>Y26+Y28+Y29</f>
        <v/>
      </c>
      <c r="Z30" s="38">
        <f>Z26+Z28+Z29</f>
        <v/>
      </c>
      <c r="AA30" s="38">
        <f>AA26+AA28+AA29</f>
        <v/>
      </c>
      <c r="AB30" s="38">
        <f>AB26+AB28+AB29</f>
        <v/>
      </c>
      <c r="AC30" s="38">
        <f>AC26+AC28+AC29</f>
        <v/>
      </c>
      <c r="AD30" s="38">
        <f>AD26+AD28+AD29</f>
        <v/>
      </c>
      <c r="AE30" s="38">
        <f>AE26+AE28+AE29</f>
        <v/>
      </c>
      <c r="AF30" s="38">
        <f>AF26+AF28+AF29</f>
        <v/>
      </c>
      <c r="AG30" s="38">
        <f>AG26+AG28+AG29</f>
        <v/>
      </c>
      <c r="AH30" s="38">
        <f>AH26+AH28+AH29</f>
        <v/>
      </c>
      <c r="AI30" s="38">
        <f>AI26+AI28+AI29</f>
        <v/>
      </c>
      <c r="AJ30" s="38">
        <f>AJ26+AJ28+AJ29</f>
        <v/>
      </c>
      <c r="AK30" s="38">
        <f>AK26+AK28+AK29</f>
        <v/>
      </c>
      <c r="AL30" s="38">
        <f>AL26+AL28+AL29</f>
        <v/>
      </c>
      <c r="AM30" s="38">
        <f>AM26+AM28+AM29</f>
        <v/>
      </c>
      <c r="AO30" s="38">
        <f>SUM(D30:O30)</f>
        <v/>
      </c>
      <c r="AP30" s="38">
        <f>SUM(P30:AA30)</f>
        <v/>
      </c>
      <c r="AQ30" s="38">
        <f>SUM(AB30:AM30)</f>
        <v/>
      </c>
    </row>
    <row r="31">
      <c r="A31" s="7" t="inlineStr">
        <is>
          <t>FUNNEL</t>
        </is>
      </c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8" t="n"/>
      <c r="AJ31" s="8" t="n"/>
      <c r="AK31" s="8" t="n"/>
      <c r="AL31" s="8" t="n"/>
      <c r="AM31" s="8" t="n"/>
      <c r="AN31" s="8" t="n"/>
      <c r="AO31" s="8" t="n"/>
      <c r="AP31" s="8" t="n"/>
      <c r="AQ31" s="8" t="n"/>
    </row>
    <row r="32">
      <c r="A32" s="5" t="inlineStr">
        <is>
          <t>Guest free previews (cost, no revenue)</t>
        </is>
      </c>
      <c r="B32" s="2" t="inlineStr">
        <is>
          <t>#</t>
        </is>
      </c>
      <c r="D32" s="35">
        <f>D30*Inputs!$B$15</f>
        <v/>
      </c>
      <c r="E32" s="35">
        <f>E30*Inputs!$B$15</f>
        <v/>
      </c>
      <c r="F32" s="35">
        <f>F30*Inputs!$B$15</f>
        <v/>
      </c>
      <c r="G32" s="35">
        <f>G30*Inputs!$B$15</f>
        <v/>
      </c>
      <c r="H32" s="35">
        <f>H30*Inputs!$B$15</f>
        <v/>
      </c>
      <c r="I32" s="35">
        <f>I30*Inputs!$B$15</f>
        <v/>
      </c>
      <c r="J32" s="35">
        <f>J30*Inputs!$B$15</f>
        <v/>
      </c>
      <c r="K32" s="35">
        <f>K30*Inputs!$B$15</f>
        <v/>
      </c>
      <c r="L32" s="35">
        <f>L30*Inputs!$B$15</f>
        <v/>
      </c>
      <c r="M32" s="35">
        <f>M30*Inputs!$B$15</f>
        <v/>
      </c>
      <c r="N32" s="35">
        <f>N30*Inputs!$B$15</f>
        <v/>
      </c>
      <c r="O32" s="35">
        <f>O30*Inputs!$B$15</f>
        <v/>
      </c>
      <c r="P32" s="35">
        <f>P30*Inputs!$B$15</f>
        <v/>
      </c>
      <c r="Q32" s="35">
        <f>Q30*Inputs!$B$15</f>
        <v/>
      </c>
      <c r="R32" s="35">
        <f>R30*Inputs!$B$15</f>
        <v/>
      </c>
      <c r="S32" s="35">
        <f>S30*Inputs!$B$15</f>
        <v/>
      </c>
      <c r="T32" s="35">
        <f>T30*Inputs!$B$15</f>
        <v/>
      </c>
      <c r="U32" s="35">
        <f>U30*Inputs!$B$15</f>
        <v/>
      </c>
      <c r="V32" s="35">
        <f>V30*Inputs!$B$15</f>
        <v/>
      </c>
      <c r="W32" s="35">
        <f>W30*Inputs!$B$15</f>
        <v/>
      </c>
      <c r="X32" s="35">
        <f>X30*Inputs!$B$15</f>
        <v/>
      </c>
      <c r="Y32" s="35">
        <f>Y30*Inputs!$B$15</f>
        <v/>
      </c>
      <c r="Z32" s="35">
        <f>Z30*Inputs!$B$15</f>
        <v/>
      </c>
      <c r="AA32" s="35">
        <f>AA30*Inputs!$B$15</f>
        <v/>
      </c>
      <c r="AB32" s="35">
        <f>AB30*Inputs!$B$15</f>
        <v/>
      </c>
      <c r="AC32" s="35">
        <f>AC30*Inputs!$B$15</f>
        <v/>
      </c>
      <c r="AD32" s="35">
        <f>AD30*Inputs!$B$15</f>
        <v/>
      </c>
      <c r="AE32" s="35">
        <f>AE30*Inputs!$B$15</f>
        <v/>
      </c>
      <c r="AF32" s="35">
        <f>AF30*Inputs!$B$15</f>
        <v/>
      </c>
      <c r="AG32" s="35">
        <f>AG30*Inputs!$B$15</f>
        <v/>
      </c>
      <c r="AH32" s="35">
        <f>AH30*Inputs!$B$15</f>
        <v/>
      </c>
      <c r="AI32" s="35">
        <f>AI30*Inputs!$B$15</f>
        <v/>
      </c>
      <c r="AJ32" s="35">
        <f>AJ30*Inputs!$B$15</f>
        <v/>
      </c>
      <c r="AK32" s="35">
        <f>AK30*Inputs!$B$15</f>
        <v/>
      </c>
      <c r="AL32" s="35">
        <f>AL30*Inputs!$B$15</f>
        <v/>
      </c>
      <c r="AM32" s="35">
        <f>AM30*Inputs!$B$15</f>
        <v/>
      </c>
      <c r="AO32" s="35">
        <f>SUM(D32:O32)</f>
        <v/>
      </c>
      <c r="AP32" s="35">
        <f>SUM(P32:AA32)</f>
        <v/>
      </c>
      <c r="AQ32" s="35">
        <f>SUM(AB32:AM32)</f>
        <v/>
      </c>
    </row>
    <row r="33">
      <c r="A33" s="5" t="inlineStr">
        <is>
          <t>Sign-ups from paid</t>
        </is>
      </c>
      <c r="B33" s="2" t="inlineStr">
        <is>
          <t>#</t>
        </is>
      </c>
      <c r="D33" s="35">
        <f>SUMPRODUCT(D20:D25,'Unit Economics'!$E$15:$E$20)</f>
        <v/>
      </c>
      <c r="E33" s="35">
        <f>SUMPRODUCT(E20:E25,'Unit Economics'!$E$15:$E$20)</f>
        <v/>
      </c>
      <c r="F33" s="35">
        <f>SUMPRODUCT(F20:F25,'Unit Economics'!$E$15:$E$20)</f>
        <v/>
      </c>
      <c r="G33" s="35">
        <f>SUMPRODUCT(G20:G25,'Unit Economics'!$E$15:$E$20)</f>
        <v/>
      </c>
      <c r="H33" s="35">
        <f>SUMPRODUCT(H20:H25,'Unit Economics'!$E$15:$E$20)</f>
        <v/>
      </c>
      <c r="I33" s="35">
        <f>SUMPRODUCT(I20:I25,'Unit Economics'!$E$15:$E$20)</f>
        <v/>
      </c>
      <c r="J33" s="35">
        <f>SUMPRODUCT(J20:J25,'Unit Economics'!$E$15:$E$20)</f>
        <v/>
      </c>
      <c r="K33" s="35">
        <f>SUMPRODUCT(K20:K25,'Unit Economics'!$E$15:$E$20)</f>
        <v/>
      </c>
      <c r="L33" s="35">
        <f>SUMPRODUCT(L20:L25,'Unit Economics'!$E$15:$E$20)</f>
        <v/>
      </c>
      <c r="M33" s="35">
        <f>SUMPRODUCT(M20:M25,'Unit Economics'!$E$15:$E$20)</f>
        <v/>
      </c>
      <c r="N33" s="35">
        <f>SUMPRODUCT(N20:N25,'Unit Economics'!$E$15:$E$20)</f>
        <v/>
      </c>
      <c r="O33" s="35">
        <f>SUMPRODUCT(O20:O25,'Unit Economics'!$E$15:$E$20)</f>
        <v/>
      </c>
      <c r="P33" s="35">
        <f>SUMPRODUCT(P20:P25,'Unit Economics'!$E$15:$E$20)</f>
        <v/>
      </c>
      <c r="Q33" s="35">
        <f>SUMPRODUCT(Q20:Q25,'Unit Economics'!$E$15:$E$20)</f>
        <v/>
      </c>
      <c r="R33" s="35">
        <f>SUMPRODUCT(R20:R25,'Unit Economics'!$E$15:$E$20)</f>
        <v/>
      </c>
      <c r="S33" s="35">
        <f>SUMPRODUCT(S20:S25,'Unit Economics'!$E$15:$E$20)</f>
        <v/>
      </c>
      <c r="T33" s="35">
        <f>SUMPRODUCT(T20:T25,'Unit Economics'!$E$15:$E$20)</f>
        <v/>
      </c>
      <c r="U33" s="35">
        <f>SUMPRODUCT(U20:U25,'Unit Economics'!$E$15:$E$20)</f>
        <v/>
      </c>
      <c r="V33" s="35">
        <f>SUMPRODUCT(V20:V25,'Unit Economics'!$E$15:$E$20)</f>
        <v/>
      </c>
      <c r="W33" s="35">
        <f>SUMPRODUCT(W20:W25,'Unit Economics'!$E$15:$E$20)</f>
        <v/>
      </c>
      <c r="X33" s="35">
        <f>SUMPRODUCT(X20:X25,'Unit Economics'!$E$15:$E$20)</f>
        <v/>
      </c>
      <c r="Y33" s="35">
        <f>SUMPRODUCT(Y20:Y25,'Unit Economics'!$E$15:$E$20)</f>
        <v/>
      </c>
      <c r="Z33" s="35">
        <f>SUMPRODUCT(Z20:Z25,'Unit Economics'!$E$15:$E$20)</f>
        <v/>
      </c>
      <c r="AA33" s="35">
        <f>SUMPRODUCT(AA20:AA25,'Unit Economics'!$E$15:$E$20)</f>
        <v/>
      </c>
      <c r="AB33" s="35">
        <f>SUMPRODUCT(AB20:AB25,'Unit Economics'!$E$15:$E$20)</f>
        <v/>
      </c>
      <c r="AC33" s="35">
        <f>SUMPRODUCT(AC20:AC25,'Unit Economics'!$E$15:$E$20)</f>
        <v/>
      </c>
      <c r="AD33" s="35">
        <f>SUMPRODUCT(AD20:AD25,'Unit Economics'!$E$15:$E$20)</f>
        <v/>
      </c>
      <c r="AE33" s="35">
        <f>SUMPRODUCT(AE20:AE25,'Unit Economics'!$E$15:$E$20)</f>
        <v/>
      </c>
      <c r="AF33" s="35">
        <f>SUMPRODUCT(AF20:AF25,'Unit Economics'!$E$15:$E$20)</f>
        <v/>
      </c>
      <c r="AG33" s="35">
        <f>SUMPRODUCT(AG20:AG25,'Unit Economics'!$E$15:$E$20)</f>
        <v/>
      </c>
      <c r="AH33" s="35">
        <f>SUMPRODUCT(AH20:AH25,'Unit Economics'!$E$15:$E$20)</f>
        <v/>
      </c>
      <c r="AI33" s="35">
        <f>SUMPRODUCT(AI20:AI25,'Unit Economics'!$E$15:$E$20)</f>
        <v/>
      </c>
      <c r="AJ33" s="35">
        <f>SUMPRODUCT(AJ20:AJ25,'Unit Economics'!$E$15:$E$20)</f>
        <v/>
      </c>
      <c r="AK33" s="35">
        <f>SUMPRODUCT(AK20:AK25,'Unit Economics'!$E$15:$E$20)</f>
        <v/>
      </c>
      <c r="AL33" s="35">
        <f>SUMPRODUCT(AL20:AL25,'Unit Economics'!$E$15:$E$20)</f>
        <v/>
      </c>
      <c r="AM33" s="35">
        <f>SUMPRODUCT(AM20:AM25,'Unit Economics'!$E$15:$E$20)</f>
        <v/>
      </c>
      <c r="AO33" s="35">
        <f>SUM(D33:O33)</f>
        <v/>
      </c>
      <c r="AP33" s="35">
        <f>SUM(P33:AA33)</f>
        <v/>
      </c>
      <c r="AQ33" s="35">
        <f>SUM(AB33:AM33)</f>
        <v/>
      </c>
    </row>
    <row r="34">
      <c r="A34" s="5" t="inlineStr">
        <is>
          <t>Sign-ups from organic + referral</t>
        </is>
      </c>
      <c r="B34" s="2" t="inlineStr">
        <is>
          <t>#</t>
        </is>
      </c>
      <c r="D34" s="35">
        <f>Inputs!$B$12*(D28+D29)</f>
        <v/>
      </c>
      <c r="E34" s="35">
        <f>Inputs!$B$12*(E28+E29)</f>
        <v/>
      </c>
      <c r="F34" s="35">
        <f>Inputs!$B$12*(F28+F29)</f>
        <v/>
      </c>
      <c r="G34" s="35">
        <f>Inputs!$B$12*(G28+G29)</f>
        <v/>
      </c>
      <c r="H34" s="35">
        <f>Inputs!$B$12*(H28+H29)</f>
        <v/>
      </c>
      <c r="I34" s="35">
        <f>Inputs!$B$12*(I28+I29)</f>
        <v/>
      </c>
      <c r="J34" s="35">
        <f>Inputs!$B$12*(J28+J29)</f>
        <v/>
      </c>
      <c r="K34" s="35">
        <f>Inputs!$B$12*(K28+K29)</f>
        <v/>
      </c>
      <c r="L34" s="35">
        <f>Inputs!$B$12*(L28+L29)</f>
        <v/>
      </c>
      <c r="M34" s="35">
        <f>Inputs!$B$12*(M28+M29)</f>
        <v/>
      </c>
      <c r="N34" s="35">
        <f>Inputs!$B$12*(N28+N29)</f>
        <v/>
      </c>
      <c r="O34" s="35">
        <f>Inputs!$B$12*(O28+O29)</f>
        <v/>
      </c>
      <c r="P34" s="35">
        <f>Inputs!$B$12*(P28+P29)</f>
        <v/>
      </c>
      <c r="Q34" s="35">
        <f>Inputs!$B$12*(Q28+Q29)</f>
        <v/>
      </c>
      <c r="R34" s="35">
        <f>Inputs!$B$12*(R28+R29)</f>
        <v/>
      </c>
      <c r="S34" s="35">
        <f>Inputs!$B$12*(S28+S29)</f>
        <v/>
      </c>
      <c r="T34" s="35">
        <f>Inputs!$B$12*(T28+T29)</f>
        <v/>
      </c>
      <c r="U34" s="35">
        <f>Inputs!$B$12*(U28+U29)</f>
        <v/>
      </c>
      <c r="V34" s="35">
        <f>Inputs!$B$12*(V28+V29)</f>
        <v/>
      </c>
      <c r="W34" s="35">
        <f>Inputs!$B$12*(W28+W29)</f>
        <v/>
      </c>
      <c r="X34" s="35">
        <f>Inputs!$B$12*(X28+X29)</f>
        <v/>
      </c>
      <c r="Y34" s="35">
        <f>Inputs!$B$12*(Y28+Y29)</f>
        <v/>
      </c>
      <c r="Z34" s="35">
        <f>Inputs!$B$12*(Z28+Z29)</f>
        <v/>
      </c>
      <c r="AA34" s="35">
        <f>Inputs!$B$12*(AA28+AA29)</f>
        <v/>
      </c>
      <c r="AB34" s="35">
        <f>Inputs!$B$12*(AB28+AB29)</f>
        <v/>
      </c>
      <c r="AC34" s="35">
        <f>Inputs!$B$12*(AC28+AC29)</f>
        <v/>
      </c>
      <c r="AD34" s="35">
        <f>Inputs!$B$12*(AD28+AD29)</f>
        <v/>
      </c>
      <c r="AE34" s="35">
        <f>Inputs!$B$12*(AE28+AE29)</f>
        <v/>
      </c>
      <c r="AF34" s="35">
        <f>Inputs!$B$12*(AF28+AF29)</f>
        <v/>
      </c>
      <c r="AG34" s="35">
        <f>Inputs!$B$12*(AG28+AG29)</f>
        <v/>
      </c>
      <c r="AH34" s="35">
        <f>Inputs!$B$12*(AH28+AH29)</f>
        <v/>
      </c>
      <c r="AI34" s="35">
        <f>Inputs!$B$12*(AI28+AI29)</f>
        <v/>
      </c>
      <c r="AJ34" s="35">
        <f>Inputs!$B$12*(AJ28+AJ29)</f>
        <v/>
      </c>
      <c r="AK34" s="35">
        <f>Inputs!$B$12*(AK28+AK29)</f>
        <v/>
      </c>
      <c r="AL34" s="35">
        <f>Inputs!$B$12*(AL28+AL29)</f>
        <v/>
      </c>
      <c r="AM34" s="35">
        <f>Inputs!$B$12*(AM28+AM29)</f>
        <v/>
      </c>
      <c r="AO34" s="35">
        <f>SUM(D34:O34)</f>
        <v/>
      </c>
      <c r="AP34" s="35">
        <f>SUM(P34:AA34)</f>
        <v/>
      </c>
      <c r="AQ34" s="35">
        <f>SUM(AB34:AM34)</f>
        <v/>
      </c>
    </row>
    <row r="35">
      <c r="A35" s="3" t="inlineStr">
        <is>
          <t>Sign-ups</t>
        </is>
      </c>
      <c r="B35" s="2" t="inlineStr">
        <is>
          <t>#</t>
        </is>
      </c>
      <c r="D35" s="38">
        <f>D33+D34</f>
        <v/>
      </c>
      <c r="E35" s="38">
        <f>E33+E34</f>
        <v/>
      </c>
      <c r="F35" s="38">
        <f>F33+F34</f>
        <v/>
      </c>
      <c r="G35" s="38">
        <f>G33+G34</f>
        <v/>
      </c>
      <c r="H35" s="38">
        <f>H33+H34</f>
        <v/>
      </c>
      <c r="I35" s="38">
        <f>I33+I34</f>
        <v/>
      </c>
      <c r="J35" s="38">
        <f>J33+J34</f>
        <v/>
      </c>
      <c r="K35" s="38">
        <f>K33+K34</f>
        <v/>
      </c>
      <c r="L35" s="38">
        <f>L33+L34</f>
        <v/>
      </c>
      <c r="M35" s="38">
        <f>M33+M34</f>
        <v/>
      </c>
      <c r="N35" s="38">
        <f>N33+N34</f>
        <v/>
      </c>
      <c r="O35" s="38">
        <f>O33+O34</f>
        <v/>
      </c>
      <c r="P35" s="38">
        <f>P33+P34</f>
        <v/>
      </c>
      <c r="Q35" s="38">
        <f>Q33+Q34</f>
        <v/>
      </c>
      <c r="R35" s="38">
        <f>R33+R34</f>
        <v/>
      </c>
      <c r="S35" s="38">
        <f>S33+S34</f>
        <v/>
      </c>
      <c r="T35" s="38">
        <f>T33+T34</f>
        <v/>
      </c>
      <c r="U35" s="38">
        <f>U33+U34</f>
        <v/>
      </c>
      <c r="V35" s="38">
        <f>V33+V34</f>
        <v/>
      </c>
      <c r="W35" s="38">
        <f>W33+W34</f>
        <v/>
      </c>
      <c r="X35" s="38">
        <f>X33+X34</f>
        <v/>
      </c>
      <c r="Y35" s="38">
        <f>Y33+Y34</f>
        <v/>
      </c>
      <c r="Z35" s="38">
        <f>Z33+Z34</f>
        <v/>
      </c>
      <c r="AA35" s="38">
        <f>AA33+AA34</f>
        <v/>
      </c>
      <c r="AB35" s="38">
        <f>AB33+AB34</f>
        <v/>
      </c>
      <c r="AC35" s="38">
        <f>AC33+AC34</f>
        <v/>
      </c>
      <c r="AD35" s="38">
        <f>AD33+AD34</f>
        <v/>
      </c>
      <c r="AE35" s="38">
        <f>AE33+AE34</f>
        <v/>
      </c>
      <c r="AF35" s="38">
        <f>AF33+AF34</f>
        <v/>
      </c>
      <c r="AG35" s="38">
        <f>AG33+AG34</f>
        <v/>
      </c>
      <c r="AH35" s="38">
        <f>AH33+AH34</f>
        <v/>
      </c>
      <c r="AI35" s="38">
        <f>AI33+AI34</f>
        <v/>
      </c>
      <c r="AJ35" s="38">
        <f>AJ33+AJ34</f>
        <v/>
      </c>
      <c r="AK35" s="38">
        <f>AK33+AK34</f>
        <v/>
      </c>
      <c r="AL35" s="38">
        <f>AL33+AL34</f>
        <v/>
      </c>
      <c r="AM35" s="38">
        <f>AM33+AM34</f>
        <v/>
      </c>
      <c r="AO35" s="38">
        <f>SUM(D35:O35)</f>
        <v/>
      </c>
      <c r="AP35" s="38">
        <f>SUM(P35:AA35)</f>
        <v/>
      </c>
      <c r="AQ35" s="38">
        <f>SUM(AB35:AM35)</f>
        <v/>
      </c>
    </row>
    <row r="36">
      <c r="A36" s="5" t="inlineStr">
        <is>
          <t>Creator starts</t>
        </is>
      </c>
      <c r="B36" s="2" t="inlineStr">
        <is>
          <t>#</t>
        </is>
      </c>
      <c r="D36" s="35">
        <f>D35*Inputs!$B$13</f>
        <v/>
      </c>
      <c r="E36" s="35">
        <f>E35*Inputs!$B$13</f>
        <v/>
      </c>
      <c r="F36" s="35">
        <f>F35*Inputs!$B$13</f>
        <v/>
      </c>
      <c r="G36" s="35">
        <f>G35*Inputs!$B$13</f>
        <v/>
      </c>
      <c r="H36" s="35">
        <f>H35*Inputs!$B$13</f>
        <v/>
      </c>
      <c r="I36" s="35">
        <f>I35*Inputs!$B$13</f>
        <v/>
      </c>
      <c r="J36" s="35">
        <f>J35*Inputs!$B$13</f>
        <v/>
      </c>
      <c r="K36" s="35">
        <f>K35*Inputs!$B$13</f>
        <v/>
      </c>
      <c r="L36" s="35">
        <f>L35*Inputs!$B$13</f>
        <v/>
      </c>
      <c r="M36" s="35">
        <f>M35*Inputs!$B$13</f>
        <v/>
      </c>
      <c r="N36" s="35">
        <f>N35*Inputs!$B$13</f>
        <v/>
      </c>
      <c r="O36" s="35">
        <f>O35*Inputs!$B$13</f>
        <v/>
      </c>
      <c r="P36" s="35">
        <f>P35*Inputs!$B$13</f>
        <v/>
      </c>
      <c r="Q36" s="35">
        <f>Q35*Inputs!$B$13</f>
        <v/>
      </c>
      <c r="R36" s="35">
        <f>R35*Inputs!$B$13</f>
        <v/>
      </c>
      <c r="S36" s="35">
        <f>S35*Inputs!$B$13</f>
        <v/>
      </c>
      <c r="T36" s="35">
        <f>T35*Inputs!$B$13</f>
        <v/>
      </c>
      <c r="U36" s="35">
        <f>U35*Inputs!$B$13</f>
        <v/>
      </c>
      <c r="V36" s="35">
        <f>V35*Inputs!$B$13</f>
        <v/>
      </c>
      <c r="W36" s="35">
        <f>W35*Inputs!$B$13</f>
        <v/>
      </c>
      <c r="X36" s="35">
        <f>X35*Inputs!$B$13</f>
        <v/>
      </c>
      <c r="Y36" s="35">
        <f>Y35*Inputs!$B$13</f>
        <v/>
      </c>
      <c r="Z36" s="35">
        <f>Z35*Inputs!$B$13</f>
        <v/>
      </c>
      <c r="AA36" s="35">
        <f>AA35*Inputs!$B$13</f>
        <v/>
      </c>
      <c r="AB36" s="35">
        <f>AB35*Inputs!$B$13</f>
        <v/>
      </c>
      <c r="AC36" s="35">
        <f>AC35*Inputs!$B$13</f>
        <v/>
      </c>
      <c r="AD36" s="35">
        <f>AD35*Inputs!$B$13</f>
        <v/>
      </c>
      <c r="AE36" s="35">
        <f>AE35*Inputs!$B$13</f>
        <v/>
      </c>
      <c r="AF36" s="35">
        <f>AF35*Inputs!$B$13</f>
        <v/>
      </c>
      <c r="AG36" s="35">
        <f>AG35*Inputs!$B$13</f>
        <v/>
      </c>
      <c r="AH36" s="35">
        <f>AH35*Inputs!$B$13</f>
        <v/>
      </c>
      <c r="AI36" s="35">
        <f>AI35*Inputs!$B$13</f>
        <v/>
      </c>
      <c r="AJ36" s="35">
        <f>AJ35*Inputs!$B$13</f>
        <v/>
      </c>
      <c r="AK36" s="35">
        <f>AK35*Inputs!$B$13</f>
        <v/>
      </c>
      <c r="AL36" s="35">
        <f>AL35*Inputs!$B$13</f>
        <v/>
      </c>
      <c r="AM36" s="35">
        <f>AM35*Inputs!$B$13</f>
        <v/>
      </c>
      <c r="AO36" s="35">
        <f>SUM(D36:O36)</f>
        <v/>
      </c>
      <c r="AP36" s="35">
        <f>SUM(P36:AA36)</f>
        <v/>
      </c>
      <c r="AQ36" s="35">
        <f>SUM(AB36:AM36)</f>
        <v/>
      </c>
    </row>
    <row r="37">
      <c r="A37" s="5" t="inlineStr">
        <is>
          <t>Conversion factor (scenario x season)</t>
        </is>
      </c>
      <c r="B37" s="2" t="inlineStr">
        <is>
          <t>x</t>
        </is>
      </c>
      <c r="D37" s="28">
        <f>Scenarios!$B$8*D10</f>
        <v/>
      </c>
      <c r="E37" s="28">
        <f>Scenarios!$B$8*E10</f>
        <v/>
      </c>
      <c r="F37" s="28">
        <f>Scenarios!$B$8*F10</f>
        <v/>
      </c>
      <c r="G37" s="28">
        <f>Scenarios!$B$8*G10</f>
        <v/>
      </c>
      <c r="H37" s="28">
        <f>Scenarios!$B$8*H10</f>
        <v/>
      </c>
      <c r="I37" s="28">
        <f>Scenarios!$B$8*I10</f>
        <v/>
      </c>
      <c r="J37" s="28">
        <f>Scenarios!$B$8*J10</f>
        <v/>
      </c>
      <c r="K37" s="28">
        <f>Scenarios!$B$8*K10</f>
        <v/>
      </c>
      <c r="L37" s="28">
        <f>Scenarios!$B$8*L10</f>
        <v/>
      </c>
      <c r="M37" s="28">
        <f>Scenarios!$B$8*M10</f>
        <v/>
      </c>
      <c r="N37" s="28">
        <f>Scenarios!$B$8*N10</f>
        <v/>
      </c>
      <c r="O37" s="28">
        <f>Scenarios!$B$8*O10</f>
        <v/>
      </c>
      <c r="P37" s="28">
        <f>Scenarios!$B$8*P10</f>
        <v/>
      </c>
      <c r="Q37" s="28">
        <f>Scenarios!$B$8*Q10</f>
        <v/>
      </c>
      <c r="R37" s="28">
        <f>Scenarios!$B$8*R10</f>
        <v/>
      </c>
      <c r="S37" s="28">
        <f>Scenarios!$B$8*S10</f>
        <v/>
      </c>
      <c r="T37" s="28">
        <f>Scenarios!$B$8*T10</f>
        <v/>
      </c>
      <c r="U37" s="28">
        <f>Scenarios!$B$8*U10</f>
        <v/>
      </c>
      <c r="V37" s="28">
        <f>Scenarios!$B$8*V10</f>
        <v/>
      </c>
      <c r="W37" s="28">
        <f>Scenarios!$B$8*W10</f>
        <v/>
      </c>
      <c r="X37" s="28">
        <f>Scenarios!$B$8*X10</f>
        <v/>
      </c>
      <c r="Y37" s="28">
        <f>Scenarios!$B$8*Y10</f>
        <v/>
      </c>
      <c r="Z37" s="28">
        <f>Scenarios!$B$8*Z10</f>
        <v/>
      </c>
      <c r="AA37" s="28">
        <f>Scenarios!$B$8*AA10</f>
        <v/>
      </c>
      <c r="AB37" s="28">
        <f>Scenarios!$B$8*AB10</f>
        <v/>
      </c>
      <c r="AC37" s="28">
        <f>Scenarios!$B$8*AC10</f>
        <v/>
      </c>
      <c r="AD37" s="28">
        <f>Scenarios!$B$8*AD10</f>
        <v/>
      </c>
      <c r="AE37" s="28">
        <f>Scenarios!$B$8*AE10</f>
        <v/>
      </c>
      <c r="AF37" s="28">
        <f>Scenarios!$B$8*AF10</f>
        <v/>
      </c>
      <c r="AG37" s="28">
        <f>Scenarios!$B$8*AG10</f>
        <v/>
      </c>
      <c r="AH37" s="28">
        <f>Scenarios!$B$8*AH10</f>
        <v/>
      </c>
      <c r="AI37" s="28">
        <f>Scenarios!$B$8*AI10</f>
        <v/>
      </c>
      <c r="AJ37" s="28">
        <f>Scenarios!$B$8*AJ10</f>
        <v/>
      </c>
      <c r="AK37" s="28">
        <f>Scenarios!$B$8*AK10</f>
        <v/>
      </c>
      <c r="AL37" s="28">
        <f>Scenarios!$B$8*AL10</f>
        <v/>
      </c>
      <c r="AM37" s="28">
        <f>Scenarios!$B$8*AM10</f>
        <v/>
      </c>
      <c r="AO37" s="28">
        <f>AVERAGE(D37:O37)</f>
        <v/>
      </c>
      <c r="AP37" s="28">
        <f>AVERAGE(P37:AA37)</f>
        <v/>
      </c>
      <c r="AQ37" s="28">
        <f>AVERAGE(AB37:AM37)</f>
        <v/>
      </c>
    </row>
    <row r="38">
      <c r="A38" s="5" t="inlineStr">
        <is>
          <t>New-customer orders from paid</t>
        </is>
      </c>
      <c r="B38" s="2" t="inlineStr">
        <is>
          <t>#</t>
        </is>
      </c>
      <c r="D38" s="35">
        <f>SUMPRODUCT(D20:D25,'Unit Economics'!$E$15:$E$20,Inputs!$H$57:$H$62)*D37</f>
        <v/>
      </c>
      <c r="E38" s="35">
        <f>SUMPRODUCT(E20:E25,'Unit Economics'!$E$15:$E$20,Inputs!$H$57:$H$62)*E37</f>
        <v/>
      </c>
      <c r="F38" s="35">
        <f>SUMPRODUCT(F20:F25,'Unit Economics'!$E$15:$E$20,Inputs!$H$57:$H$62)*F37</f>
        <v/>
      </c>
      <c r="G38" s="35">
        <f>SUMPRODUCT(G20:G25,'Unit Economics'!$E$15:$E$20,Inputs!$H$57:$H$62)*G37</f>
        <v/>
      </c>
      <c r="H38" s="35">
        <f>SUMPRODUCT(H20:H25,'Unit Economics'!$E$15:$E$20,Inputs!$H$57:$H$62)*H37</f>
        <v/>
      </c>
      <c r="I38" s="35">
        <f>SUMPRODUCT(I20:I25,'Unit Economics'!$E$15:$E$20,Inputs!$H$57:$H$62)*I37</f>
        <v/>
      </c>
      <c r="J38" s="35">
        <f>SUMPRODUCT(J20:J25,'Unit Economics'!$E$15:$E$20,Inputs!$H$57:$H$62)*J37</f>
        <v/>
      </c>
      <c r="K38" s="35">
        <f>SUMPRODUCT(K20:K25,'Unit Economics'!$E$15:$E$20,Inputs!$H$57:$H$62)*K37</f>
        <v/>
      </c>
      <c r="L38" s="35">
        <f>SUMPRODUCT(L20:L25,'Unit Economics'!$E$15:$E$20,Inputs!$H$57:$H$62)*L37</f>
        <v/>
      </c>
      <c r="M38" s="35">
        <f>SUMPRODUCT(M20:M25,'Unit Economics'!$E$15:$E$20,Inputs!$H$57:$H$62)*M37</f>
        <v/>
      </c>
      <c r="N38" s="35">
        <f>SUMPRODUCT(N20:N25,'Unit Economics'!$E$15:$E$20,Inputs!$H$57:$H$62)*N37</f>
        <v/>
      </c>
      <c r="O38" s="35">
        <f>SUMPRODUCT(O20:O25,'Unit Economics'!$E$15:$E$20,Inputs!$H$57:$H$62)*O37</f>
        <v/>
      </c>
      <c r="P38" s="35">
        <f>SUMPRODUCT(P20:P25,'Unit Economics'!$E$15:$E$20,Inputs!$H$57:$H$62)*P37</f>
        <v/>
      </c>
      <c r="Q38" s="35">
        <f>SUMPRODUCT(Q20:Q25,'Unit Economics'!$E$15:$E$20,Inputs!$H$57:$H$62)*Q37</f>
        <v/>
      </c>
      <c r="R38" s="35">
        <f>SUMPRODUCT(R20:R25,'Unit Economics'!$E$15:$E$20,Inputs!$H$57:$H$62)*R37</f>
        <v/>
      </c>
      <c r="S38" s="35">
        <f>SUMPRODUCT(S20:S25,'Unit Economics'!$E$15:$E$20,Inputs!$H$57:$H$62)*S37</f>
        <v/>
      </c>
      <c r="T38" s="35">
        <f>SUMPRODUCT(T20:T25,'Unit Economics'!$E$15:$E$20,Inputs!$H$57:$H$62)*T37</f>
        <v/>
      </c>
      <c r="U38" s="35">
        <f>SUMPRODUCT(U20:U25,'Unit Economics'!$E$15:$E$20,Inputs!$H$57:$H$62)*U37</f>
        <v/>
      </c>
      <c r="V38" s="35">
        <f>SUMPRODUCT(V20:V25,'Unit Economics'!$E$15:$E$20,Inputs!$H$57:$H$62)*V37</f>
        <v/>
      </c>
      <c r="W38" s="35">
        <f>SUMPRODUCT(W20:W25,'Unit Economics'!$E$15:$E$20,Inputs!$H$57:$H$62)*W37</f>
        <v/>
      </c>
      <c r="X38" s="35">
        <f>SUMPRODUCT(X20:X25,'Unit Economics'!$E$15:$E$20,Inputs!$H$57:$H$62)*X37</f>
        <v/>
      </c>
      <c r="Y38" s="35">
        <f>SUMPRODUCT(Y20:Y25,'Unit Economics'!$E$15:$E$20,Inputs!$H$57:$H$62)*Y37</f>
        <v/>
      </c>
      <c r="Z38" s="35">
        <f>SUMPRODUCT(Z20:Z25,'Unit Economics'!$E$15:$E$20,Inputs!$H$57:$H$62)*Z37</f>
        <v/>
      </c>
      <c r="AA38" s="35">
        <f>SUMPRODUCT(AA20:AA25,'Unit Economics'!$E$15:$E$20,Inputs!$H$57:$H$62)*AA37</f>
        <v/>
      </c>
      <c r="AB38" s="35">
        <f>SUMPRODUCT(AB20:AB25,'Unit Economics'!$E$15:$E$20,Inputs!$H$57:$H$62)*AB37</f>
        <v/>
      </c>
      <c r="AC38" s="35">
        <f>SUMPRODUCT(AC20:AC25,'Unit Economics'!$E$15:$E$20,Inputs!$H$57:$H$62)*AC37</f>
        <v/>
      </c>
      <c r="AD38" s="35">
        <f>SUMPRODUCT(AD20:AD25,'Unit Economics'!$E$15:$E$20,Inputs!$H$57:$H$62)*AD37</f>
        <v/>
      </c>
      <c r="AE38" s="35">
        <f>SUMPRODUCT(AE20:AE25,'Unit Economics'!$E$15:$E$20,Inputs!$H$57:$H$62)*AE37</f>
        <v/>
      </c>
      <c r="AF38" s="35">
        <f>SUMPRODUCT(AF20:AF25,'Unit Economics'!$E$15:$E$20,Inputs!$H$57:$H$62)*AF37</f>
        <v/>
      </c>
      <c r="AG38" s="35">
        <f>SUMPRODUCT(AG20:AG25,'Unit Economics'!$E$15:$E$20,Inputs!$H$57:$H$62)*AG37</f>
        <v/>
      </c>
      <c r="AH38" s="35">
        <f>SUMPRODUCT(AH20:AH25,'Unit Economics'!$E$15:$E$20,Inputs!$H$57:$H$62)*AH37</f>
        <v/>
      </c>
      <c r="AI38" s="35">
        <f>SUMPRODUCT(AI20:AI25,'Unit Economics'!$E$15:$E$20,Inputs!$H$57:$H$62)*AI37</f>
        <v/>
      </c>
      <c r="AJ38" s="35">
        <f>SUMPRODUCT(AJ20:AJ25,'Unit Economics'!$E$15:$E$20,Inputs!$H$57:$H$62)*AJ37</f>
        <v/>
      </c>
      <c r="AK38" s="35">
        <f>SUMPRODUCT(AK20:AK25,'Unit Economics'!$E$15:$E$20,Inputs!$H$57:$H$62)*AK37</f>
        <v/>
      </c>
      <c r="AL38" s="35">
        <f>SUMPRODUCT(AL20:AL25,'Unit Economics'!$E$15:$E$20,Inputs!$H$57:$H$62)*AL37</f>
        <v/>
      </c>
      <c r="AM38" s="35">
        <f>SUMPRODUCT(AM20:AM25,'Unit Economics'!$E$15:$E$20,Inputs!$H$57:$H$62)*AM37</f>
        <v/>
      </c>
      <c r="AO38" s="35">
        <f>SUM(D38:O38)</f>
        <v/>
      </c>
      <c r="AP38" s="35">
        <f>SUM(P38:AA38)</f>
        <v/>
      </c>
      <c r="AQ38" s="35">
        <f>SUM(AB38:AM38)</f>
        <v/>
      </c>
    </row>
    <row r="39">
      <c r="A39" s="5" t="inlineStr">
        <is>
          <t>New-customer orders from organic + referral</t>
        </is>
      </c>
      <c r="B39" s="2" t="inlineStr">
        <is>
          <t>#</t>
        </is>
      </c>
      <c r="D39" s="35">
        <f>D34*Inputs!$B$13*Inputs!$B$14*D37</f>
        <v/>
      </c>
      <c r="E39" s="35">
        <f>E34*Inputs!$B$13*Inputs!$B$14*E37</f>
        <v/>
      </c>
      <c r="F39" s="35">
        <f>F34*Inputs!$B$13*Inputs!$B$14*F37</f>
        <v/>
      </c>
      <c r="G39" s="35">
        <f>G34*Inputs!$B$13*Inputs!$B$14*G37</f>
        <v/>
      </c>
      <c r="H39" s="35">
        <f>H34*Inputs!$B$13*Inputs!$B$14*H37</f>
        <v/>
      </c>
      <c r="I39" s="35">
        <f>I34*Inputs!$B$13*Inputs!$B$14*I37</f>
        <v/>
      </c>
      <c r="J39" s="35">
        <f>J34*Inputs!$B$13*Inputs!$B$14*J37</f>
        <v/>
      </c>
      <c r="K39" s="35">
        <f>K34*Inputs!$B$13*Inputs!$B$14*K37</f>
        <v/>
      </c>
      <c r="L39" s="35">
        <f>L34*Inputs!$B$13*Inputs!$B$14*L37</f>
        <v/>
      </c>
      <c r="M39" s="35">
        <f>M34*Inputs!$B$13*Inputs!$B$14*M37</f>
        <v/>
      </c>
      <c r="N39" s="35">
        <f>N34*Inputs!$B$13*Inputs!$B$14*N37</f>
        <v/>
      </c>
      <c r="O39" s="35">
        <f>O34*Inputs!$B$13*Inputs!$B$14*O37</f>
        <v/>
      </c>
      <c r="P39" s="35">
        <f>P34*Inputs!$B$13*Inputs!$B$14*P37</f>
        <v/>
      </c>
      <c r="Q39" s="35">
        <f>Q34*Inputs!$B$13*Inputs!$B$14*Q37</f>
        <v/>
      </c>
      <c r="R39" s="35">
        <f>R34*Inputs!$B$13*Inputs!$B$14*R37</f>
        <v/>
      </c>
      <c r="S39" s="35">
        <f>S34*Inputs!$B$13*Inputs!$B$14*S37</f>
        <v/>
      </c>
      <c r="T39" s="35">
        <f>T34*Inputs!$B$13*Inputs!$B$14*T37</f>
        <v/>
      </c>
      <c r="U39" s="35">
        <f>U34*Inputs!$B$13*Inputs!$B$14*U37</f>
        <v/>
      </c>
      <c r="V39" s="35">
        <f>V34*Inputs!$B$13*Inputs!$B$14*V37</f>
        <v/>
      </c>
      <c r="W39" s="35">
        <f>W34*Inputs!$B$13*Inputs!$B$14*W37</f>
        <v/>
      </c>
      <c r="X39" s="35">
        <f>X34*Inputs!$B$13*Inputs!$B$14*X37</f>
        <v/>
      </c>
      <c r="Y39" s="35">
        <f>Y34*Inputs!$B$13*Inputs!$B$14*Y37</f>
        <v/>
      </c>
      <c r="Z39" s="35">
        <f>Z34*Inputs!$B$13*Inputs!$B$14*Z37</f>
        <v/>
      </c>
      <c r="AA39" s="35">
        <f>AA34*Inputs!$B$13*Inputs!$B$14*AA37</f>
        <v/>
      </c>
      <c r="AB39" s="35">
        <f>AB34*Inputs!$B$13*Inputs!$B$14*AB37</f>
        <v/>
      </c>
      <c r="AC39" s="35">
        <f>AC34*Inputs!$B$13*Inputs!$B$14*AC37</f>
        <v/>
      </c>
      <c r="AD39" s="35">
        <f>AD34*Inputs!$B$13*Inputs!$B$14*AD37</f>
        <v/>
      </c>
      <c r="AE39" s="35">
        <f>AE34*Inputs!$B$13*Inputs!$B$14*AE37</f>
        <v/>
      </c>
      <c r="AF39" s="35">
        <f>AF34*Inputs!$B$13*Inputs!$B$14*AF37</f>
        <v/>
      </c>
      <c r="AG39" s="35">
        <f>AG34*Inputs!$B$13*Inputs!$B$14*AG37</f>
        <v/>
      </c>
      <c r="AH39" s="35">
        <f>AH34*Inputs!$B$13*Inputs!$B$14*AH37</f>
        <v/>
      </c>
      <c r="AI39" s="35">
        <f>AI34*Inputs!$B$13*Inputs!$B$14*AI37</f>
        <v/>
      </c>
      <c r="AJ39" s="35">
        <f>AJ34*Inputs!$B$13*Inputs!$B$14*AJ37</f>
        <v/>
      </c>
      <c r="AK39" s="35">
        <f>AK34*Inputs!$B$13*Inputs!$B$14*AK37</f>
        <v/>
      </c>
      <c r="AL39" s="35">
        <f>AL34*Inputs!$B$13*Inputs!$B$14*AL37</f>
        <v/>
      </c>
      <c r="AM39" s="35">
        <f>AM34*Inputs!$B$13*Inputs!$B$14*AM37</f>
        <v/>
      </c>
      <c r="AO39" s="35">
        <f>SUM(D39:O39)</f>
        <v/>
      </c>
      <c r="AP39" s="35">
        <f>SUM(P39:AA39)</f>
        <v/>
      </c>
      <c r="AQ39" s="35">
        <f>SUM(AB39:AM39)</f>
        <v/>
      </c>
    </row>
    <row r="40">
      <c r="A40" s="3" t="inlineStr">
        <is>
          <t>New-customer orders</t>
        </is>
      </c>
      <c r="B40" s="2" t="inlineStr">
        <is>
          <t>#</t>
        </is>
      </c>
      <c r="D40" s="38">
        <f>D38+D39</f>
        <v/>
      </c>
      <c r="E40" s="38">
        <f>E38+E39</f>
        <v/>
      </c>
      <c r="F40" s="38">
        <f>F38+F39</f>
        <v/>
      </c>
      <c r="G40" s="38">
        <f>G38+G39</f>
        <v/>
      </c>
      <c r="H40" s="38">
        <f>H38+H39</f>
        <v/>
      </c>
      <c r="I40" s="38">
        <f>I38+I39</f>
        <v/>
      </c>
      <c r="J40" s="38">
        <f>J38+J39</f>
        <v/>
      </c>
      <c r="K40" s="38">
        <f>K38+K39</f>
        <v/>
      </c>
      <c r="L40" s="38">
        <f>L38+L39</f>
        <v/>
      </c>
      <c r="M40" s="38">
        <f>M38+M39</f>
        <v/>
      </c>
      <c r="N40" s="38">
        <f>N38+N39</f>
        <v/>
      </c>
      <c r="O40" s="38">
        <f>O38+O39</f>
        <v/>
      </c>
      <c r="P40" s="38">
        <f>P38+P39</f>
        <v/>
      </c>
      <c r="Q40" s="38">
        <f>Q38+Q39</f>
        <v/>
      </c>
      <c r="R40" s="38">
        <f>R38+R39</f>
        <v/>
      </c>
      <c r="S40" s="38">
        <f>S38+S39</f>
        <v/>
      </c>
      <c r="T40" s="38">
        <f>T38+T39</f>
        <v/>
      </c>
      <c r="U40" s="38">
        <f>U38+U39</f>
        <v/>
      </c>
      <c r="V40" s="38">
        <f>V38+V39</f>
        <v/>
      </c>
      <c r="W40" s="38">
        <f>W38+W39</f>
        <v/>
      </c>
      <c r="X40" s="38">
        <f>X38+X39</f>
        <v/>
      </c>
      <c r="Y40" s="38">
        <f>Y38+Y39</f>
        <v/>
      </c>
      <c r="Z40" s="38">
        <f>Z38+Z39</f>
        <v/>
      </c>
      <c r="AA40" s="38">
        <f>AA38+AA39</f>
        <v/>
      </c>
      <c r="AB40" s="38">
        <f>AB38+AB39</f>
        <v/>
      </c>
      <c r="AC40" s="38">
        <f>AC38+AC39</f>
        <v/>
      </c>
      <c r="AD40" s="38">
        <f>AD38+AD39</f>
        <v/>
      </c>
      <c r="AE40" s="38">
        <f>AE38+AE39</f>
        <v/>
      </c>
      <c r="AF40" s="38">
        <f>AF38+AF39</f>
        <v/>
      </c>
      <c r="AG40" s="38">
        <f>AG38+AG39</f>
        <v/>
      </c>
      <c r="AH40" s="38">
        <f>AH38+AH39</f>
        <v/>
      </c>
      <c r="AI40" s="38">
        <f>AI38+AI39</f>
        <v/>
      </c>
      <c r="AJ40" s="38">
        <f>AJ38+AJ39</f>
        <v/>
      </c>
      <c r="AK40" s="38">
        <f>AK38+AK39</f>
        <v/>
      </c>
      <c r="AL40" s="38">
        <f>AL38+AL39</f>
        <v/>
      </c>
      <c r="AM40" s="38">
        <f>AM38+AM39</f>
        <v/>
      </c>
      <c r="AO40" s="38">
        <f>SUM(D40:O40)</f>
        <v/>
      </c>
      <c r="AP40" s="38">
        <f>SUM(P40:AA40)</f>
        <v/>
      </c>
      <c r="AQ40" s="38">
        <f>SUM(AB40:AM40)</f>
        <v/>
      </c>
    </row>
    <row r="41">
      <c r="A41" s="5" t="inlineStr">
        <is>
          <t>Cumulative customers</t>
        </is>
      </c>
      <c r="B41" s="2" t="inlineStr">
        <is>
          <t>#</t>
        </is>
      </c>
      <c r="C41" s="35" t="n">
        <v>0</v>
      </c>
      <c r="D41" s="35">
        <f>C41+D40</f>
        <v/>
      </c>
      <c r="E41" s="35">
        <f>D41+E40</f>
        <v/>
      </c>
      <c r="F41" s="35">
        <f>E41+F40</f>
        <v/>
      </c>
      <c r="G41" s="35">
        <f>F41+G40</f>
        <v/>
      </c>
      <c r="H41" s="35">
        <f>G41+H40</f>
        <v/>
      </c>
      <c r="I41" s="35">
        <f>H41+I40</f>
        <v/>
      </c>
      <c r="J41" s="35">
        <f>I41+J40</f>
        <v/>
      </c>
      <c r="K41" s="35">
        <f>J41+K40</f>
        <v/>
      </c>
      <c r="L41" s="35">
        <f>K41+L40</f>
        <v/>
      </c>
      <c r="M41" s="35">
        <f>L41+M40</f>
        <v/>
      </c>
      <c r="N41" s="35">
        <f>M41+N40</f>
        <v/>
      </c>
      <c r="O41" s="35">
        <f>N41+O40</f>
        <v/>
      </c>
      <c r="P41" s="35">
        <f>O41+P40</f>
        <v/>
      </c>
      <c r="Q41" s="35">
        <f>P41+Q40</f>
        <v/>
      </c>
      <c r="R41" s="35">
        <f>Q41+R40</f>
        <v/>
      </c>
      <c r="S41" s="35">
        <f>R41+S40</f>
        <v/>
      </c>
      <c r="T41" s="35">
        <f>S41+T40</f>
        <v/>
      </c>
      <c r="U41" s="35">
        <f>T41+U40</f>
        <v/>
      </c>
      <c r="V41" s="35">
        <f>U41+V40</f>
        <v/>
      </c>
      <c r="W41" s="35">
        <f>V41+W40</f>
        <v/>
      </c>
      <c r="X41" s="35">
        <f>W41+X40</f>
        <v/>
      </c>
      <c r="Y41" s="35">
        <f>X41+Y40</f>
        <v/>
      </c>
      <c r="Z41" s="35">
        <f>Y41+Z40</f>
        <v/>
      </c>
      <c r="AA41" s="35">
        <f>Z41+AA40</f>
        <v/>
      </c>
      <c r="AB41" s="35">
        <f>AA41+AB40</f>
        <v/>
      </c>
      <c r="AC41" s="35">
        <f>AB41+AC40</f>
        <v/>
      </c>
      <c r="AD41" s="35">
        <f>AC41+AD40</f>
        <v/>
      </c>
      <c r="AE41" s="35">
        <f>AD41+AE40</f>
        <v/>
      </c>
      <c r="AF41" s="35">
        <f>AE41+AF40</f>
        <v/>
      </c>
      <c r="AG41" s="35">
        <f>AF41+AG40</f>
        <v/>
      </c>
      <c r="AH41" s="35">
        <f>AG41+AH40</f>
        <v/>
      </c>
      <c r="AI41" s="35">
        <f>AH41+AI40</f>
        <v/>
      </c>
      <c r="AJ41" s="35">
        <f>AI41+AJ40</f>
        <v/>
      </c>
      <c r="AK41" s="35">
        <f>AJ41+AK40</f>
        <v/>
      </c>
      <c r="AL41" s="35">
        <f>AK41+AL40</f>
        <v/>
      </c>
      <c r="AM41" s="35">
        <f>AL41+AM40</f>
        <v/>
      </c>
      <c r="AO41" s="35">
        <f>O41</f>
        <v/>
      </c>
      <c r="AP41" s="35">
        <f>AA41</f>
        <v/>
      </c>
      <c r="AQ41" s="35">
        <f>AM41</f>
        <v/>
      </c>
    </row>
    <row r="42">
      <c r="A42" s="5" t="inlineStr">
        <is>
          <t>Repeat orders</t>
        </is>
      </c>
      <c r="B42" s="2" t="inlineStr">
        <is>
          <t>#</t>
        </is>
      </c>
      <c r="D42" s="35">
        <f>C41*Inputs!$B$32/12*Scenarios!$B$9*D9</f>
        <v/>
      </c>
      <c r="E42" s="35">
        <f>D41*Inputs!$B$32/12*Scenarios!$B$9*E9</f>
        <v/>
      </c>
      <c r="F42" s="35">
        <f>E41*Inputs!$B$32/12*Scenarios!$B$9*F9</f>
        <v/>
      </c>
      <c r="G42" s="35">
        <f>F41*Inputs!$B$32/12*Scenarios!$B$9*G9</f>
        <v/>
      </c>
      <c r="H42" s="35">
        <f>G41*Inputs!$B$32/12*Scenarios!$B$9*H9</f>
        <v/>
      </c>
      <c r="I42" s="35">
        <f>H41*Inputs!$B$32/12*Scenarios!$B$9*I9</f>
        <v/>
      </c>
      <c r="J42" s="35">
        <f>I41*Inputs!$B$32/12*Scenarios!$B$9*J9</f>
        <v/>
      </c>
      <c r="K42" s="35">
        <f>J41*Inputs!$B$32/12*Scenarios!$B$9*K9</f>
        <v/>
      </c>
      <c r="L42" s="35">
        <f>K41*Inputs!$B$32/12*Scenarios!$B$9*L9</f>
        <v/>
      </c>
      <c r="M42" s="35">
        <f>L41*Inputs!$B$32/12*Scenarios!$B$9*M9</f>
        <v/>
      </c>
      <c r="N42" s="35">
        <f>M41*Inputs!$B$32/12*Scenarios!$B$9*N9</f>
        <v/>
      </c>
      <c r="O42" s="35">
        <f>N41*Inputs!$B$32/12*Scenarios!$B$9*O9</f>
        <v/>
      </c>
      <c r="P42" s="35">
        <f>O41*Inputs!$B$32/12*Scenarios!$B$9*P9</f>
        <v/>
      </c>
      <c r="Q42" s="35">
        <f>P41*Inputs!$B$32/12*Scenarios!$B$9*Q9</f>
        <v/>
      </c>
      <c r="R42" s="35">
        <f>Q41*Inputs!$B$32/12*Scenarios!$B$9*R9</f>
        <v/>
      </c>
      <c r="S42" s="35">
        <f>R41*Inputs!$B$32/12*Scenarios!$B$9*S9</f>
        <v/>
      </c>
      <c r="T42" s="35">
        <f>S41*Inputs!$B$32/12*Scenarios!$B$9*T9</f>
        <v/>
      </c>
      <c r="U42" s="35">
        <f>T41*Inputs!$B$32/12*Scenarios!$B$9*U9</f>
        <v/>
      </c>
      <c r="V42" s="35">
        <f>U41*Inputs!$B$32/12*Scenarios!$B$9*V9</f>
        <v/>
      </c>
      <c r="W42" s="35">
        <f>V41*Inputs!$B$32/12*Scenarios!$B$9*W9</f>
        <v/>
      </c>
      <c r="X42" s="35">
        <f>W41*Inputs!$B$32/12*Scenarios!$B$9*X9</f>
        <v/>
      </c>
      <c r="Y42" s="35">
        <f>X41*Inputs!$B$32/12*Scenarios!$B$9*Y9</f>
        <v/>
      </c>
      <c r="Z42" s="35">
        <f>Y41*Inputs!$B$32/12*Scenarios!$B$9*Z9</f>
        <v/>
      </c>
      <c r="AA42" s="35">
        <f>Z41*Inputs!$B$32/12*Scenarios!$B$9*AA9</f>
        <v/>
      </c>
      <c r="AB42" s="35">
        <f>AA41*Inputs!$B$32/12*Scenarios!$B$9*AB9</f>
        <v/>
      </c>
      <c r="AC42" s="35">
        <f>AB41*Inputs!$B$32/12*Scenarios!$B$9*AC9</f>
        <v/>
      </c>
      <c r="AD42" s="35">
        <f>AC41*Inputs!$B$32/12*Scenarios!$B$9*AD9</f>
        <v/>
      </c>
      <c r="AE42" s="35">
        <f>AD41*Inputs!$B$32/12*Scenarios!$B$9*AE9</f>
        <v/>
      </c>
      <c r="AF42" s="35">
        <f>AE41*Inputs!$B$32/12*Scenarios!$B$9*AF9</f>
        <v/>
      </c>
      <c r="AG42" s="35">
        <f>AF41*Inputs!$B$32/12*Scenarios!$B$9*AG9</f>
        <v/>
      </c>
      <c r="AH42" s="35">
        <f>AG41*Inputs!$B$32/12*Scenarios!$B$9*AH9</f>
        <v/>
      </c>
      <c r="AI42" s="35">
        <f>AH41*Inputs!$B$32/12*Scenarios!$B$9*AI9</f>
        <v/>
      </c>
      <c r="AJ42" s="35">
        <f>AI41*Inputs!$B$32/12*Scenarios!$B$9*AJ9</f>
        <v/>
      </c>
      <c r="AK42" s="35">
        <f>AJ41*Inputs!$B$32/12*Scenarios!$B$9*AK9</f>
        <v/>
      </c>
      <c r="AL42" s="35">
        <f>AK41*Inputs!$B$32/12*Scenarios!$B$9*AL9</f>
        <v/>
      </c>
      <c r="AM42" s="35">
        <f>AL41*Inputs!$B$32/12*Scenarios!$B$9*AM9</f>
        <v/>
      </c>
      <c r="AO42" s="35">
        <f>SUM(D42:O42)</f>
        <v/>
      </c>
      <c r="AP42" s="35">
        <f>SUM(P42:AA42)</f>
        <v/>
      </c>
      <c r="AQ42" s="35">
        <f>SUM(AB42:AM42)</f>
        <v/>
      </c>
    </row>
    <row r="43">
      <c r="A43" s="3" t="inlineStr">
        <is>
          <t>Total orders</t>
        </is>
      </c>
      <c r="B43" s="2" t="inlineStr">
        <is>
          <t>#</t>
        </is>
      </c>
      <c r="D43" s="38">
        <f>D40+D42</f>
        <v/>
      </c>
      <c r="E43" s="38">
        <f>E40+E42</f>
        <v/>
      </c>
      <c r="F43" s="38">
        <f>F40+F42</f>
        <v/>
      </c>
      <c r="G43" s="38">
        <f>G40+G42</f>
        <v/>
      </c>
      <c r="H43" s="38">
        <f>H40+H42</f>
        <v/>
      </c>
      <c r="I43" s="38">
        <f>I40+I42</f>
        <v/>
      </c>
      <c r="J43" s="38">
        <f>J40+J42</f>
        <v/>
      </c>
      <c r="K43" s="38">
        <f>K40+K42</f>
        <v/>
      </c>
      <c r="L43" s="38">
        <f>L40+L42</f>
        <v/>
      </c>
      <c r="M43" s="38">
        <f>M40+M42</f>
        <v/>
      </c>
      <c r="N43" s="38">
        <f>N40+N42</f>
        <v/>
      </c>
      <c r="O43" s="38">
        <f>O40+O42</f>
        <v/>
      </c>
      <c r="P43" s="38">
        <f>P40+P42</f>
        <v/>
      </c>
      <c r="Q43" s="38">
        <f>Q40+Q42</f>
        <v/>
      </c>
      <c r="R43" s="38">
        <f>R40+R42</f>
        <v/>
      </c>
      <c r="S43" s="38">
        <f>S40+S42</f>
        <v/>
      </c>
      <c r="T43" s="38">
        <f>T40+T42</f>
        <v/>
      </c>
      <c r="U43" s="38">
        <f>U40+U42</f>
        <v/>
      </c>
      <c r="V43" s="38">
        <f>V40+V42</f>
        <v/>
      </c>
      <c r="W43" s="38">
        <f>W40+W42</f>
        <v/>
      </c>
      <c r="X43" s="38">
        <f>X40+X42</f>
        <v/>
      </c>
      <c r="Y43" s="38">
        <f>Y40+Y42</f>
        <v/>
      </c>
      <c r="Z43" s="38">
        <f>Z40+Z42</f>
        <v/>
      </c>
      <c r="AA43" s="38">
        <f>AA40+AA42</f>
        <v/>
      </c>
      <c r="AB43" s="38">
        <f>AB40+AB42</f>
        <v/>
      </c>
      <c r="AC43" s="38">
        <f>AC40+AC42</f>
        <v/>
      </c>
      <c r="AD43" s="38">
        <f>AD40+AD42</f>
        <v/>
      </c>
      <c r="AE43" s="38">
        <f>AE40+AE42</f>
        <v/>
      </c>
      <c r="AF43" s="38">
        <f>AF40+AF42</f>
        <v/>
      </c>
      <c r="AG43" s="38">
        <f>AG40+AG42</f>
        <v/>
      </c>
      <c r="AH43" s="38">
        <f>AH40+AH42</f>
        <v/>
      </c>
      <c r="AI43" s="38">
        <f>AI40+AI42</f>
        <v/>
      </c>
      <c r="AJ43" s="38">
        <f>AJ40+AJ42</f>
        <v/>
      </c>
      <c r="AK43" s="38">
        <f>AK40+AK42</f>
        <v/>
      </c>
      <c r="AL43" s="38">
        <f>AL40+AL42</f>
        <v/>
      </c>
      <c r="AM43" s="38">
        <f>AM40+AM42</f>
        <v/>
      </c>
      <c r="AO43" s="38">
        <f>SUM(D43:O43)</f>
        <v/>
      </c>
      <c r="AP43" s="38">
        <f>SUM(P43:AA43)</f>
        <v/>
      </c>
      <c r="AQ43" s="38">
        <f>SUM(AB43:AM43)</f>
        <v/>
      </c>
    </row>
    <row r="44">
      <c r="A44" s="5" t="inlineStr">
        <is>
          <t>Items sold</t>
        </is>
      </c>
      <c r="B44" s="2" t="inlineStr">
        <is>
          <t>#</t>
        </is>
      </c>
      <c r="C44" s="35" t="n">
        <v>0</v>
      </c>
      <c r="D44" s="35">
        <f>D43*Inputs!$B$9</f>
        <v/>
      </c>
      <c r="E44" s="35">
        <f>E43*Inputs!$B$9</f>
        <v/>
      </c>
      <c r="F44" s="35">
        <f>F43*Inputs!$B$9</f>
        <v/>
      </c>
      <c r="G44" s="35">
        <f>G43*Inputs!$B$9</f>
        <v/>
      </c>
      <c r="H44" s="35">
        <f>H43*Inputs!$B$9</f>
        <v/>
      </c>
      <c r="I44" s="35">
        <f>I43*Inputs!$B$9</f>
        <v/>
      </c>
      <c r="J44" s="35">
        <f>J43*Inputs!$B$9</f>
        <v/>
      </c>
      <c r="K44" s="35">
        <f>K43*Inputs!$B$9</f>
        <v/>
      </c>
      <c r="L44" s="35">
        <f>L43*Inputs!$B$9</f>
        <v/>
      </c>
      <c r="M44" s="35">
        <f>M43*Inputs!$B$9</f>
        <v/>
      </c>
      <c r="N44" s="35">
        <f>N43*Inputs!$B$9</f>
        <v/>
      </c>
      <c r="O44" s="35">
        <f>O43*Inputs!$B$9</f>
        <v/>
      </c>
      <c r="P44" s="35">
        <f>P43*Inputs!$B$9</f>
        <v/>
      </c>
      <c r="Q44" s="35">
        <f>Q43*Inputs!$B$9</f>
        <v/>
      </c>
      <c r="R44" s="35">
        <f>R43*Inputs!$B$9</f>
        <v/>
      </c>
      <c r="S44" s="35">
        <f>S43*Inputs!$B$9</f>
        <v/>
      </c>
      <c r="T44" s="35">
        <f>T43*Inputs!$B$9</f>
        <v/>
      </c>
      <c r="U44" s="35">
        <f>U43*Inputs!$B$9</f>
        <v/>
      </c>
      <c r="V44" s="35">
        <f>V43*Inputs!$B$9</f>
        <v/>
      </c>
      <c r="W44" s="35">
        <f>W43*Inputs!$B$9</f>
        <v/>
      </c>
      <c r="X44" s="35">
        <f>X43*Inputs!$B$9</f>
        <v/>
      </c>
      <c r="Y44" s="35">
        <f>Y43*Inputs!$B$9</f>
        <v/>
      </c>
      <c r="Z44" s="35">
        <f>Z43*Inputs!$B$9</f>
        <v/>
      </c>
      <c r="AA44" s="35">
        <f>AA43*Inputs!$B$9</f>
        <v/>
      </c>
      <c r="AB44" s="35">
        <f>AB43*Inputs!$B$9</f>
        <v/>
      </c>
      <c r="AC44" s="35">
        <f>AC43*Inputs!$B$9</f>
        <v/>
      </c>
      <c r="AD44" s="35">
        <f>AD43*Inputs!$B$9</f>
        <v/>
      </c>
      <c r="AE44" s="35">
        <f>AE43*Inputs!$B$9</f>
        <v/>
      </c>
      <c r="AF44" s="35">
        <f>AF43*Inputs!$B$9</f>
        <v/>
      </c>
      <c r="AG44" s="35">
        <f>AG43*Inputs!$B$9</f>
        <v/>
      </c>
      <c r="AH44" s="35">
        <f>AH43*Inputs!$B$9</f>
        <v/>
      </c>
      <c r="AI44" s="35">
        <f>AI43*Inputs!$B$9</f>
        <v/>
      </c>
      <c r="AJ44" s="35">
        <f>AJ43*Inputs!$B$9</f>
        <v/>
      </c>
      <c r="AK44" s="35">
        <f>AK43*Inputs!$B$9</f>
        <v/>
      </c>
      <c r="AL44" s="35">
        <f>AL43*Inputs!$B$9</f>
        <v/>
      </c>
      <c r="AM44" s="35">
        <f>AM43*Inputs!$B$9</f>
        <v/>
      </c>
      <c r="AO44" s="35">
        <f>SUM(D44:O44)</f>
        <v/>
      </c>
      <c r="AP44" s="35">
        <f>SUM(P44:AA44)</f>
        <v/>
      </c>
      <c r="AQ44" s="35">
        <f>SUM(AB44:AM44)</f>
        <v/>
      </c>
    </row>
    <row r="45">
      <c r="A45" s="5" t="inlineStr">
        <is>
          <t>Visit -&gt; new order conversion</t>
        </is>
      </c>
      <c r="B45" s="2" t="inlineStr">
        <is>
          <t>%</t>
        </is>
      </c>
      <c r="D45" s="27">
        <f>IFERROR(D40/D30,0)</f>
        <v/>
      </c>
      <c r="E45" s="27">
        <f>IFERROR(E40/E30,0)</f>
        <v/>
      </c>
      <c r="F45" s="27">
        <f>IFERROR(F40/F30,0)</f>
        <v/>
      </c>
      <c r="G45" s="27">
        <f>IFERROR(G40/G30,0)</f>
        <v/>
      </c>
      <c r="H45" s="27">
        <f>IFERROR(H40/H30,0)</f>
        <v/>
      </c>
      <c r="I45" s="27">
        <f>IFERROR(I40/I30,0)</f>
        <v/>
      </c>
      <c r="J45" s="27">
        <f>IFERROR(J40/J30,0)</f>
        <v/>
      </c>
      <c r="K45" s="27">
        <f>IFERROR(K40/K30,0)</f>
        <v/>
      </c>
      <c r="L45" s="27">
        <f>IFERROR(L40/L30,0)</f>
        <v/>
      </c>
      <c r="M45" s="27">
        <f>IFERROR(M40/M30,0)</f>
        <v/>
      </c>
      <c r="N45" s="27">
        <f>IFERROR(N40/N30,0)</f>
        <v/>
      </c>
      <c r="O45" s="27">
        <f>IFERROR(O40/O30,0)</f>
        <v/>
      </c>
      <c r="P45" s="27">
        <f>IFERROR(P40/P30,0)</f>
        <v/>
      </c>
      <c r="Q45" s="27">
        <f>IFERROR(Q40/Q30,0)</f>
        <v/>
      </c>
      <c r="R45" s="27">
        <f>IFERROR(R40/R30,0)</f>
        <v/>
      </c>
      <c r="S45" s="27">
        <f>IFERROR(S40/S30,0)</f>
        <v/>
      </c>
      <c r="T45" s="27">
        <f>IFERROR(T40/T30,0)</f>
        <v/>
      </c>
      <c r="U45" s="27">
        <f>IFERROR(U40/U30,0)</f>
        <v/>
      </c>
      <c r="V45" s="27">
        <f>IFERROR(V40/V30,0)</f>
        <v/>
      </c>
      <c r="W45" s="27">
        <f>IFERROR(W40/W30,0)</f>
        <v/>
      </c>
      <c r="X45" s="27">
        <f>IFERROR(X40/X30,0)</f>
        <v/>
      </c>
      <c r="Y45" s="27">
        <f>IFERROR(Y40/Y30,0)</f>
        <v/>
      </c>
      <c r="Z45" s="27">
        <f>IFERROR(Z40/Z30,0)</f>
        <v/>
      </c>
      <c r="AA45" s="27">
        <f>IFERROR(AA40/AA30,0)</f>
        <v/>
      </c>
      <c r="AB45" s="27">
        <f>IFERROR(AB40/AB30,0)</f>
        <v/>
      </c>
      <c r="AC45" s="27">
        <f>IFERROR(AC40/AC30,0)</f>
        <v/>
      </c>
      <c r="AD45" s="27">
        <f>IFERROR(AD40/AD30,0)</f>
        <v/>
      </c>
      <c r="AE45" s="27">
        <f>IFERROR(AE40/AE30,0)</f>
        <v/>
      </c>
      <c r="AF45" s="27">
        <f>IFERROR(AF40/AF30,0)</f>
        <v/>
      </c>
      <c r="AG45" s="27">
        <f>IFERROR(AG40/AG30,0)</f>
        <v/>
      </c>
      <c r="AH45" s="27">
        <f>IFERROR(AH40/AH30,0)</f>
        <v/>
      </c>
      <c r="AI45" s="27">
        <f>IFERROR(AI40/AI30,0)</f>
        <v/>
      </c>
      <c r="AJ45" s="27">
        <f>IFERROR(AJ40/AJ30,0)</f>
        <v/>
      </c>
      <c r="AK45" s="27">
        <f>IFERROR(AK40/AK30,0)</f>
        <v/>
      </c>
      <c r="AL45" s="27">
        <f>IFERROR(AL40/AL30,0)</f>
        <v/>
      </c>
      <c r="AM45" s="27">
        <f>IFERROR(AM40/AM30,0)</f>
        <v/>
      </c>
      <c r="AO45" s="27">
        <f>IFERROR(AO40/AO30,0)</f>
        <v/>
      </c>
      <c r="AP45" s="27">
        <f>IFERROR(AP40/AP30,0)</f>
        <v/>
      </c>
      <c r="AQ45" s="27">
        <f>IFERROR(AQ40/AQ30,0)</f>
        <v/>
      </c>
    </row>
    <row r="46">
      <c r="A46" s="7" t="inlineStr">
        <is>
          <t>ITEMS BY SKU (product mix)</t>
        </is>
      </c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</row>
    <row r="47">
      <c r="A47" s="5">
        <f>"  Items - "&amp;Inputs!A47</f>
        <v/>
      </c>
      <c r="B47" s="2" t="inlineStr">
        <is>
          <t>#</t>
        </is>
      </c>
      <c r="D47" s="35">
        <f>D44*Inputs!$G$47</f>
        <v/>
      </c>
      <c r="E47" s="35">
        <f>E44*Inputs!$G$47</f>
        <v/>
      </c>
      <c r="F47" s="35">
        <f>F44*Inputs!$G$47</f>
        <v/>
      </c>
      <c r="G47" s="35">
        <f>G44*Inputs!$G$47</f>
        <v/>
      </c>
      <c r="H47" s="35">
        <f>H44*Inputs!$G$47</f>
        <v/>
      </c>
      <c r="I47" s="35">
        <f>I44*Inputs!$G$47</f>
        <v/>
      </c>
      <c r="J47" s="35">
        <f>J44*Inputs!$G$47</f>
        <v/>
      </c>
      <c r="K47" s="35">
        <f>K44*Inputs!$G$47</f>
        <v/>
      </c>
      <c r="L47" s="35">
        <f>L44*Inputs!$G$47</f>
        <v/>
      </c>
      <c r="M47" s="35">
        <f>M44*Inputs!$G$47</f>
        <v/>
      </c>
      <c r="N47" s="35">
        <f>N44*Inputs!$G$47</f>
        <v/>
      </c>
      <c r="O47" s="35">
        <f>O44*Inputs!$G$47</f>
        <v/>
      </c>
      <c r="P47" s="35">
        <f>P44*Inputs!$G$47</f>
        <v/>
      </c>
      <c r="Q47" s="35">
        <f>Q44*Inputs!$G$47</f>
        <v/>
      </c>
      <c r="R47" s="35">
        <f>R44*Inputs!$G$47</f>
        <v/>
      </c>
      <c r="S47" s="35">
        <f>S44*Inputs!$G$47</f>
        <v/>
      </c>
      <c r="T47" s="35">
        <f>T44*Inputs!$G$47</f>
        <v/>
      </c>
      <c r="U47" s="35">
        <f>U44*Inputs!$G$47</f>
        <v/>
      </c>
      <c r="V47" s="35">
        <f>V44*Inputs!$G$47</f>
        <v/>
      </c>
      <c r="W47" s="35">
        <f>W44*Inputs!$G$47</f>
        <v/>
      </c>
      <c r="X47" s="35">
        <f>X44*Inputs!$G$47</f>
        <v/>
      </c>
      <c r="Y47" s="35">
        <f>Y44*Inputs!$G$47</f>
        <v/>
      </c>
      <c r="Z47" s="35">
        <f>Z44*Inputs!$G$47</f>
        <v/>
      </c>
      <c r="AA47" s="35">
        <f>AA44*Inputs!$G$47</f>
        <v/>
      </c>
      <c r="AB47" s="35">
        <f>AB44*Inputs!$G$47</f>
        <v/>
      </c>
      <c r="AC47" s="35">
        <f>AC44*Inputs!$G$47</f>
        <v/>
      </c>
      <c r="AD47" s="35">
        <f>AD44*Inputs!$G$47</f>
        <v/>
      </c>
      <c r="AE47" s="35">
        <f>AE44*Inputs!$G$47</f>
        <v/>
      </c>
      <c r="AF47" s="35">
        <f>AF44*Inputs!$G$47</f>
        <v/>
      </c>
      <c r="AG47" s="35">
        <f>AG44*Inputs!$G$47</f>
        <v/>
      </c>
      <c r="AH47" s="35">
        <f>AH44*Inputs!$G$47</f>
        <v/>
      </c>
      <c r="AI47" s="35">
        <f>AI44*Inputs!$G$47</f>
        <v/>
      </c>
      <c r="AJ47" s="35">
        <f>AJ44*Inputs!$G$47</f>
        <v/>
      </c>
      <c r="AK47" s="35">
        <f>AK44*Inputs!$G$47</f>
        <v/>
      </c>
      <c r="AL47" s="35">
        <f>AL44*Inputs!$G$47</f>
        <v/>
      </c>
      <c r="AM47" s="35">
        <f>AM44*Inputs!$G$47</f>
        <v/>
      </c>
      <c r="AO47" s="35">
        <f>SUM(D47:O47)</f>
        <v/>
      </c>
      <c r="AP47" s="35">
        <f>SUM(P47:AA47)</f>
        <v/>
      </c>
      <c r="AQ47" s="35">
        <f>SUM(AB47:AM47)</f>
        <v/>
      </c>
    </row>
    <row r="48">
      <c r="A48" s="5">
        <f>"  Items - "&amp;Inputs!A48</f>
        <v/>
      </c>
      <c r="B48" s="2" t="inlineStr">
        <is>
          <t>#</t>
        </is>
      </c>
      <c r="D48" s="35">
        <f>D44*Inputs!$G$48</f>
        <v/>
      </c>
      <c r="E48" s="35">
        <f>E44*Inputs!$G$48</f>
        <v/>
      </c>
      <c r="F48" s="35">
        <f>F44*Inputs!$G$48</f>
        <v/>
      </c>
      <c r="G48" s="35">
        <f>G44*Inputs!$G$48</f>
        <v/>
      </c>
      <c r="H48" s="35">
        <f>H44*Inputs!$G$48</f>
        <v/>
      </c>
      <c r="I48" s="35">
        <f>I44*Inputs!$G$48</f>
        <v/>
      </c>
      <c r="J48" s="35">
        <f>J44*Inputs!$G$48</f>
        <v/>
      </c>
      <c r="K48" s="35">
        <f>K44*Inputs!$G$48</f>
        <v/>
      </c>
      <c r="L48" s="35">
        <f>L44*Inputs!$G$48</f>
        <v/>
      </c>
      <c r="M48" s="35">
        <f>M44*Inputs!$G$48</f>
        <v/>
      </c>
      <c r="N48" s="35">
        <f>N44*Inputs!$G$48</f>
        <v/>
      </c>
      <c r="O48" s="35">
        <f>O44*Inputs!$G$48</f>
        <v/>
      </c>
      <c r="P48" s="35">
        <f>P44*Inputs!$G$48</f>
        <v/>
      </c>
      <c r="Q48" s="35">
        <f>Q44*Inputs!$G$48</f>
        <v/>
      </c>
      <c r="R48" s="35">
        <f>R44*Inputs!$G$48</f>
        <v/>
      </c>
      <c r="S48" s="35">
        <f>S44*Inputs!$G$48</f>
        <v/>
      </c>
      <c r="T48" s="35">
        <f>T44*Inputs!$G$48</f>
        <v/>
      </c>
      <c r="U48" s="35">
        <f>U44*Inputs!$G$48</f>
        <v/>
      </c>
      <c r="V48" s="35">
        <f>V44*Inputs!$G$48</f>
        <v/>
      </c>
      <c r="W48" s="35">
        <f>W44*Inputs!$G$48</f>
        <v/>
      </c>
      <c r="X48" s="35">
        <f>X44*Inputs!$G$48</f>
        <v/>
      </c>
      <c r="Y48" s="35">
        <f>Y44*Inputs!$G$48</f>
        <v/>
      </c>
      <c r="Z48" s="35">
        <f>Z44*Inputs!$G$48</f>
        <v/>
      </c>
      <c r="AA48" s="35">
        <f>AA44*Inputs!$G$48</f>
        <v/>
      </c>
      <c r="AB48" s="35">
        <f>AB44*Inputs!$G$48</f>
        <v/>
      </c>
      <c r="AC48" s="35">
        <f>AC44*Inputs!$G$48</f>
        <v/>
      </c>
      <c r="AD48" s="35">
        <f>AD44*Inputs!$G$48</f>
        <v/>
      </c>
      <c r="AE48" s="35">
        <f>AE44*Inputs!$G$48</f>
        <v/>
      </c>
      <c r="AF48" s="35">
        <f>AF44*Inputs!$G$48</f>
        <v/>
      </c>
      <c r="AG48" s="35">
        <f>AG44*Inputs!$G$48</f>
        <v/>
      </c>
      <c r="AH48" s="35">
        <f>AH44*Inputs!$G$48</f>
        <v/>
      </c>
      <c r="AI48" s="35">
        <f>AI44*Inputs!$G$48</f>
        <v/>
      </c>
      <c r="AJ48" s="35">
        <f>AJ44*Inputs!$G$48</f>
        <v/>
      </c>
      <c r="AK48" s="35">
        <f>AK44*Inputs!$G$48</f>
        <v/>
      </c>
      <c r="AL48" s="35">
        <f>AL44*Inputs!$G$48</f>
        <v/>
      </c>
      <c r="AM48" s="35">
        <f>AM44*Inputs!$G$48</f>
        <v/>
      </c>
      <c r="AO48" s="35">
        <f>SUM(D48:O48)</f>
        <v/>
      </c>
      <c r="AP48" s="35">
        <f>SUM(P48:AA48)</f>
        <v/>
      </c>
      <c r="AQ48" s="35">
        <f>SUM(AB48:AM48)</f>
        <v/>
      </c>
    </row>
    <row r="49">
      <c r="A49" s="5">
        <f>"  Items - "&amp;Inputs!A49</f>
        <v/>
      </c>
      <c r="B49" s="2" t="inlineStr">
        <is>
          <t>#</t>
        </is>
      </c>
      <c r="D49" s="35">
        <f>D44*Inputs!$G$49</f>
        <v/>
      </c>
      <c r="E49" s="35">
        <f>E44*Inputs!$G$49</f>
        <v/>
      </c>
      <c r="F49" s="35">
        <f>F44*Inputs!$G$49</f>
        <v/>
      </c>
      <c r="G49" s="35">
        <f>G44*Inputs!$G$49</f>
        <v/>
      </c>
      <c r="H49" s="35">
        <f>H44*Inputs!$G$49</f>
        <v/>
      </c>
      <c r="I49" s="35">
        <f>I44*Inputs!$G$49</f>
        <v/>
      </c>
      <c r="J49" s="35">
        <f>J44*Inputs!$G$49</f>
        <v/>
      </c>
      <c r="K49" s="35">
        <f>K44*Inputs!$G$49</f>
        <v/>
      </c>
      <c r="L49" s="35">
        <f>L44*Inputs!$G$49</f>
        <v/>
      </c>
      <c r="M49" s="35">
        <f>M44*Inputs!$G$49</f>
        <v/>
      </c>
      <c r="N49" s="35">
        <f>N44*Inputs!$G$49</f>
        <v/>
      </c>
      <c r="O49" s="35">
        <f>O44*Inputs!$G$49</f>
        <v/>
      </c>
      <c r="P49" s="35">
        <f>P44*Inputs!$G$49</f>
        <v/>
      </c>
      <c r="Q49" s="35">
        <f>Q44*Inputs!$G$49</f>
        <v/>
      </c>
      <c r="R49" s="35">
        <f>R44*Inputs!$G$49</f>
        <v/>
      </c>
      <c r="S49" s="35">
        <f>S44*Inputs!$G$49</f>
        <v/>
      </c>
      <c r="T49" s="35">
        <f>T44*Inputs!$G$49</f>
        <v/>
      </c>
      <c r="U49" s="35">
        <f>U44*Inputs!$G$49</f>
        <v/>
      </c>
      <c r="V49" s="35">
        <f>V44*Inputs!$G$49</f>
        <v/>
      </c>
      <c r="W49" s="35">
        <f>W44*Inputs!$G$49</f>
        <v/>
      </c>
      <c r="X49" s="35">
        <f>X44*Inputs!$G$49</f>
        <v/>
      </c>
      <c r="Y49" s="35">
        <f>Y44*Inputs!$G$49</f>
        <v/>
      </c>
      <c r="Z49" s="35">
        <f>Z44*Inputs!$G$49</f>
        <v/>
      </c>
      <c r="AA49" s="35">
        <f>AA44*Inputs!$G$49</f>
        <v/>
      </c>
      <c r="AB49" s="35">
        <f>AB44*Inputs!$G$49</f>
        <v/>
      </c>
      <c r="AC49" s="35">
        <f>AC44*Inputs!$G$49</f>
        <v/>
      </c>
      <c r="AD49" s="35">
        <f>AD44*Inputs!$G$49</f>
        <v/>
      </c>
      <c r="AE49" s="35">
        <f>AE44*Inputs!$G$49</f>
        <v/>
      </c>
      <c r="AF49" s="35">
        <f>AF44*Inputs!$G$49</f>
        <v/>
      </c>
      <c r="AG49" s="35">
        <f>AG44*Inputs!$G$49</f>
        <v/>
      </c>
      <c r="AH49" s="35">
        <f>AH44*Inputs!$G$49</f>
        <v/>
      </c>
      <c r="AI49" s="35">
        <f>AI44*Inputs!$G$49</f>
        <v/>
      </c>
      <c r="AJ49" s="35">
        <f>AJ44*Inputs!$G$49</f>
        <v/>
      </c>
      <c r="AK49" s="35">
        <f>AK44*Inputs!$G$49</f>
        <v/>
      </c>
      <c r="AL49" s="35">
        <f>AL44*Inputs!$G$49</f>
        <v/>
      </c>
      <c r="AM49" s="35">
        <f>AM44*Inputs!$G$49</f>
        <v/>
      </c>
      <c r="AO49" s="35">
        <f>SUM(D49:O49)</f>
        <v/>
      </c>
      <c r="AP49" s="35">
        <f>SUM(P49:AA49)</f>
        <v/>
      </c>
      <c r="AQ49" s="35">
        <f>SUM(AB49:AM49)</f>
        <v/>
      </c>
    </row>
    <row r="50">
      <c r="A50" s="5">
        <f>"  Items - "&amp;Inputs!A50</f>
        <v/>
      </c>
      <c r="B50" s="2" t="inlineStr">
        <is>
          <t>#</t>
        </is>
      </c>
      <c r="D50" s="35">
        <f>D44*Inputs!$G$50</f>
        <v/>
      </c>
      <c r="E50" s="35">
        <f>E44*Inputs!$G$50</f>
        <v/>
      </c>
      <c r="F50" s="35">
        <f>F44*Inputs!$G$50</f>
        <v/>
      </c>
      <c r="G50" s="35">
        <f>G44*Inputs!$G$50</f>
        <v/>
      </c>
      <c r="H50" s="35">
        <f>H44*Inputs!$G$50</f>
        <v/>
      </c>
      <c r="I50" s="35">
        <f>I44*Inputs!$G$50</f>
        <v/>
      </c>
      <c r="J50" s="35">
        <f>J44*Inputs!$G$50</f>
        <v/>
      </c>
      <c r="K50" s="35">
        <f>K44*Inputs!$G$50</f>
        <v/>
      </c>
      <c r="L50" s="35">
        <f>L44*Inputs!$G$50</f>
        <v/>
      </c>
      <c r="M50" s="35">
        <f>M44*Inputs!$G$50</f>
        <v/>
      </c>
      <c r="N50" s="35">
        <f>N44*Inputs!$G$50</f>
        <v/>
      </c>
      <c r="O50" s="35">
        <f>O44*Inputs!$G$50</f>
        <v/>
      </c>
      <c r="P50" s="35">
        <f>P44*Inputs!$G$50</f>
        <v/>
      </c>
      <c r="Q50" s="35">
        <f>Q44*Inputs!$G$50</f>
        <v/>
      </c>
      <c r="R50" s="35">
        <f>R44*Inputs!$G$50</f>
        <v/>
      </c>
      <c r="S50" s="35">
        <f>S44*Inputs!$G$50</f>
        <v/>
      </c>
      <c r="T50" s="35">
        <f>T44*Inputs!$G$50</f>
        <v/>
      </c>
      <c r="U50" s="35">
        <f>U44*Inputs!$G$50</f>
        <v/>
      </c>
      <c r="V50" s="35">
        <f>V44*Inputs!$G$50</f>
        <v/>
      </c>
      <c r="W50" s="35">
        <f>W44*Inputs!$G$50</f>
        <v/>
      </c>
      <c r="X50" s="35">
        <f>X44*Inputs!$G$50</f>
        <v/>
      </c>
      <c r="Y50" s="35">
        <f>Y44*Inputs!$G$50</f>
        <v/>
      </c>
      <c r="Z50" s="35">
        <f>Z44*Inputs!$G$50</f>
        <v/>
      </c>
      <c r="AA50" s="35">
        <f>AA44*Inputs!$G$50</f>
        <v/>
      </c>
      <c r="AB50" s="35">
        <f>AB44*Inputs!$G$50</f>
        <v/>
      </c>
      <c r="AC50" s="35">
        <f>AC44*Inputs!$G$50</f>
        <v/>
      </c>
      <c r="AD50" s="35">
        <f>AD44*Inputs!$G$50</f>
        <v/>
      </c>
      <c r="AE50" s="35">
        <f>AE44*Inputs!$G$50</f>
        <v/>
      </c>
      <c r="AF50" s="35">
        <f>AF44*Inputs!$G$50</f>
        <v/>
      </c>
      <c r="AG50" s="35">
        <f>AG44*Inputs!$G$50</f>
        <v/>
      </c>
      <c r="AH50" s="35">
        <f>AH44*Inputs!$G$50</f>
        <v/>
      </c>
      <c r="AI50" s="35">
        <f>AI44*Inputs!$G$50</f>
        <v/>
      </c>
      <c r="AJ50" s="35">
        <f>AJ44*Inputs!$G$50</f>
        <v/>
      </c>
      <c r="AK50" s="35">
        <f>AK44*Inputs!$G$50</f>
        <v/>
      </c>
      <c r="AL50" s="35">
        <f>AL44*Inputs!$G$50</f>
        <v/>
      </c>
      <c r="AM50" s="35">
        <f>AM44*Inputs!$G$50</f>
        <v/>
      </c>
      <c r="AO50" s="35">
        <f>SUM(D50:O50)</f>
        <v/>
      </c>
      <c r="AP50" s="35">
        <f>SUM(P50:AA50)</f>
        <v/>
      </c>
      <c r="AQ50" s="35">
        <f>SUM(AB50:AM50)</f>
        <v/>
      </c>
    </row>
    <row r="51">
      <c r="A51" s="5">
        <f>"  Items - "&amp;Inputs!A51</f>
        <v/>
      </c>
      <c r="B51" s="2" t="inlineStr">
        <is>
          <t>#</t>
        </is>
      </c>
      <c r="D51" s="35">
        <f>D44*Inputs!$G$51</f>
        <v/>
      </c>
      <c r="E51" s="35">
        <f>E44*Inputs!$G$51</f>
        <v/>
      </c>
      <c r="F51" s="35">
        <f>F44*Inputs!$G$51</f>
        <v/>
      </c>
      <c r="G51" s="35">
        <f>G44*Inputs!$G$51</f>
        <v/>
      </c>
      <c r="H51" s="35">
        <f>H44*Inputs!$G$51</f>
        <v/>
      </c>
      <c r="I51" s="35">
        <f>I44*Inputs!$G$51</f>
        <v/>
      </c>
      <c r="J51" s="35">
        <f>J44*Inputs!$G$51</f>
        <v/>
      </c>
      <c r="K51" s="35">
        <f>K44*Inputs!$G$51</f>
        <v/>
      </c>
      <c r="L51" s="35">
        <f>L44*Inputs!$G$51</f>
        <v/>
      </c>
      <c r="M51" s="35">
        <f>M44*Inputs!$G$51</f>
        <v/>
      </c>
      <c r="N51" s="35">
        <f>N44*Inputs!$G$51</f>
        <v/>
      </c>
      <c r="O51" s="35">
        <f>O44*Inputs!$G$51</f>
        <v/>
      </c>
      <c r="P51" s="35">
        <f>P44*Inputs!$G$51</f>
        <v/>
      </c>
      <c r="Q51" s="35">
        <f>Q44*Inputs!$G$51</f>
        <v/>
      </c>
      <c r="R51" s="35">
        <f>R44*Inputs!$G$51</f>
        <v/>
      </c>
      <c r="S51" s="35">
        <f>S44*Inputs!$G$51</f>
        <v/>
      </c>
      <c r="T51" s="35">
        <f>T44*Inputs!$G$51</f>
        <v/>
      </c>
      <c r="U51" s="35">
        <f>U44*Inputs!$G$51</f>
        <v/>
      </c>
      <c r="V51" s="35">
        <f>V44*Inputs!$G$51</f>
        <v/>
      </c>
      <c r="W51" s="35">
        <f>W44*Inputs!$G$51</f>
        <v/>
      </c>
      <c r="X51" s="35">
        <f>X44*Inputs!$G$51</f>
        <v/>
      </c>
      <c r="Y51" s="35">
        <f>Y44*Inputs!$G$51</f>
        <v/>
      </c>
      <c r="Z51" s="35">
        <f>Z44*Inputs!$G$51</f>
        <v/>
      </c>
      <c r="AA51" s="35">
        <f>AA44*Inputs!$G$51</f>
        <v/>
      </c>
      <c r="AB51" s="35">
        <f>AB44*Inputs!$G$51</f>
        <v/>
      </c>
      <c r="AC51" s="35">
        <f>AC44*Inputs!$G$51</f>
        <v/>
      </c>
      <c r="AD51" s="35">
        <f>AD44*Inputs!$G$51</f>
        <v/>
      </c>
      <c r="AE51" s="35">
        <f>AE44*Inputs!$G$51</f>
        <v/>
      </c>
      <c r="AF51" s="35">
        <f>AF44*Inputs!$G$51</f>
        <v/>
      </c>
      <c r="AG51" s="35">
        <f>AG44*Inputs!$G$51</f>
        <v/>
      </c>
      <c r="AH51" s="35">
        <f>AH44*Inputs!$G$51</f>
        <v/>
      </c>
      <c r="AI51" s="35">
        <f>AI44*Inputs!$G$51</f>
        <v/>
      </c>
      <c r="AJ51" s="35">
        <f>AJ44*Inputs!$G$51</f>
        <v/>
      </c>
      <c r="AK51" s="35">
        <f>AK44*Inputs!$G$51</f>
        <v/>
      </c>
      <c r="AL51" s="35">
        <f>AL44*Inputs!$G$51</f>
        <v/>
      </c>
      <c r="AM51" s="35">
        <f>AM44*Inputs!$G$51</f>
        <v/>
      </c>
      <c r="AO51" s="35">
        <f>SUM(D51:O51)</f>
        <v/>
      </c>
      <c r="AP51" s="35">
        <f>SUM(P51:AA51)</f>
        <v/>
      </c>
      <c r="AQ51" s="35">
        <f>SUM(AB51:AM51)</f>
        <v/>
      </c>
    </row>
    <row r="52">
      <c r="A52" s="7" t="inlineStr">
        <is>
          <t>REVENUE BY SKU (gross incl. postage)</t>
        </is>
      </c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</row>
    <row r="53">
      <c r="A53" s="5">
        <f>"  Revenue - "&amp;Inputs!A47</f>
        <v/>
      </c>
      <c r="B53" s="2" t="inlineStr">
        <is>
          <t>$</t>
        </is>
      </c>
      <c r="D53" s="15">
        <f>D47*'Unit Economics'!$D$5</f>
        <v/>
      </c>
      <c r="E53" s="15">
        <f>E47*'Unit Economics'!$D$5</f>
        <v/>
      </c>
      <c r="F53" s="15">
        <f>F47*'Unit Economics'!$D$5</f>
        <v/>
      </c>
      <c r="G53" s="15">
        <f>G47*'Unit Economics'!$D$5</f>
        <v/>
      </c>
      <c r="H53" s="15">
        <f>H47*'Unit Economics'!$D$5</f>
        <v/>
      </c>
      <c r="I53" s="15">
        <f>I47*'Unit Economics'!$D$5</f>
        <v/>
      </c>
      <c r="J53" s="15">
        <f>J47*'Unit Economics'!$D$5</f>
        <v/>
      </c>
      <c r="K53" s="15">
        <f>K47*'Unit Economics'!$D$5</f>
        <v/>
      </c>
      <c r="L53" s="15">
        <f>L47*'Unit Economics'!$D$5</f>
        <v/>
      </c>
      <c r="M53" s="15">
        <f>M47*'Unit Economics'!$D$5</f>
        <v/>
      </c>
      <c r="N53" s="15">
        <f>N47*'Unit Economics'!$D$5</f>
        <v/>
      </c>
      <c r="O53" s="15">
        <f>O47*'Unit Economics'!$D$5</f>
        <v/>
      </c>
      <c r="P53" s="15">
        <f>P47*'Unit Economics'!$D$5</f>
        <v/>
      </c>
      <c r="Q53" s="15">
        <f>Q47*'Unit Economics'!$D$5</f>
        <v/>
      </c>
      <c r="R53" s="15">
        <f>R47*'Unit Economics'!$D$5</f>
        <v/>
      </c>
      <c r="S53" s="15">
        <f>S47*'Unit Economics'!$D$5</f>
        <v/>
      </c>
      <c r="T53" s="15">
        <f>T47*'Unit Economics'!$D$5</f>
        <v/>
      </c>
      <c r="U53" s="15">
        <f>U47*'Unit Economics'!$D$5</f>
        <v/>
      </c>
      <c r="V53" s="15">
        <f>V47*'Unit Economics'!$D$5</f>
        <v/>
      </c>
      <c r="W53" s="15">
        <f>W47*'Unit Economics'!$D$5</f>
        <v/>
      </c>
      <c r="X53" s="15">
        <f>X47*'Unit Economics'!$D$5</f>
        <v/>
      </c>
      <c r="Y53" s="15">
        <f>Y47*'Unit Economics'!$D$5</f>
        <v/>
      </c>
      <c r="Z53" s="15">
        <f>Z47*'Unit Economics'!$D$5</f>
        <v/>
      </c>
      <c r="AA53" s="15">
        <f>AA47*'Unit Economics'!$D$5</f>
        <v/>
      </c>
      <c r="AB53" s="15">
        <f>AB47*'Unit Economics'!$D$5</f>
        <v/>
      </c>
      <c r="AC53" s="15">
        <f>AC47*'Unit Economics'!$D$5</f>
        <v/>
      </c>
      <c r="AD53" s="15">
        <f>AD47*'Unit Economics'!$D$5</f>
        <v/>
      </c>
      <c r="AE53" s="15">
        <f>AE47*'Unit Economics'!$D$5</f>
        <v/>
      </c>
      <c r="AF53" s="15">
        <f>AF47*'Unit Economics'!$D$5</f>
        <v/>
      </c>
      <c r="AG53" s="15">
        <f>AG47*'Unit Economics'!$D$5</f>
        <v/>
      </c>
      <c r="AH53" s="15">
        <f>AH47*'Unit Economics'!$D$5</f>
        <v/>
      </c>
      <c r="AI53" s="15">
        <f>AI47*'Unit Economics'!$D$5</f>
        <v/>
      </c>
      <c r="AJ53" s="15">
        <f>AJ47*'Unit Economics'!$D$5</f>
        <v/>
      </c>
      <c r="AK53" s="15">
        <f>AK47*'Unit Economics'!$D$5</f>
        <v/>
      </c>
      <c r="AL53" s="15">
        <f>AL47*'Unit Economics'!$D$5</f>
        <v/>
      </c>
      <c r="AM53" s="15">
        <f>AM47*'Unit Economics'!$D$5</f>
        <v/>
      </c>
      <c r="AO53" s="15">
        <f>SUM(D53:O53)</f>
        <v/>
      </c>
      <c r="AP53" s="15">
        <f>SUM(P53:AA53)</f>
        <v/>
      </c>
      <c r="AQ53" s="15">
        <f>SUM(AB53:AM53)</f>
        <v/>
      </c>
    </row>
    <row r="54">
      <c r="A54" s="5">
        <f>"  Revenue - "&amp;Inputs!A48</f>
        <v/>
      </c>
      <c r="B54" s="2" t="inlineStr">
        <is>
          <t>$</t>
        </is>
      </c>
      <c r="D54" s="15">
        <f>D48*'Unit Economics'!$D$6</f>
        <v/>
      </c>
      <c r="E54" s="15">
        <f>E48*'Unit Economics'!$D$6</f>
        <v/>
      </c>
      <c r="F54" s="15">
        <f>F48*'Unit Economics'!$D$6</f>
        <v/>
      </c>
      <c r="G54" s="15">
        <f>G48*'Unit Economics'!$D$6</f>
        <v/>
      </c>
      <c r="H54" s="15">
        <f>H48*'Unit Economics'!$D$6</f>
        <v/>
      </c>
      <c r="I54" s="15">
        <f>I48*'Unit Economics'!$D$6</f>
        <v/>
      </c>
      <c r="J54" s="15">
        <f>J48*'Unit Economics'!$D$6</f>
        <v/>
      </c>
      <c r="K54" s="15">
        <f>K48*'Unit Economics'!$D$6</f>
        <v/>
      </c>
      <c r="L54" s="15">
        <f>L48*'Unit Economics'!$D$6</f>
        <v/>
      </c>
      <c r="M54" s="15">
        <f>M48*'Unit Economics'!$D$6</f>
        <v/>
      </c>
      <c r="N54" s="15">
        <f>N48*'Unit Economics'!$D$6</f>
        <v/>
      </c>
      <c r="O54" s="15">
        <f>O48*'Unit Economics'!$D$6</f>
        <v/>
      </c>
      <c r="P54" s="15">
        <f>P48*'Unit Economics'!$D$6</f>
        <v/>
      </c>
      <c r="Q54" s="15">
        <f>Q48*'Unit Economics'!$D$6</f>
        <v/>
      </c>
      <c r="R54" s="15">
        <f>R48*'Unit Economics'!$D$6</f>
        <v/>
      </c>
      <c r="S54" s="15">
        <f>S48*'Unit Economics'!$D$6</f>
        <v/>
      </c>
      <c r="T54" s="15">
        <f>T48*'Unit Economics'!$D$6</f>
        <v/>
      </c>
      <c r="U54" s="15">
        <f>U48*'Unit Economics'!$D$6</f>
        <v/>
      </c>
      <c r="V54" s="15">
        <f>V48*'Unit Economics'!$D$6</f>
        <v/>
      </c>
      <c r="W54" s="15">
        <f>W48*'Unit Economics'!$D$6</f>
        <v/>
      </c>
      <c r="X54" s="15">
        <f>X48*'Unit Economics'!$D$6</f>
        <v/>
      </c>
      <c r="Y54" s="15">
        <f>Y48*'Unit Economics'!$D$6</f>
        <v/>
      </c>
      <c r="Z54" s="15">
        <f>Z48*'Unit Economics'!$D$6</f>
        <v/>
      </c>
      <c r="AA54" s="15">
        <f>AA48*'Unit Economics'!$D$6</f>
        <v/>
      </c>
      <c r="AB54" s="15">
        <f>AB48*'Unit Economics'!$D$6</f>
        <v/>
      </c>
      <c r="AC54" s="15">
        <f>AC48*'Unit Economics'!$D$6</f>
        <v/>
      </c>
      <c r="AD54" s="15">
        <f>AD48*'Unit Economics'!$D$6</f>
        <v/>
      </c>
      <c r="AE54" s="15">
        <f>AE48*'Unit Economics'!$D$6</f>
        <v/>
      </c>
      <c r="AF54" s="15">
        <f>AF48*'Unit Economics'!$D$6</f>
        <v/>
      </c>
      <c r="AG54" s="15">
        <f>AG48*'Unit Economics'!$D$6</f>
        <v/>
      </c>
      <c r="AH54" s="15">
        <f>AH48*'Unit Economics'!$D$6</f>
        <v/>
      </c>
      <c r="AI54" s="15">
        <f>AI48*'Unit Economics'!$D$6</f>
        <v/>
      </c>
      <c r="AJ54" s="15">
        <f>AJ48*'Unit Economics'!$D$6</f>
        <v/>
      </c>
      <c r="AK54" s="15">
        <f>AK48*'Unit Economics'!$D$6</f>
        <v/>
      </c>
      <c r="AL54" s="15">
        <f>AL48*'Unit Economics'!$D$6</f>
        <v/>
      </c>
      <c r="AM54" s="15">
        <f>AM48*'Unit Economics'!$D$6</f>
        <v/>
      </c>
      <c r="AO54" s="15">
        <f>SUM(D54:O54)</f>
        <v/>
      </c>
      <c r="AP54" s="15">
        <f>SUM(P54:AA54)</f>
        <v/>
      </c>
      <c r="AQ54" s="15">
        <f>SUM(AB54:AM54)</f>
        <v/>
      </c>
    </row>
    <row r="55">
      <c r="A55" s="5">
        <f>"  Revenue - "&amp;Inputs!A49</f>
        <v/>
      </c>
      <c r="B55" s="2" t="inlineStr">
        <is>
          <t>$</t>
        </is>
      </c>
      <c r="D55" s="15">
        <f>D49*'Unit Economics'!$D$7</f>
        <v/>
      </c>
      <c r="E55" s="15">
        <f>E49*'Unit Economics'!$D$7</f>
        <v/>
      </c>
      <c r="F55" s="15">
        <f>F49*'Unit Economics'!$D$7</f>
        <v/>
      </c>
      <c r="G55" s="15">
        <f>G49*'Unit Economics'!$D$7</f>
        <v/>
      </c>
      <c r="H55" s="15">
        <f>H49*'Unit Economics'!$D$7</f>
        <v/>
      </c>
      <c r="I55" s="15">
        <f>I49*'Unit Economics'!$D$7</f>
        <v/>
      </c>
      <c r="J55" s="15">
        <f>J49*'Unit Economics'!$D$7</f>
        <v/>
      </c>
      <c r="K55" s="15">
        <f>K49*'Unit Economics'!$D$7</f>
        <v/>
      </c>
      <c r="L55" s="15">
        <f>L49*'Unit Economics'!$D$7</f>
        <v/>
      </c>
      <c r="M55" s="15">
        <f>M49*'Unit Economics'!$D$7</f>
        <v/>
      </c>
      <c r="N55" s="15">
        <f>N49*'Unit Economics'!$D$7</f>
        <v/>
      </c>
      <c r="O55" s="15">
        <f>O49*'Unit Economics'!$D$7</f>
        <v/>
      </c>
      <c r="P55" s="15">
        <f>P49*'Unit Economics'!$D$7</f>
        <v/>
      </c>
      <c r="Q55" s="15">
        <f>Q49*'Unit Economics'!$D$7</f>
        <v/>
      </c>
      <c r="R55" s="15">
        <f>R49*'Unit Economics'!$D$7</f>
        <v/>
      </c>
      <c r="S55" s="15">
        <f>S49*'Unit Economics'!$D$7</f>
        <v/>
      </c>
      <c r="T55" s="15">
        <f>T49*'Unit Economics'!$D$7</f>
        <v/>
      </c>
      <c r="U55" s="15">
        <f>U49*'Unit Economics'!$D$7</f>
        <v/>
      </c>
      <c r="V55" s="15">
        <f>V49*'Unit Economics'!$D$7</f>
        <v/>
      </c>
      <c r="W55" s="15">
        <f>W49*'Unit Economics'!$D$7</f>
        <v/>
      </c>
      <c r="X55" s="15">
        <f>X49*'Unit Economics'!$D$7</f>
        <v/>
      </c>
      <c r="Y55" s="15">
        <f>Y49*'Unit Economics'!$D$7</f>
        <v/>
      </c>
      <c r="Z55" s="15">
        <f>Z49*'Unit Economics'!$D$7</f>
        <v/>
      </c>
      <c r="AA55" s="15">
        <f>AA49*'Unit Economics'!$D$7</f>
        <v/>
      </c>
      <c r="AB55" s="15">
        <f>AB49*'Unit Economics'!$D$7</f>
        <v/>
      </c>
      <c r="AC55" s="15">
        <f>AC49*'Unit Economics'!$D$7</f>
        <v/>
      </c>
      <c r="AD55" s="15">
        <f>AD49*'Unit Economics'!$D$7</f>
        <v/>
      </c>
      <c r="AE55" s="15">
        <f>AE49*'Unit Economics'!$D$7</f>
        <v/>
      </c>
      <c r="AF55" s="15">
        <f>AF49*'Unit Economics'!$D$7</f>
        <v/>
      </c>
      <c r="AG55" s="15">
        <f>AG49*'Unit Economics'!$D$7</f>
        <v/>
      </c>
      <c r="AH55" s="15">
        <f>AH49*'Unit Economics'!$D$7</f>
        <v/>
      </c>
      <c r="AI55" s="15">
        <f>AI49*'Unit Economics'!$D$7</f>
        <v/>
      </c>
      <c r="AJ55" s="15">
        <f>AJ49*'Unit Economics'!$D$7</f>
        <v/>
      </c>
      <c r="AK55" s="15">
        <f>AK49*'Unit Economics'!$D$7</f>
        <v/>
      </c>
      <c r="AL55" s="15">
        <f>AL49*'Unit Economics'!$D$7</f>
        <v/>
      </c>
      <c r="AM55" s="15">
        <f>AM49*'Unit Economics'!$D$7</f>
        <v/>
      </c>
      <c r="AO55" s="15">
        <f>SUM(D55:O55)</f>
        <v/>
      </c>
      <c r="AP55" s="15">
        <f>SUM(P55:AA55)</f>
        <v/>
      </c>
      <c r="AQ55" s="15">
        <f>SUM(AB55:AM55)</f>
        <v/>
      </c>
    </row>
    <row r="56">
      <c r="A56" s="5">
        <f>"  Revenue - "&amp;Inputs!A50</f>
        <v/>
      </c>
      <c r="B56" s="2" t="inlineStr">
        <is>
          <t>$</t>
        </is>
      </c>
      <c r="D56" s="15">
        <f>D50*'Unit Economics'!$D$8</f>
        <v/>
      </c>
      <c r="E56" s="15">
        <f>E50*'Unit Economics'!$D$8</f>
        <v/>
      </c>
      <c r="F56" s="15">
        <f>F50*'Unit Economics'!$D$8</f>
        <v/>
      </c>
      <c r="G56" s="15">
        <f>G50*'Unit Economics'!$D$8</f>
        <v/>
      </c>
      <c r="H56" s="15">
        <f>H50*'Unit Economics'!$D$8</f>
        <v/>
      </c>
      <c r="I56" s="15">
        <f>I50*'Unit Economics'!$D$8</f>
        <v/>
      </c>
      <c r="J56" s="15">
        <f>J50*'Unit Economics'!$D$8</f>
        <v/>
      </c>
      <c r="K56" s="15">
        <f>K50*'Unit Economics'!$D$8</f>
        <v/>
      </c>
      <c r="L56" s="15">
        <f>L50*'Unit Economics'!$D$8</f>
        <v/>
      </c>
      <c r="M56" s="15">
        <f>M50*'Unit Economics'!$D$8</f>
        <v/>
      </c>
      <c r="N56" s="15">
        <f>N50*'Unit Economics'!$D$8</f>
        <v/>
      </c>
      <c r="O56" s="15">
        <f>O50*'Unit Economics'!$D$8</f>
        <v/>
      </c>
      <c r="P56" s="15">
        <f>P50*'Unit Economics'!$D$8</f>
        <v/>
      </c>
      <c r="Q56" s="15">
        <f>Q50*'Unit Economics'!$D$8</f>
        <v/>
      </c>
      <c r="R56" s="15">
        <f>R50*'Unit Economics'!$D$8</f>
        <v/>
      </c>
      <c r="S56" s="15">
        <f>S50*'Unit Economics'!$D$8</f>
        <v/>
      </c>
      <c r="T56" s="15">
        <f>T50*'Unit Economics'!$D$8</f>
        <v/>
      </c>
      <c r="U56" s="15">
        <f>U50*'Unit Economics'!$D$8</f>
        <v/>
      </c>
      <c r="V56" s="15">
        <f>V50*'Unit Economics'!$D$8</f>
        <v/>
      </c>
      <c r="W56" s="15">
        <f>W50*'Unit Economics'!$D$8</f>
        <v/>
      </c>
      <c r="X56" s="15">
        <f>X50*'Unit Economics'!$D$8</f>
        <v/>
      </c>
      <c r="Y56" s="15">
        <f>Y50*'Unit Economics'!$D$8</f>
        <v/>
      </c>
      <c r="Z56" s="15">
        <f>Z50*'Unit Economics'!$D$8</f>
        <v/>
      </c>
      <c r="AA56" s="15">
        <f>AA50*'Unit Economics'!$D$8</f>
        <v/>
      </c>
      <c r="AB56" s="15">
        <f>AB50*'Unit Economics'!$D$8</f>
        <v/>
      </c>
      <c r="AC56" s="15">
        <f>AC50*'Unit Economics'!$D$8</f>
        <v/>
      </c>
      <c r="AD56" s="15">
        <f>AD50*'Unit Economics'!$D$8</f>
        <v/>
      </c>
      <c r="AE56" s="15">
        <f>AE50*'Unit Economics'!$D$8</f>
        <v/>
      </c>
      <c r="AF56" s="15">
        <f>AF50*'Unit Economics'!$D$8</f>
        <v/>
      </c>
      <c r="AG56" s="15">
        <f>AG50*'Unit Economics'!$D$8</f>
        <v/>
      </c>
      <c r="AH56" s="15">
        <f>AH50*'Unit Economics'!$D$8</f>
        <v/>
      </c>
      <c r="AI56" s="15">
        <f>AI50*'Unit Economics'!$D$8</f>
        <v/>
      </c>
      <c r="AJ56" s="15">
        <f>AJ50*'Unit Economics'!$D$8</f>
        <v/>
      </c>
      <c r="AK56" s="15">
        <f>AK50*'Unit Economics'!$D$8</f>
        <v/>
      </c>
      <c r="AL56" s="15">
        <f>AL50*'Unit Economics'!$D$8</f>
        <v/>
      </c>
      <c r="AM56" s="15">
        <f>AM50*'Unit Economics'!$D$8</f>
        <v/>
      </c>
      <c r="AO56" s="15">
        <f>SUM(D56:O56)</f>
        <v/>
      </c>
      <c r="AP56" s="15">
        <f>SUM(P56:AA56)</f>
        <v/>
      </c>
      <c r="AQ56" s="15">
        <f>SUM(AB56:AM56)</f>
        <v/>
      </c>
    </row>
    <row r="57">
      <c r="A57" s="5">
        <f>"  Revenue - "&amp;Inputs!A51</f>
        <v/>
      </c>
      <c r="B57" s="2" t="inlineStr">
        <is>
          <t>$</t>
        </is>
      </c>
      <c r="D57" s="15">
        <f>D51*'Unit Economics'!$D$9</f>
        <v/>
      </c>
      <c r="E57" s="15">
        <f>E51*'Unit Economics'!$D$9</f>
        <v/>
      </c>
      <c r="F57" s="15">
        <f>F51*'Unit Economics'!$D$9</f>
        <v/>
      </c>
      <c r="G57" s="15">
        <f>G51*'Unit Economics'!$D$9</f>
        <v/>
      </c>
      <c r="H57" s="15">
        <f>H51*'Unit Economics'!$D$9</f>
        <v/>
      </c>
      <c r="I57" s="15">
        <f>I51*'Unit Economics'!$D$9</f>
        <v/>
      </c>
      <c r="J57" s="15">
        <f>J51*'Unit Economics'!$D$9</f>
        <v/>
      </c>
      <c r="K57" s="15">
        <f>K51*'Unit Economics'!$D$9</f>
        <v/>
      </c>
      <c r="L57" s="15">
        <f>L51*'Unit Economics'!$D$9</f>
        <v/>
      </c>
      <c r="M57" s="15">
        <f>M51*'Unit Economics'!$D$9</f>
        <v/>
      </c>
      <c r="N57" s="15">
        <f>N51*'Unit Economics'!$D$9</f>
        <v/>
      </c>
      <c r="O57" s="15">
        <f>O51*'Unit Economics'!$D$9</f>
        <v/>
      </c>
      <c r="P57" s="15">
        <f>P51*'Unit Economics'!$D$9</f>
        <v/>
      </c>
      <c r="Q57" s="15">
        <f>Q51*'Unit Economics'!$D$9</f>
        <v/>
      </c>
      <c r="R57" s="15">
        <f>R51*'Unit Economics'!$D$9</f>
        <v/>
      </c>
      <c r="S57" s="15">
        <f>S51*'Unit Economics'!$D$9</f>
        <v/>
      </c>
      <c r="T57" s="15">
        <f>T51*'Unit Economics'!$D$9</f>
        <v/>
      </c>
      <c r="U57" s="15">
        <f>U51*'Unit Economics'!$D$9</f>
        <v/>
      </c>
      <c r="V57" s="15">
        <f>V51*'Unit Economics'!$D$9</f>
        <v/>
      </c>
      <c r="W57" s="15">
        <f>W51*'Unit Economics'!$D$9</f>
        <v/>
      </c>
      <c r="X57" s="15">
        <f>X51*'Unit Economics'!$D$9</f>
        <v/>
      </c>
      <c r="Y57" s="15">
        <f>Y51*'Unit Economics'!$D$9</f>
        <v/>
      </c>
      <c r="Z57" s="15">
        <f>Z51*'Unit Economics'!$D$9</f>
        <v/>
      </c>
      <c r="AA57" s="15">
        <f>AA51*'Unit Economics'!$D$9</f>
        <v/>
      </c>
      <c r="AB57" s="15">
        <f>AB51*'Unit Economics'!$D$9</f>
        <v/>
      </c>
      <c r="AC57" s="15">
        <f>AC51*'Unit Economics'!$D$9</f>
        <v/>
      </c>
      <c r="AD57" s="15">
        <f>AD51*'Unit Economics'!$D$9</f>
        <v/>
      </c>
      <c r="AE57" s="15">
        <f>AE51*'Unit Economics'!$D$9</f>
        <v/>
      </c>
      <c r="AF57" s="15">
        <f>AF51*'Unit Economics'!$D$9</f>
        <v/>
      </c>
      <c r="AG57" s="15">
        <f>AG51*'Unit Economics'!$D$9</f>
        <v/>
      </c>
      <c r="AH57" s="15">
        <f>AH51*'Unit Economics'!$D$9</f>
        <v/>
      </c>
      <c r="AI57" s="15">
        <f>AI51*'Unit Economics'!$D$9</f>
        <v/>
      </c>
      <c r="AJ57" s="15">
        <f>AJ51*'Unit Economics'!$D$9</f>
        <v/>
      </c>
      <c r="AK57" s="15">
        <f>AK51*'Unit Economics'!$D$9</f>
        <v/>
      </c>
      <c r="AL57" s="15">
        <f>AL51*'Unit Economics'!$D$9</f>
        <v/>
      </c>
      <c r="AM57" s="15">
        <f>AM51*'Unit Economics'!$D$9</f>
        <v/>
      </c>
      <c r="AO57" s="15">
        <f>SUM(D57:O57)</f>
        <v/>
      </c>
      <c r="AP57" s="15">
        <f>SUM(P57:AA57)</f>
        <v/>
      </c>
      <c r="AQ57" s="15">
        <f>SUM(AB57:AM57)</f>
        <v/>
      </c>
    </row>
    <row r="58">
      <c r="A58" s="3" t="inlineStr">
        <is>
          <t>Gross revenue</t>
        </is>
      </c>
      <c r="B58" s="2" t="inlineStr">
        <is>
          <t>$</t>
        </is>
      </c>
      <c r="D58" s="23">
        <f>SUM(D53:D57)</f>
        <v/>
      </c>
      <c r="E58" s="23">
        <f>SUM(E53:E57)</f>
        <v/>
      </c>
      <c r="F58" s="23">
        <f>SUM(F53:F57)</f>
        <v/>
      </c>
      <c r="G58" s="23">
        <f>SUM(G53:G57)</f>
        <v/>
      </c>
      <c r="H58" s="23">
        <f>SUM(H53:H57)</f>
        <v/>
      </c>
      <c r="I58" s="23">
        <f>SUM(I53:I57)</f>
        <v/>
      </c>
      <c r="J58" s="23">
        <f>SUM(J53:J57)</f>
        <v/>
      </c>
      <c r="K58" s="23">
        <f>SUM(K53:K57)</f>
        <v/>
      </c>
      <c r="L58" s="23">
        <f>SUM(L53:L57)</f>
        <v/>
      </c>
      <c r="M58" s="23">
        <f>SUM(M53:M57)</f>
        <v/>
      </c>
      <c r="N58" s="23">
        <f>SUM(N53:N57)</f>
        <v/>
      </c>
      <c r="O58" s="23">
        <f>SUM(O53:O57)</f>
        <v/>
      </c>
      <c r="P58" s="23">
        <f>SUM(P53:P57)</f>
        <v/>
      </c>
      <c r="Q58" s="23">
        <f>SUM(Q53:Q57)</f>
        <v/>
      </c>
      <c r="R58" s="23">
        <f>SUM(R53:R57)</f>
        <v/>
      </c>
      <c r="S58" s="23">
        <f>SUM(S53:S57)</f>
        <v/>
      </c>
      <c r="T58" s="23">
        <f>SUM(T53:T57)</f>
        <v/>
      </c>
      <c r="U58" s="23">
        <f>SUM(U53:U57)</f>
        <v/>
      </c>
      <c r="V58" s="23">
        <f>SUM(V53:V57)</f>
        <v/>
      </c>
      <c r="W58" s="23">
        <f>SUM(W53:W57)</f>
        <v/>
      </c>
      <c r="X58" s="23">
        <f>SUM(X53:X57)</f>
        <v/>
      </c>
      <c r="Y58" s="23">
        <f>SUM(Y53:Y57)</f>
        <v/>
      </c>
      <c r="Z58" s="23">
        <f>SUM(Z53:Z57)</f>
        <v/>
      </c>
      <c r="AA58" s="23">
        <f>SUM(AA53:AA57)</f>
        <v/>
      </c>
      <c r="AB58" s="23">
        <f>SUM(AB53:AB57)</f>
        <v/>
      </c>
      <c r="AC58" s="23">
        <f>SUM(AC53:AC57)</f>
        <v/>
      </c>
      <c r="AD58" s="23">
        <f>SUM(AD53:AD57)</f>
        <v/>
      </c>
      <c r="AE58" s="23">
        <f>SUM(AE53:AE57)</f>
        <v/>
      </c>
      <c r="AF58" s="23">
        <f>SUM(AF53:AF57)</f>
        <v/>
      </c>
      <c r="AG58" s="23">
        <f>SUM(AG53:AG57)</f>
        <v/>
      </c>
      <c r="AH58" s="23">
        <f>SUM(AH53:AH57)</f>
        <v/>
      </c>
      <c r="AI58" s="23">
        <f>SUM(AI53:AI57)</f>
        <v/>
      </c>
      <c r="AJ58" s="23">
        <f>SUM(AJ53:AJ57)</f>
        <v/>
      </c>
      <c r="AK58" s="23">
        <f>SUM(AK53:AK57)</f>
        <v/>
      </c>
      <c r="AL58" s="23">
        <f>SUM(AL53:AL57)</f>
        <v/>
      </c>
      <c r="AM58" s="23">
        <f>SUM(AM53:AM57)</f>
        <v/>
      </c>
      <c r="AO58" s="23">
        <f>SUM(D58:O58)</f>
        <v/>
      </c>
      <c r="AP58" s="23">
        <f>SUM(P58:AA58)</f>
        <v/>
      </c>
      <c r="AQ58" s="23">
        <f>SUM(AB58:AM58)</f>
        <v/>
      </c>
    </row>
    <row r="59">
      <c r="A59" s="5" t="inlineStr">
        <is>
          <t>Less: refunds</t>
        </is>
      </c>
      <c r="B59" s="2" t="inlineStr">
        <is>
          <t>$</t>
        </is>
      </c>
      <c r="D59" s="15">
        <f>-SUMPRODUCT(D47:D51,'Unit Economics'!$E$5:$E$9)</f>
        <v/>
      </c>
      <c r="E59" s="15">
        <f>-SUMPRODUCT(E47:E51,'Unit Economics'!$E$5:$E$9)</f>
        <v/>
      </c>
      <c r="F59" s="15">
        <f>-SUMPRODUCT(F47:F51,'Unit Economics'!$E$5:$E$9)</f>
        <v/>
      </c>
      <c r="G59" s="15">
        <f>-SUMPRODUCT(G47:G51,'Unit Economics'!$E$5:$E$9)</f>
        <v/>
      </c>
      <c r="H59" s="15">
        <f>-SUMPRODUCT(H47:H51,'Unit Economics'!$E$5:$E$9)</f>
        <v/>
      </c>
      <c r="I59" s="15">
        <f>-SUMPRODUCT(I47:I51,'Unit Economics'!$E$5:$E$9)</f>
        <v/>
      </c>
      <c r="J59" s="15">
        <f>-SUMPRODUCT(J47:J51,'Unit Economics'!$E$5:$E$9)</f>
        <v/>
      </c>
      <c r="K59" s="15">
        <f>-SUMPRODUCT(K47:K51,'Unit Economics'!$E$5:$E$9)</f>
        <v/>
      </c>
      <c r="L59" s="15">
        <f>-SUMPRODUCT(L47:L51,'Unit Economics'!$E$5:$E$9)</f>
        <v/>
      </c>
      <c r="M59" s="15">
        <f>-SUMPRODUCT(M47:M51,'Unit Economics'!$E$5:$E$9)</f>
        <v/>
      </c>
      <c r="N59" s="15">
        <f>-SUMPRODUCT(N47:N51,'Unit Economics'!$E$5:$E$9)</f>
        <v/>
      </c>
      <c r="O59" s="15">
        <f>-SUMPRODUCT(O47:O51,'Unit Economics'!$E$5:$E$9)</f>
        <v/>
      </c>
      <c r="P59" s="15">
        <f>-SUMPRODUCT(P47:P51,'Unit Economics'!$E$5:$E$9)</f>
        <v/>
      </c>
      <c r="Q59" s="15">
        <f>-SUMPRODUCT(Q47:Q51,'Unit Economics'!$E$5:$E$9)</f>
        <v/>
      </c>
      <c r="R59" s="15">
        <f>-SUMPRODUCT(R47:R51,'Unit Economics'!$E$5:$E$9)</f>
        <v/>
      </c>
      <c r="S59" s="15">
        <f>-SUMPRODUCT(S47:S51,'Unit Economics'!$E$5:$E$9)</f>
        <v/>
      </c>
      <c r="T59" s="15">
        <f>-SUMPRODUCT(T47:T51,'Unit Economics'!$E$5:$E$9)</f>
        <v/>
      </c>
      <c r="U59" s="15">
        <f>-SUMPRODUCT(U47:U51,'Unit Economics'!$E$5:$E$9)</f>
        <v/>
      </c>
      <c r="V59" s="15">
        <f>-SUMPRODUCT(V47:V51,'Unit Economics'!$E$5:$E$9)</f>
        <v/>
      </c>
      <c r="W59" s="15">
        <f>-SUMPRODUCT(W47:W51,'Unit Economics'!$E$5:$E$9)</f>
        <v/>
      </c>
      <c r="X59" s="15">
        <f>-SUMPRODUCT(X47:X51,'Unit Economics'!$E$5:$E$9)</f>
        <v/>
      </c>
      <c r="Y59" s="15">
        <f>-SUMPRODUCT(Y47:Y51,'Unit Economics'!$E$5:$E$9)</f>
        <v/>
      </c>
      <c r="Z59" s="15">
        <f>-SUMPRODUCT(Z47:Z51,'Unit Economics'!$E$5:$E$9)</f>
        <v/>
      </c>
      <c r="AA59" s="15">
        <f>-SUMPRODUCT(AA47:AA51,'Unit Economics'!$E$5:$E$9)</f>
        <v/>
      </c>
      <c r="AB59" s="15">
        <f>-SUMPRODUCT(AB47:AB51,'Unit Economics'!$E$5:$E$9)</f>
        <v/>
      </c>
      <c r="AC59" s="15">
        <f>-SUMPRODUCT(AC47:AC51,'Unit Economics'!$E$5:$E$9)</f>
        <v/>
      </c>
      <c r="AD59" s="15">
        <f>-SUMPRODUCT(AD47:AD51,'Unit Economics'!$E$5:$E$9)</f>
        <v/>
      </c>
      <c r="AE59" s="15">
        <f>-SUMPRODUCT(AE47:AE51,'Unit Economics'!$E$5:$E$9)</f>
        <v/>
      </c>
      <c r="AF59" s="15">
        <f>-SUMPRODUCT(AF47:AF51,'Unit Economics'!$E$5:$E$9)</f>
        <v/>
      </c>
      <c r="AG59" s="15">
        <f>-SUMPRODUCT(AG47:AG51,'Unit Economics'!$E$5:$E$9)</f>
        <v/>
      </c>
      <c r="AH59" s="15">
        <f>-SUMPRODUCT(AH47:AH51,'Unit Economics'!$E$5:$E$9)</f>
        <v/>
      </c>
      <c r="AI59" s="15">
        <f>-SUMPRODUCT(AI47:AI51,'Unit Economics'!$E$5:$E$9)</f>
        <v/>
      </c>
      <c r="AJ59" s="15">
        <f>-SUMPRODUCT(AJ47:AJ51,'Unit Economics'!$E$5:$E$9)</f>
        <v/>
      </c>
      <c r="AK59" s="15">
        <f>-SUMPRODUCT(AK47:AK51,'Unit Economics'!$E$5:$E$9)</f>
        <v/>
      </c>
      <c r="AL59" s="15">
        <f>-SUMPRODUCT(AL47:AL51,'Unit Economics'!$E$5:$E$9)</f>
        <v/>
      </c>
      <c r="AM59" s="15">
        <f>-SUMPRODUCT(AM47:AM51,'Unit Economics'!$E$5:$E$9)</f>
        <v/>
      </c>
      <c r="AO59" s="15">
        <f>SUM(D59:O59)</f>
        <v/>
      </c>
      <c r="AP59" s="15">
        <f>SUM(P59:AA59)</f>
        <v/>
      </c>
      <c r="AQ59" s="15">
        <f>SUM(AB59:AM59)</f>
        <v/>
      </c>
    </row>
    <row r="60">
      <c r="A60" s="3" t="inlineStr">
        <is>
          <t>Net revenue</t>
        </is>
      </c>
      <c r="B60" s="2" t="inlineStr">
        <is>
          <t>$</t>
        </is>
      </c>
      <c r="D60" s="23">
        <f>D58+D59</f>
        <v/>
      </c>
      <c r="E60" s="23">
        <f>E58+E59</f>
        <v/>
      </c>
      <c r="F60" s="23">
        <f>F58+F59</f>
        <v/>
      </c>
      <c r="G60" s="23">
        <f>G58+G59</f>
        <v/>
      </c>
      <c r="H60" s="23">
        <f>H58+H59</f>
        <v/>
      </c>
      <c r="I60" s="23">
        <f>I58+I59</f>
        <v/>
      </c>
      <c r="J60" s="23">
        <f>J58+J59</f>
        <v/>
      </c>
      <c r="K60" s="23">
        <f>K58+K59</f>
        <v/>
      </c>
      <c r="L60" s="23">
        <f>L58+L59</f>
        <v/>
      </c>
      <c r="M60" s="23">
        <f>M58+M59</f>
        <v/>
      </c>
      <c r="N60" s="23">
        <f>N58+N59</f>
        <v/>
      </c>
      <c r="O60" s="23">
        <f>O58+O59</f>
        <v/>
      </c>
      <c r="P60" s="23">
        <f>P58+P59</f>
        <v/>
      </c>
      <c r="Q60" s="23">
        <f>Q58+Q59</f>
        <v/>
      </c>
      <c r="R60" s="23">
        <f>R58+R59</f>
        <v/>
      </c>
      <c r="S60" s="23">
        <f>S58+S59</f>
        <v/>
      </c>
      <c r="T60" s="23">
        <f>T58+T59</f>
        <v/>
      </c>
      <c r="U60" s="23">
        <f>U58+U59</f>
        <v/>
      </c>
      <c r="V60" s="23">
        <f>V58+V59</f>
        <v/>
      </c>
      <c r="W60" s="23">
        <f>W58+W59</f>
        <v/>
      </c>
      <c r="X60" s="23">
        <f>X58+X59</f>
        <v/>
      </c>
      <c r="Y60" s="23">
        <f>Y58+Y59</f>
        <v/>
      </c>
      <c r="Z60" s="23">
        <f>Z58+Z59</f>
        <v/>
      </c>
      <c r="AA60" s="23">
        <f>AA58+AA59</f>
        <v/>
      </c>
      <c r="AB60" s="23">
        <f>AB58+AB59</f>
        <v/>
      </c>
      <c r="AC60" s="23">
        <f>AC58+AC59</f>
        <v/>
      </c>
      <c r="AD60" s="23">
        <f>AD58+AD59</f>
        <v/>
      </c>
      <c r="AE60" s="23">
        <f>AE58+AE59</f>
        <v/>
      </c>
      <c r="AF60" s="23">
        <f>AF58+AF59</f>
        <v/>
      </c>
      <c r="AG60" s="23">
        <f>AG58+AG59</f>
        <v/>
      </c>
      <c r="AH60" s="23">
        <f>AH58+AH59</f>
        <v/>
      </c>
      <c r="AI60" s="23">
        <f>AI58+AI59</f>
        <v/>
      </c>
      <c r="AJ60" s="23">
        <f>AJ58+AJ59</f>
        <v/>
      </c>
      <c r="AK60" s="23">
        <f>AK58+AK59</f>
        <v/>
      </c>
      <c r="AL60" s="23">
        <f>AL58+AL59</f>
        <v/>
      </c>
      <c r="AM60" s="23">
        <f>AM58+AM59</f>
        <v/>
      </c>
      <c r="AO60" s="23">
        <f>SUM(D60:O60)</f>
        <v/>
      </c>
      <c r="AP60" s="23">
        <f>SUM(P60:AA60)</f>
        <v/>
      </c>
      <c r="AQ60" s="23">
        <f>SUM(AB60:AM60)</f>
        <v/>
      </c>
    </row>
    <row r="61">
      <c r="A61" s="7" t="inlineStr">
        <is>
          <t>COST OF GOODS SOLD</t>
        </is>
      </c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  <c r="AA61" s="8" t="n"/>
      <c r="AB61" s="8" t="n"/>
      <c r="AC61" s="8" t="n"/>
      <c r="AD61" s="8" t="n"/>
      <c r="AE61" s="8" t="n"/>
      <c r="AF61" s="8" t="n"/>
      <c r="AG61" s="8" t="n"/>
      <c r="AH61" s="8" t="n"/>
      <c r="AI61" s="8" t="n"/>
      <c r="AJ61" s="8" t="n"/>
      <c r="AK61" s="8" t="n"/>
      <c r="AL61" s="8" t="n"/>
      <c r="AM61" s="8" t="n"/>
      <c r="AN61" s="8" t="n"/>
      <c r="AO61" s="8" t="n"/>
      <c r="AP61" s="8" t="n"/>
      <c r="AQ61" s="8" t="n"/>
    </row>
    <row r="62">
      <c r="A62" s="5" t="inlineStr">
        <is>
          <t>Tokens - paid items (renders + text)</t>
        </is>
      </c>
      <c r="B62" s="2" t="inlineStr">
        <is>
          <t>$</t>
        </is>
      </c>
      <c r="D62" s="15">
        <f>SUMPRODUCT(D47:D51,'Unit Economics'!$G$5:$G$9)</f>
        <v/>
      </c>
      <c r="E62" s="15">
        <f>SUMPRODUCT(E47:E51,'Unit Economics'!$G$5:$G$9)</f>
        <v/>
      </c>
      <c r="F62" s="15">
        <f>SUMPRODUCT(F47:F51,'Unit Economics'!$G$5:$G$9)</f>
        <v/>
      </c>
      <c r="G62" s="15">
        <f>SUMPRODUCT(G47:G51,'Unit Economics'!$G$5:$G$9)</f>
        <v/>
      </c>
      <c r="H62" s="15">
        <f>SUMPRODUCT(H47:H51,'Unit Economics'!$G$5:$G$9)</f>
        <v/>
      </c>
      <c r="I62" s="15">
        <f>SUMPRODUCT(I47:I51,'Unit Economics'!$G$5:$G$9)</f>
        <v/>
      </c>
      <c r="J62" s="15">
        <f>SUMPRODUCT(J47:J51,'Unit Economics'!$G$5:$G$9)</f>
        <v/>
      </c>
      <c r="K62" s="15">
        <f>SUMPRODUCT(K47:K51,'Unit Economics'!$G$5:$G$9)</f>
        <v/>
      </c>
      <c r="L62" s="15">
        <f>SUMPRODUCT(L47:L51,'Unit Economics'!$G$5:$G$9)</f>
        <v/>
      </c>
      <c r="M62" s="15">
        <f>SUMPRODUCT(M47:M51,'Unit Economics'!$G$5:$G$9)</f>
        <v/>
      </c>
      <c r="N62" s="15">
        <f>SUMPRODUCT(N47:N51,'Unit Economics'!$G$5:$G$9)</f>
        <v/>
      </c>
      <c r="O62" s="15">
        <f>SUMPRODUCT(O47:O51,'Unit Economics'!$G$5:$G$9)</f>
        <v/>
      </c>
      <c r="P62" s="15">
        <f>SUMPRODUCT(P47:P51,'Unit Economics'!$G$5:$G$9)</f>
        <v/>
      </c>
      <c r="Q62" s="15">
        <f>SUMPRODUCT(Q47:Q51,'Unit Economics'!$G$5:$G$9)</f>
        <v/>
      </c>
      <c r="R62" s="15">
        <f>SUMPRODUCT(R47:R51,'Unit Economics'!$G$5:$G$9)</f>
        <v/>
      </c>
      <c r="S62" s="15">
        <f>SUMPRODUCT(S47:S51,'Unit Economics'!$G$5:$G$9)</f>
        <v/>
      </c>
      <c r="T62" s="15">
        <f>SUMPRODUCT(T47:T51,'Unit Economics'!$G$5:$G$9)</f>
        <v/>
      </c>
      <c r="U62" s="15">
        <f>SUMPRODUCT(U47:U51,'Unit Economics'!$G$5:$G$9)</f>
        <v/>
      </c>
      <c r="V62" s="15">
        <f>SUMPRODUCT(V47:V51,'Unit Economics'!$G$5:$G$9)</f>
        <v/>
      </c>
      <c r="W62" s="15">
        <f>SUMPRODUCT(W47:W51,'Unit Economics'!$G$5:$G$9)</f>
        <v/>
      </c>
      <c r="X62" s="15">
        <f>SUMPRODUCT(X47:X51,'Unit Economics'!$G$5:$G$9)</f>
        <v/>
      </c>
      <c r="Y62" s="15">
        <f>SUMPRODUCT(Y47:Y51,'Unit Economics'!$G$5:$G$9)</f>
        <v/>
      </c>
      <c r="Z62" s="15">
        <f>SUMPRODUCT(Z47:Z51,'Unit Economics'!$G$5:$G$9)</f>
        <v/>
      </c>
      <c r="AA62" s="15">
        <f>SUMPRODUCT(AA47:AA51,'Unit Economics'!$G$5:$G$9)</f>
        <v/>
      </c>
      <c r="AB62" s="15">
        <f>SUMPRODUCT(AB47:AB51,'Unit Economics'!$G$5:$G$9)</f>
        <v/>
      </c>
      <c r="AC62" s="15">
        <f>SUMPRODUCT(AC47:AC51,'Unit Economics'!$G$5:$G$9)</f>
        <v/>
      </c>
      <c r="AD62" s="15">
        <f>SUMPRODUCT(AD47:AD51,'Unit Economics'!$G$5:$G$9)</f>
        <v/>
      </c>
      <c r="AE62" s="15">
        <f>SUMPRODUCT(AE47:AE51,'Unit Economics'!$G$5:$G$9)</f>
        <v/>
      </c>
      <c r="AF62" s="15">
        <f>SUMPRODUCT(AF47:AF51,'Unit Economics'!$G$5:$G$9)</f>
        <v/>
      </c>
      <c r="AG62" s="15">
        <f>SUMPRODUCT(AG47:AG51,'Unit Economics'!$G$5:$G$9)</f>
        <v/>
      </c>
      <c r="AH62" s="15">
        <f>SUMPRODUCT(AH47:AH51,'Unit Economics'!$G$5:$G$9)</f>
        <v/>
      </c>
      <c r="AI62" s="15">
        <f>SUMPRODUCT(AI47:AI51,'Unit Economics'!$G$5:$G$9)</f>
        <v/>
      </c>
      <c r="AJ62" s="15">
        <f>SUMPRODUCT(AJ47:AJ51,'Unit Economics'!$G$5:$G$9)</f>
        <v/>
      </c>
      <c r="AK62" s="15">
        <f>SUMPRODUCT(AK47:AK51,'Unit Economics'!$G$5:$G$9)</f>
        <v/>
      </c>
      <c r="AL62" s="15">
        <f>SUMPRODUCT(AL47:AL51,'Unit Economics'!$G$5:$G$9)</f>
        <v/>
      </c>
      <c r="AM62" s="15">
        <f>SUMPRODUCT(AM47:AM51,'Unit Economics'!$G$5:$G$9)</f>
        <v/>
      </c>
      <c r="AO62" s="15">
        <f>SUM(D62:O62)</f>
        <v/>
      </c>
      <c r="AP62" s="15">
        <f>SUM(P62:AA62)</f>
        <v/>
      </c>
      <c r="AQ62" s="15">
        <f>SUM(AB62:AM62)</f>
        <v/>
      </c>
    </row>
    <row r="63">
      <c r="A63" s="5" t="inlineStr">
        <is>
          <t>Tokens - guest free previews (no revenue)</t>
        </is>
      </c>
      <c r="B63" s="2" t="inlineStr">
        <is>
          <t>$</t>
        </is>
      </c>
      <c r="D63" s="15">
        <f>D32*'Model Costs'!$B$37*Scenarios!$B$10*(1+Inputs!$B$42)</f>
        <v/>
      </c>
      <c r="E63" s="15">
        <f>E32*'Model Costs'!$B$37*Scenarios!$B$10*(1+Inputs!$B$42)</f>
        <v/>
      </c>
      <c r="F63" s="15">
        <f>F32*'Model Costs'!$B$37*Scenarios!$B$10*(1+Inputs!$B$42)</f>
        <v/>
      </c>
      <c r="G63" s="15">
        <f>G32*'Model Costs'!$B$37*Scenarios!$B$10*(1+Inputs!$B$42)</f>
        <v/>
      </c>
      <c r="H63" s="15">
        <f>H32*'Model Costs'!$B$37*Scenarios!$B$10*(1+Inputs!$B$42)</f>
        <v/>
      </c>
      <c r="I63" s="15">
        <f>I32*'Model Costs'!$B$37*Scenarios!$B$10*(1+Inputs!$B$42)</f>
        <v/>
      </c>
      <c r="J63" s="15">
        <f>J32*'Model Costs'!$B$37*Scenarios!$B$10*(1+Inputs!$B$42)</f>
        <v/>
      </c>
      <c r="K63" s="15">
        <f>K32*'Model Costs'!$B$37*Scenarios!$B$10*(1+Inputs!$B$42)</f>
        <v/>
      </c>
      <c r="L63" s="15">
        <f>L32*'Model Costs'!$B$37*Scenarios!$B$10*(1+Inputs!$B$42)</f>
        <v/>
      </c>
      <c r="M63" s="15">
        <f>M32*'Model Costs'!$B$37*Scenarios!$B$10*(1+Inputs!$B$42)</f>
        <v/>
      </c>
      <c r="N63" s="15">
        <f>N32*'Model Costs'!$B$37*Scenarios!$B$10*(1+Inputs!$B$42)</f>
        <v/>
      </c>
      <c r="O63" s="15">
        <f>O32*'Model Costs'!$B$37*Scenarios!$B$10*(1+Inputs!$B$42)</f>
        <v/>
      </c>
      <c r="P63" s="15">
        <f>P32*'Model Costs'!$B$37*Scenarios!$B$10*(1+Inputs!$B$42)</f>
        <v/>
      </c>
      <c r="Q63" s="15">
        <f>Q32*'Model Costs'!$B$37*Scenarios!$B$10*(1+Inputs!$B$42)</f>
        <v/>
      </c>
      <c r="R63" s="15">
        <f>R32*'Model Costs'!$B$37*Scenarios!$B$10*(1+Inputs!$B$42)</f>
        <v/>
      </c>
      <c r="S63" s="15">
        <f>S32*'Model Costs'!$B$37*Scenarios!$B$10*(1+Inputs!$B$42)</f>
        <v/>
      </c>
      <c r="T63" s="15">
        <f>T32*'Model Costs'!$B$37*Scenarios!$B$10*(1+Inputs!$B$42)</f>
        <v/>
      </c>
      <c r="U63" s="15">
        <f>U32*'Model Costs'!$B$37*Scenarios!$B$10*(1+Inputs!$B$42)</f>
        <v/>
      </c>
      <c r="V63" s="15">
        <f>V32*'Model Costs'!$B$37*Scenarios!$B$10*(1+Inputs!$B$42)</f>
        <v/>
      </c>
      <c r="W63" s="15">
        <f>W32*'Model Costs'!$B$37*Scenarios!$B$10*(1+Inputs!$B$42)</f>
        <v/>
      </c>
      <c r="X63" s="15">
        <f>X32*'Model Costs'!$B$37*Scenarios!$B$10*(1+Inputs!$B$42)</f>
        <v/>
      </c>
      <c r="Y63" s="15">
        <f>Y32*'Model Costs'!$B$37*Scenarios!$B$10*(1+Inputs!$B$42)</f>
        <v/>
      </c>
      <c r="Z63" s="15">
        <f>Z32*'Model Costs'!$B$37*Scenarios!$B$10*(1+Inputs!$B$42)</f>
        <v/>
      </c>
      <c r="AA63" s="15">
        <f>AA32*'Model Costs'!$B$37*Scenarios!$B$10*(1+Inputs!$B$42)</f>
        <v/>
      </c>
      <c r="AB63" s="15">
        <f>AB32*'Model Costs'!$B$37*Scenarios!$B$10*(1+Inputs!$B$42)</f>
        <v/>
      </c>
      <c r="AC63" s="15">
        <f>AC32*'Model Costs'!$B$37*Scenarios!$B$10*(1+Inputs!$B$42)</f>
        <v/>
      </c>
      <c r="AD63" s="15">
        <f>AD32*'Model Costs'!$B$37*Scenarios!$B$10*(1+Inputs!$B$42)</f>
        <v/>
      </c>
      <c r="AE63" s="15">
        <f>AE32*'Model Costs'!$B$37*Scenarios!$B$10*(1+Inputs!$B$42)</f>
        <v/>
      </c>
      <c r="AF63" s="15">
        <f>AF32*'Model Costs'!$B$37*Scenarios!$B$10*(1+Inputs!$B$42)</f>
        <v/>
      </c>
      <c r="AG63" s="15">
        <f>AG32*'Model Costs'!$B$37*Scenarios!$B$10*(1+Inputs!$B$42)</f>
        <v/>
      </c>
      <c r="AH63" s="15">
        <f>AH32*'Model Costs'!$B$37*Scenarios!$B$10*(1+Inputs!$B$42)</f>
        <v/>
      </c>
      <c r="AI63" s="15">
        <f>AI32*'Model Costs'!$B$37*Scenarios!$B$10*(1+Inputs!$B$42)</f>
        <v/>
      </c>
      <c r="AJ63" s="15">
        <f>AJ32*'Model Costs'!$B$37*Scenarios!$B$10*(1+Inputs!$B$42)</f>
        <v/>
      </c>
      <c r="AK63" s="15">
        <f>AK32*'Model Costs'!$B$37*Scenarios!$B$10*(1+Inputs!$B$42)</f>
        <v/>
      </c>
      <c r="AL63" s="15">
        <f>AL32*'Model Costs'!$B$37*Scenarios!$B$10*(1+Inputs!$B$42)</f>
        <v/>
      </c>
      <c r="AM63" s="15">
        <f>AM32*'Model Costs'!$B$37*Scenarios!$B$10*(1+Inputs!$B$42)</f>
        <v/>
      </c>
      <c r="AO63" s="15">
        <f>SUM(D63:O63)</f>
        <v/>
      </c>
      <c r="AP63" s="15">
        <f>SUM(P63:AA63)</f>
        <v/>
      </c>
      <c r="AQ63" s="15">
        <f>SUM(AB63:AM63)</f>
        <v/>
      </c>
    </row>
    <row r="64">
      <c r="A64" s="5" t="inlineStr">
        <is>
          <t>Tokens - abandoned drafts (started, not bought)</t>
        </is>
      </c>
      <c r="B64" s="2" t="inlineStr">
        <is>
          <t>$</t>
        </is>
      </c>
      <c r="D64" s="15">
        <f>MAX(0,D36-D40)*Inputs!$B$17*'Unit Economics'!$G$10</f>
        <v/>
      </c>
      <c r="E64" s="15">
        <f>MAX(0,E36-E40)*Inputs!$B$17*'Unit Economics'!$G$10</f>
        <v/>
      </c>
      <c r="F64" s="15">
        <f>MAX(0,F36-F40)*Inputs!$B$17*'Unit Economics'!$G$10</f>
        <v/>
      </c>
      <c r="G64" s="15">
        <f>MAX(0,G36-G40)*Inputs!$B$17*'Unit Economics'!$G$10</f>
        <v/>
      </c>
      <c r="H64" s="15">
        <f>MAX(0,H36-H40)*Inputs!$B$17*'Unit Economics'!$G$10</f>
        <v/>
      </c>
      <c r="I64" s="15">
        <f>MAX(0,I36-I40)*Inputs!$B$17*'Unit Economics'!$G$10</f>
        <v/>
      </c>
      <c r="J64" s="15">
        <f>MAX(0,J36-J40)*Inputs!$B$17*'Unit Economics'!$G$10</f>
        <v/>
      </c>
      <c r="K64" s="15">
        <f>MAX(0,K36-K40)*Inputs!$B$17*'Unit Economics'!$G$10</f>
        <v/>
      </c>
      <c r="L64" s="15">
        <f>MAX(0,L36-L40)*Inputs!$B$17*'Unit Economics'!$G$10</f>
        <v/>
      </c>
      <c r="M64" s="15">
        <f>MAX(0,M36-M40)*Inputs!$B$17*'Unit Economics'!$G$10</f>
        <v/>
      </c>
      <c r="N64" s="15">
        <f>MAX(0,N36-N40)*Inputs!$B$17*'Unit Economics'!$G$10</f>
        <v/>
      </c>
      <c r="O64" s="15">
        <f>MAX(0,O36-O40)*Inputs!$B$17*'Unit Economics'!$G$10</f>
        <v/>
      </c>
      <c r="P64" s="15">
        <f>MAX(0,P36-P40)*Inputs!$B$17*'Unit Economics'!$G$10</f>
        <v/>
      </c>
      <c r="Q64" s="15">
        <f>MAX(0,Q36-Q40)*Inputs!$B$17*'Unit Economics'!$G$10</f>
        <v/>
      </c>
      <c r="R64" s="15">
        <f>MAX(0,R36-R40)*Inputs!$B$17*'Unit Economics'!$G$10</f>
        <v/>
      </c>
      <c r="S64" s="15">
        <f>MAX(0,S36-S40)*Inputs!$B$17*'Unit Economics'!$G$10</f>
        <v/>
      </c>
      <c r="T64" s="15">
        <f>MAX(0,T36-T40)*Inputs!$B$17*'Unit Economics'!$G$10</f>
        <v/>
      </c>
      <c r="U64" s="15">
        <f>MAX(0,U36-U40)*Inputs!$B$17*'Unit Economics'!$G$10</f>
        <v/>
      </c>
      <c r="V64" s="15">
        <f>MAX(0,V36-V40)*Inputs!$B$17*'Unit Economics'!$G$10</f>
        <v/>
      </c>
      <c r="W64" s="15">
        <f>MAX(0,W36-W40)*Inputs!$B$17*'Unit Economics'!$G$10</f>
        <v/>
      </c>
      <c r="X64" s="15">
        <f>MAX(0,X36-X40)*Inputs!$B$17*'Unit Economics'!$G$10</f>
        <v/>
      </c>
      <c r="Y64" s="15">
        <f>MAX(0,Y36-Y40)*Inputs!$B$17*'Unit Economics'!$G$10</f>
        <v/>
      </c>
      <c r="Z64" s="15">
        <f>MAX(0,Z36-Z40)*Inputs!$B$17*'Unit Economics'!$G$10</f>
        <v/>
      </c>
      <c r="AA64" s="15">
        <f>MAX(0,AA36-AA40)*Inputs!$B$17*'Unit Economics'!$G$10</f>
        <v/>
      </c>
      <c r="AB64" s="15">
        <f>MAX(0,AB36-AB40)*Inputs!$B$17*'Unit Economics'!$G$10</f>
        <v/>
      </c>
      <c r="AC64" s="15">
        <f>MAX(0,AC36-AC40)*Inputs!$B$17*'Unit Economics'!$G$10</f>
        <v/>
      </c>
      <c r="AD64" s="15">
        <f>MAX(0,AD36-AD40)*Inputs!$B$17*'Unit Economics'!$G$10</f>
        <v/>
      </c>
      <c r="AE64" s="15">
        <f>MAX(0,AE36-AE40)*Inputs!$B$17*'Unit Economics'!$G$10</f>
        <v/>
      </c>
      <c r="AF64" s="15">
        <f>MAX(0,AF36-AF40)*Inputs!$B$17*'Unit Economics'!$G$10</f>
        <v/>
      </c>
      <c r="AG64" s="15">
        <f>MAX(0,AG36-AG40)*Inputs!$B$17*'Unit Economics'!$G$10</f>
        <v/>
      </c>
      <c r="AH64" s="15">
        <f>MAX(0,AH36-AH40)*Inputs!$B$17*'Unit Economics'!$G$10</f>
        <v/>
      </c>
      <c r="AI64" s="15">
        <f>MAX(0,AI36-AI40)*Inputs!$B$17*'Unit Economics'!$G$10</f>
        <v/>
      </c>
      <c r="AJ64" s="15">
        <f>MAX(0,AJ36-AJ40)*Inputs!$B$17*'Unit Economics'!$G$10</f>
        <v/>
      </c>
      <c r="AK64" s="15">
        <f>MAX(0,AK36-AK40)*Inputs!$B$17*'Unit Economics'!$G$10</f>
        <v/>
      </c>
      <c r="AL64" s="15">
        <f>MAX(0,AL36-AL40)*Inputs!$B$17*'Unit Economics'!$G$10</f>
        <v/>
      </c>
      <c r="AM64" s="15">
        <f>MAX(0,AM36-AM40)*Inputs!$B$17*'Unit Economics'!$G$10</f>
        <v/>
      </c>
      <c r="AO64" s="15">
        <f>SUM(D64:O64)</f>
        <v/>
      </c>
      <c r="AP64" s="15">
        <f>SUM(P64:AA64)</f>
        <v/>
      </c>
      <c r="AQ64" s="15">
        <f>SUM(AB64:AM64)</f>
        <v/>
      </c>
    </row>
    <row r="65">
      <c r="A65" s="5" t="inlineStr">
        <is>
          <t>Print cost</t>
        </is>
      </c>
      <c r="B65" s="2" t="inlineStr">
        <is>
          <t>$</t>
        </is>
      </c>
      <c r="D65" s="15">
        <f>SUMPRODUCT(D47:D51,'Unit Economics'!$H$5:$H$9)</f>
        <v/>
      </c>
      <c r="E65" s="15">
        <f>SUMPRODUCT(E47:E51,'Unit Economics'!$H$5:$H$9)</f>
        <v/>
      </c>
      <c r="F65" s="15">
        <f>SUMPRODUCT(F47:F51,'Unit Economics'!$H$5:$H$9)</f>
        <v/>
      </c>
      <c r="G65" s="15">
        <f>SUMPRODUCT(G47:G51,'Unit Economics'!$H$5:$H$9)</f>
        <v/>
      </c>
      <c r="H65" s="15">
        <f>SUMPRODUCT(H47:H51,'Unit Economics'!$H$5:$H$9)</f>
        <v/>
      </c>
      <c r="I65" s="15">
        <f>SUMPRODUCT(I47:I51,'Unit Economics'!$H$5:$H$9)</f>
        <v/>
      </c>
      <c r="J65" s="15">
        <f>SUMPRODUCT(J47:J51,'Unit Economics'!$H$5:$H$9)</f>
        <v/>
      </c>
      <c r="K65" s="15">
        <f>SUMPRODUCT(K47:K51,'Unit Economics'!$H$5:$H$9)</f>
        <v/>
      </c>
      <c r="L65" s="15">
        <f>SUMPRODUCT(L47:L51,'Unit Economics'!$H$5:$H$9)</f>
        <v/>
      </c>
      <c r="M65" s="15">
        <f>SUMPRODUCT(M47:M51,'Unit Economics'!$H$5:$H$9)</f>
        <v/>
      </c>
      <c r="N65" s="15">
        <f>SUMPRODUCT(N47:N51,'Unit Economics'!$H$5:$H$9)</f>
        <v/>
      </c>
      <c r="O65" s="15">
        <f>SUMPRODUCT(O47:O51,'Unit Economics'!$H$5:$H$9)</f>
        <v/>
      </c>
      <c r="P65" s="15">
        <f>SUMPRODUCT(P47:P51,'Unit Economics'!$H$5:$H$9)</f>
        <v/>
      </c>
      <c r="Q65" s="15">
        <f>SUMPRODUCT(Q47:Q51,'Unit Economics'!$H$5:$H$9)</f>
        <v/>
      </c>
      <c r="R65" s="15">
        <f>SUMPRODUCT(R47:R51,'Unit Economics'!$H$5:$H$9)</f>
        <v/>
      </c>
      <c r="S65" s="15">
        <f>SUMPRODUCT(S47:S51,'Unit Economics'!$H$5:$H$9)</f>
        <v/>
      </c>
      <c r="T65" s="15">
        <f>SUMPRODUCT(T47:T51,'Unit Economics'!$H$5:$H$9)</f>
        <v/>
      </c>
      <c r="U65" s="15">
        <f>SUMPRODUCT(U47:U51,'Unit Economics'!$H$5:$H$9)</f>
        <v/>
      </c>
      <c r="V65" s="15">
        <f>SUMPRODUCT(V47:V51,'Unit Economics'!$H$5:$H$9)</f>
        <v/>
      </c>
      <c r="W65" s="15">
        <f>SUMPRODUCT(W47:W51,'Unit Economics'!$H$5:$H$9)</f>
        <v/>
      </c>
      <c r="X65" s="15">
        <f>SUMPRODUCT(X47:X51,'Unit Economics'!$H$5:$H$9)</f>
        <v/>
      </c>
      <c r="Y65" s="15">
        <f>SUMPRODUCT(Y47:Y51,'Unit Economics'!$H$5:$H$9)</f>
        <v/>
      </c>
      <c r="Z65" s="15">
        <f>SUMPRODUCT(Z47:Z51,'Unit Economics'!$H$5:$H$9)</f>
        <v/>
      </c>
      <c r="AA65" s="15">
        <f>SUMPRODUCT(AA47:AA51,'Unit Economics'!$H$5:$H$9)</f>
        <v/>
      </c>
      <c r="AB65" s="15">
        <f>SUMPRODUCT(AB47:AB51,'Unit Economics'!$H$5:$H$9)</f>
        <v/>
      </c>
      <c r="AC65" s="15">
        <f>SUMPRODUCT(AC47:AC51,'Unit Economics'!$H$5:$H$9)</f>
        <v/>
      </c>
      <c r="AD65" s="15">
        <f>SUMPRODUCT(AD47:AD51,'Unit Economics'!$H$5:$H$9)</f>
        <v/>
      </c>
      <c r="AE65" s="15">
        <f>SUMPRODUCT(AE47:AE51,'Unit Economics'!$H$5:$H$9)</f>
        <v/>
      </c>
      <c r="AF65" s="15">
        <f>SUMPRODUCT(AF47:AF51,'Unit Economics'!$H$5:$H$9)</f>
        <v/>
      </c>
      <c r="AG65" s="15">
        <f>SUMPRODUCT(AG47:AG51,'Unit Economics'!$H$5:$H$9)</f>
        <v/>
      </c>
      <c r="AH65" s="15">
        <f>SUMPRODUCT(AH47:AH51,'Unit Economics'!$H$5:$H$9)</f>
        <v/>
      </c>
      <c r="AI65" s="15">
        <f>SUMPRODUCT(AI47:AI51,'Unit Economics'!$H$5:$H$9)</f>
        <v/>
      </c>
      <c r="AJ65" s="15">
        <f>SUMPRODUCT(AJ47:AJ51,'Unit Economics'!$H$5:$H$9)</f>
        <v/>
      </c>
      <c r="AK65" s="15">
        <f>SUMPRODUCT(AK47:AK51,'Unit Economics'!$H$5:$H$9)</f>
        <v/>
      </c>
      <c r="AL65" s="15">
        <f>SUMPRODUCT(AL47:AL51,'Unit Economics'!$H$5:$H$9)</f>
        <v/>
      </c>
      <c r="AM65" s="15">
        <f>SUMPRODUCT(AM47:AM51,'Unit Economics'!$H$5:$H$9)</f>
        <v/>
      </c>
      <c r="AO65" s="15">
        <f>SUM(D65:O65)</f>
        <v/>
      </c>
      <c r="AP65" s="15">
        <f>SUM(P65:AA65)</f>
        <v/>
      </c>
      <c r="AQ65" s="15">
        <f>SUM(AB65:AM65)</f>
        <v/>
      </c>
    </row>
    <row r="66">
      <c r="A66" s="5" t="inlineStr">
        <is>
          <t>Shipping cost</t>
        </is>
      </c>
      <c r="B66" s="2" t="inlineStr">
        <is>
          <t>$</t>
        </is>
      </c>
      <c r="D66" s="15">
        <f>SUMPRODUCT(D47:D51,'Unit Economics'!$I$5:$I$9)</f>
        <v/>
      </c>
      <c r="E66" s="15">
        <f>SUMPRODUCT(E47:E51,'Unit Economics'!$I$5:$I$9)</f>
        <v/>
      </c>
      <c r="F66" s="15">
        <f>SUMPRODUCT(F47:F51,'Unit Economics'!$I$5:$I$9)</f>
        <v/>
      </c>
      <c r="G66" s="15">
        <f>SUMPRODUCT(G47:G51,'Unit Economics'!$I$5:$I$9)</f>
        <v/>
      </c>
      <c r="H66" s="15">
        <f>SUMPRODUCT(H47:H51,'Unit Economics'!$I$5:$I$9)</f>
        <v/>
      </c>
      <c r="I66" s="15">
        <f>SUMPRODUCT(I47:I51,'Unit Economics'!$I$5:$I$9)</f>
        <v/>
      </c>
      <c r="J66" s="15">
        <f>SUMPRODUCT(J47:J51,'Unit Economics'!$I$5:$I$9)</f>
        <v/>
      </c>
      <c r="K66" s="15">
        <f>SUMPRODUCT(K47:K51,'Unit Economics'!$I$5:$I$9)</f>
        <v/>
      </c>
      <c r="L66" s="15">
        <f>SUMPRODUCT(L47:L51,'Unit Economics'!$I$5:$I$9)</f>
        <v/>
      </c>
      <c r="M66" s="15">
        <f>SUMPRODUCT(M47:M51,'Unit Economics'!$I$5:$I$9)</f>
        <v/>
      </c>
      <c r="N66" s="15">
        <f>SUMPRODUCT(N47:N51,'Unit Economics'!$I$5:$I$9)</f>
        <v/>
      </c>
      <c r="O66" s="15">
        <f>SUMPRODUCT(O47:O51,'Unit Economics'!$I$5:$I$9)</f>
        <v/>
      </c>
      <c r="P66" s="15">
        <f>SUMPRODUCT(P47:P51,'Unit Economics'!$I$5:$I$9)</f>
        <v/>
      </c>
      <c r="Q66" s="15">
        <f>SUMPRODUCT(Q47:Q51,'Unit Economics'!$I$5:$I$9)</f>
        <v/>
      </c>
      <c r="R66" s="15">
        <f>SUMPRODUCT(R47:R51,'Unit Economics'!$I$5:$I$9)</f>
        <v/>
      </c>
      <c r="S66" s="15">
        <f>SUMPRODUCT(S47:S51,'Unit Economics'!$I$5:$I$9)</f>
        <v/>
      </c>
      <c r="T66" s="15">
        <f>SUMPRODUCT(T47:T51,'Unit Economics'!$I$5:$I$9)</f>
        <v/>
      </c>
      <c r="U66" s="15">
        <f>SUMPRODUCT(U47:U51,'Unit Economics'!$I$5:$I$9)</f>
        <v/>
      </c>
      <c r="V66" s="15">
        <f>SUMPRODUCT(V47:V51,'Unit Economics'!$I$5:$I$9)</f>
        <v/>
      </c>
      <c r="W66" s="15">
        <f>SUMPRODUCT(W47:W51,'Unit Economics'!$I$5:$I$9)</f>
        <v/>
      </c>
      <c r="X66" s="15">
        <f>SUMPRODUCT(X47:X51,'Unit Economics'!$I$5:$I$9)</f>
        <v/>
      </c>
      <c r="Y66" s="15">
        <f>SUMPRODUCT(Y47:Y51,'Unit Economics'!$I$5:$I$9)</f>
        <v/>
      </c>
      <c r="Z66" s="15">
        <f>SUMPRODUCT(Z47:Z51,'Unit Economics'!$I$5:$I$9)</f>
        <v/>
      </c>
      <c r="AA66" s="15">
        <f>SUMPRODUCT(AA47:AA51,'Unit Economics'!$I$5:$I$9)</f>
        <v/>
      </c>
      <c r="AB66" s="15">
        <f>SUMPRODUCT(AB47:AB51,'Unit Economics'!$I$5:$I$9)</f>
        <v/>
      </c>
      <c r="AC66" s="15">
        <f>SUMPRODUCT(AC47:AC51,'Unit Economics'!$I$5:$I$9)</f>
        <v/>
      </c>
      <c r="AD66" s="15">
        <f>SUMPRODUCT(AD47:AD51,'Unit Economics'!$I$5:$I$9)</f>
        <v/>
      </c>
      <c r="AE66" s="15">
        <f>SUMPRODUCT(AE47:AE51,'Unit Economics'!$I$5:$I$9)</f>
        <v/>
      </c>
      <c r="AF66" s="15">
        <f>SUMPRODUCT(AF47:AF51,'Unit Economics'!$I$5:$I$9)</f>
        <v/>
      </c>
      <c r="AG66" s="15">
        <f>SUMPRODUCT(AG47:AG51,'Unit Economics'!$I$5:$I$9)</f>
        <v/>
      </c>
      <c r="AH66" s="15">
        <f>SUMPRODUCT(AH47:AH51,'Unit Economics'!$I$5:$I$9)</f>
        <v/>
      </c>
      <c r="AI66" s="15">
        <f>SUMPRODUCT(AI47:AI51,'Unit Economics'!$I$5:$I$9)</f>
        <v/>
      </c>
      <c r="AJ66" s="15">
        <f>SUMPRODUCT(AJ47:AJ51,'Unit Economics'!$I$5:$I$9)</f>
        <v/>
      </c>
      <c r="AK66" s="15">
        <f>SUMPRODUCT(AK47:AK51,'Unit Economics'!$I$5:$I$9)</f>
        <v/>
      </c>
      <c r="AL66" s="15">
        <f>SUMPRODUCT(AL47:AL51,'Unit Economics'!$I$5:$I$9)</f>
        <v/>
      </c>
      <c r="AM66" s="15">
        <f>SUMPRODUCT(AM47:AM51,'Unit Economics'!$I$5:$I$9)</f>
        <v/>
      </c>
      <c r="AO66" s="15">
        <f>SUM(D66:O66)</f>
        <v/>
      </c>
      <c r="AP66" s="15">
        <f>SUM(P66:AA66)</f>
        <v/>
      </c>
      <c r="AQ66" s="15">
        <f>SUM(AB66:AM66)</f>
        <v/>
      </c>
    </row>
    <row r="67">
      <c r="A67" s="5" t="inlineStr">
        <is>
          <t>Reprint allowance</t>
        </is>
      </c>
      <c r="B67" s="2" t="inlineStr">
        <is>
          <t>$</t>
        </is>
      </c>
      <c r="D67" s="15">
        <f>SUMPRODUCT(D47:D51,'Unit Economics'!$J$5:$J$9)</f>
        <v/>
      </c>
      <c r="E67" s="15">
        <f>SUMPRODUCT(E47:E51,'Unit Economics'!$J$5:$J$9)</f>
        <v/>
      </c>
      <c r="F67" s="15">
        <f>SUMPRODUCT(F47:F51,'Unit Economics'!$J$5:$J$9)</f>
        <v/>
      </c>
      <c r="G67" s="15">
        <f>SUMPRODUCT(G47:G51,'Unit Economics'!$J$5:$J$9)</f>
        <v/>
      </c>
      <c r="H67" s="15">
        <f>SUMPRODUCT(H47:H51,'Unit Economics'!$J$5:$J$9)</f>
        <v/>
      </c>
      <c r="I67" s="15">
        <f>SUMPRODUCT(I47:I51,'Unit Economics'!$J$5:$J$9)</f>
        <v/>
      </c>
      <c r="J67" s="15">
        <f>SUMPRODUCT(J47:J51,'Unit Economics'!$J$5:$J$9)</f>
        <v/>
      </c>
      <c r="K67" s="15">
        <f>SUMPRODUCT(K47:K51,'Unit Economics'!$J$5:$J$9)</f>
        <v/>
      </c>
      <c r="L67" s="15">
        <f>SUMPRODUCT(L47:L51,'Unit Economics'!$J$5:$J$9)</f>
        <v/>
      </c>
      <c r="M67" s="15">
        <f>SUMPRODUCT(M47:M51,'Unit Economics'!$J$5:$J$9)</f>
        <v/>
      </c>
      <c r="N67" s="15">
        <f>SUMPRODUCT(N47:N51,'Unit Economics'!$J$5:$J$9)</f>
        <v/>
      </c>
      <c r="O67" s="15">
        <f>SUMPRODUCT(O47:O51,'Unit Economics'!$J$5:$J$9)</f>
        <v/>
      </c>
      <c r="P67" s="15">
        <f>SUMPRODUCT(P47:P51,'Unit Economics'!$J$5:$J$9)</f>
        <v/>
      </c>
      <c r="Q67" s="15">
        <f>SUMPRODUCT(Q47:Q51,'Unit Economics'!$J$5:$J$9)</f>
        <v/>
      </c>
      <c r="R67" s="15">
        <f>SUMPRODUCT(R47:R51,'Unit Economics'!$J$5:$J$9)</f>
        <v/>
      </c>
      <c r="S67" s="15">
        <f>SUMPRODUCT(S47:S51,'Unit Economics'!$J$5:$J$9)</f>
        <v/>
      </c>
      <c r="T67" s="15">
        <f>SUMPRODUCT(T47:T51,'Unit Economics'!$J$5:$J$9)</f>
        <v/>
      </c>
      <c r="U67" s="15">
        <f>SUMPRODUCT(U47:U51,'Unit Economics'!$J$5:$J$9)</f>
        <v/>
      </c>
      <c r="V67" s="15">
        <f>SUMPRODUCT(V47:V51,'Unit Economics'!$J$5:$J$9)</f>
        <v/>
      </c>
      <c r="W67" s="15">
        <f>SUMPRODUCT(W47:W51,'Unit Economics'!$J$5:$J$9)</f>
        <v/>
      </c>
      <c r="X67" s="15">
        <f>SUMPRODUCT(X47:X51,'Unit Economics'!$J$5:$J$9)</f>
        <v/>
      </c>
      <c r="Y67" s="15">
        <f>SUMPRODUCT(Y47:Y51,'Unit Economics'!$J$5:$J$9)</f>
        <v/>
      </c>
      <c r="Z67" s="15">
        <f>SUMPRODUCT(Z47:Z51,'Unit Economics'!$J$5:$J$9)</f>
        <v/>
      </c>
      <c r="AA67" s="15">
        <f>SUMPRODUCT(AA47:AA51,'Unit Economics'!$J$5:$J$9)</f>
        <v/>
      </c>
      <c r="AB67" s="15">
        <f>SUMPRODUCT(AB47:AB51,'Unit Economics'!$J$5:$J$9)</f>
        <v/>
      </c>
      <c r="AC67" s="15">
        <f>SUMPRODUCT(AC47:AC51,'Unit Economics'!$J$5:$J$9)</f>
        <v/>
      </c>
      <c r="AD67" s="15">
        <f>SUMPRODUCT(AD47:AD51,'Unit Economics'!$J$5:$J$9)</f>
        <v/>
      </c>
      <c r="AE67" s="15">
        <f>SUMPRODUCT(AE47:AE51,'Unit Economics'!$J$5:$J$9)</f>
        <v/>
      </c>
      <c r="AF67" s="15">
        <f>SUMPRODUCT(AF47:AF51,'Unit Economics'!$J$5:$J$9)</f>
        <v/>
      </c>
      <c r="AG67" s="15">
        <f>SUMPRODUCT(AG47:AG51,'Unit Economics'!$J$5:$J$9)</f>
        <v/>
      </c>
      <c r="AH67" s="15">
        <f>SUMPRODUCT(AH47:AH51,'Unit Economics'!$J$5:$J$9)</f>
        <v/>
      </c>
      <c r="AI67" s="15">
        <f>SUMPRODUCT(AI47:AI51,'Unit Economics'!$J$5:$J$9)</f>
        <v/>
      </c>
      <c r="AJ67" s="15">
        <f>SUMPRODUCT(AJ47:AJ51,'Unit Economics'!$J$5:$J$9)</f>
        <v/>
      </c>
      <c r="AK67" s="15">
        <f>SUMPRODUCT(AK47:AK51,'Unit Economics'!$J$5:$J$9)</f>
        <v/>
      </c>
      <c r="AL67" s="15">
        <f>SUMPRODUCT(AL47:AL51,'Unit Economics'!$J$5:$J$9)</f>
        <v/>
      </c>
      <c r="AM67" s="15">
        <f>SUMPRODUCT(AM47:AM51,'Unit Economics'!$J$5:$J$9)</f>
        <v/>
      </c>
      <c r="AO67" s="15">
        <f>SUM(D67:O67)</f>
        <v/>
      </c>
      <c r="AP67" s="15">
        <f>SUM(P67:AA67)</f>
        <v/>
      </c>
      <c r="AQ67" s="15">
        <f>SUM(AB67:AM67)</f>
        <v/>
      </c>
    </row>
    <row r="68">
      <c r="A68" s="5" t="inlineStr">
        <is>
          <t>Stripe fees (2.9% + $0.30)</t>
        </is>
      </c>
      <c r="B68" s="2" t="inlineStr">
        <is>
          <t>$</t>
        </is>
      </c>
      <c r="D68" s="15">
        <f>SUMPRODUCT(D47:D51,'Unit Economics'!$K$5:$K$9)</f>
        <v/>
      </c>
      <c r="E68" s="15">
        <f>SUMPRODUCT(E47:E51,'Unit Economics'!$K$5:$K$9)</f>
        <v/>
      </c>
      <c r="F68" s="15">
        <f>SUMPRODUCT(F47:F51,'Unit Economics'!$K$5:$K$9)</f>
        <v/>
      </c>
      <c r="G68" s="15">
        <f>SUMPRODUCT(G47:G51,'Unit Economics'!$K$5:$K$9)</f>
        <v/>
      </c>
      <c r="H68" s="15">
        <f>SUMPRODUCT(H47:H51,'Unit Economics'!$K$5:$K$9)</f>
        <v/>
      </c>
      <c r="I68" s="15">
        <f>SUMPRODUCT(I47:I51,'Unit Economics'!$K$5:$K$9)</f>
        <v/>
      </c>
      <c r="J68" s="15">
        <f>SUMPRODUCT(J47:J51,'Unit Economics'!$K$5:$K$9)</f>
        <v/>
      </c>
      <c r="K68" s="15">
        <f>SUMPRODUCT(K47:K51,'Unit Economics'!$K$5:$K$9)</f>
        <v/>
      </c>
      <c r="L68" s="15">
        <f>SUMPRODUCT(L47:L51,'Unit Economics'!$K$5:$K$9)</f>
        <v/>
      </c>
      <c r="M68" s="15">
        <f>SUMPRODUCT(M47:M51,'Unit Economics'!$K$5:$K$9)</f>
        <v/>
      </c>
      <c r="N68" s="15">
        <f>SUMPRODUCT(N47:N51,'Unit Economics'!$K$5:$K$9)</f>
        <v/>
      </c>
      <c r="O68" s="15">
        <f>SUMPRODUCT(O47:O51,'Unit Economics'!$K$5:$K$9)</f>
        <v/>
      </c>
      <c r="P68" s="15">
        <f>SUMPRODUCT(P47:P51,'Unit Economics'!$K$5:$K$9)</f>
        <v/>
      </c>
      <c r="Q68" s="15">
        <f>SUMPRODUCT(Q47:Q51,'Unit Economics'!$K$5:$K$9)</f>
        <v/>
      </c>
      <c r="R68" s="15">
        <f>SUMPRODUCT(R47:R51,'Unit Economics'!$K$5:$K$9)</f>
        <v/>
      </c>
      <c r="S68" s="15">
        <f>SUMPRODUCT(S47:S51,'Unit Economics'!$K$5:$K$9)</f>
        <v/>
      </c>
      <c r="T68" s="15">
        <f>SUMPRODUCT(T47:T51,'Unit Economics'!$K$5:$K$9)</f>
        <v/>
      </c>
      <c r="U68" s="15">
        <f>SUMPRODUCT(U47:U51,'Unit Economics'!$K$5:$K$9)</f>
        <v/>
      </c>
      <c r="V68" s="15">
        <f>SUMPRODUCT(V47:V51,'Unit Economics'!$K$5:$K$9)</f>
        <v/>
      </c>
      <c r="W68" s="15">
        <f>SUMPRODUCT(W47:W51,'Unit Economics'!$K$5:$K$9)</f>
        <v/>
      </c>
      <c r="X68" s="15">
        <f>SUMPRODUCT(X47:X51,'Unit Economics'!$K$5:$K$9)</f>
        <v/>
      </c>
      <c r="Y68" s="15">
        <f>SUMPRODUCT(Y47:Y51,'Unit Economics'!$K$5:$K$9)</f>
        <v/>
      </c>
      <c r="Z68" s="15">
        <f>SUMPRODUCT(Z47:Z51,'Unit Economics'!$K$5:$K$9)</f>
        <v/>
      </c>
      <c r="AA68" s="15">
        <f>SUMPRODUCT(AA47:AA51,'Unit Economics'!$K$5:$K$9)</f>
        <v/>
      </c>
      <c r="AB68" s="15">
        <f>SUMPRODUCT(AB47:AB51,'Unit Economics'!$K$5:$K$9)</f>
        <v/>
      </c>
      <c r="AC68" s="15">
        <f>SUMPRODUCT(AC47:AC51,'Unit Economics'!$K$5:$K$9)</f>
        <v/>
      </c>
      <c r="AD68" s="15">
        <f>SUMPRODUCT(AD47:AD51,'Unit Economics'!$K$5:$K$9)</f>
        <v/>
      </c>
      <c r="AE68" s="15">
        <f>SUMPRODUCT(AE47:AE51,'Unit Economics'!$K$5:$K$9)</f>
        <v/>
      </c>
      <c r="AF68" s="15">
        <f>SUMPRODUCT(AF47:AF51,'Unit Economics'!$K$5:$K$9)</f>
        <v/>
      </c>
      <c r="AG68" s="15">
        <f>SUMPRODUCT(AG47:AG51,'Unit Economics'!$K$5:$K$9)</f>
        <v/>
      </c>
      <c r="AH68" s="15">
        <f>SUMPRODUCT(AH47:AH51,'Unit Economics'!$K$5:$K$9)</f>
        <v/>
      </c>
      <c r="AI68" s="15">
        <f>SUMPRODUCT(AI47:AI51,'Unit Economics'!$K$5:$K$9)</f>
        <v/>
      </c>
      <c r="AJ68" s="15">
        <f>SUMPRODUCT(AJ47:AJ51,'Unit Economics'!$K$5:$K$9)</f>
        <v/>
      </c>
      <c r="AK68" s="15">
        <f>SUMPRODUCT(AK47:AK51,'Unit Economics'!$K$5:$K$9)</f>
        <v/>
      </c>
      <c r="AL68" s="15">
        <f>SUMPRODUCT(AL47:AL51,'Unit Economics'!$K$5:$K$9)</f>
        <v/>
      </c>
      <c r="AM68" s="15">
        <f>SUMPRODUCT(AM47:AM51,'Unit Economics'!$K$5:$K$9)</f>
        <v/>
      </c>
      <c r="AO68" s="15">
        <f>SUM(D68:O68)</f>
        <v/>
      </c>
      <c r="AP68" s="15">
        <f>SUM(P68:AA68)</f>
        <v/>
      </c>
      <c r="AQ68" s="15">
        <f>SUM(AB68:AM68)</f>
        <v/>
      </c>
    </row>
    <row r="69">
      <c r="A69" s="5" t="inlineStr">
        <is>
          <t>Dispute allowance</t>
        </is>
      </c>
      <c r="B69" s="2" t="inlineStr">
        <is>
          <t>$</t>
        </is>
      </c>
      <c r="D69" s="15">
        <f>SUMPRODUCT(D47:D51,'Unit Economics'!$L$5:$L$9)</f>
        <v/>
      </c>
      <c r="E69" s="15">
        <f>SUMPRODUCT(E47:E51,'Unit Economics'!$L$5:$L$9)</f>
        <v/>
      </c>
      <c r="F69" s="15">
        <f>SUMPRODUCT(F47:F51,'Unit Economics'!$L$5:$L$9)</f>
        <v/>
      </c>
      <c r="G69" s="15">
        <f>SUMPRODUCT(G47:G51,'Unit Economics'!$L$5:$L$9)</f>
        <v/>
      </c>
      <c r="H69" s="15">
        <f>SUMPRODUCT(H47:H51,'Unit Economics'!$L$5:$L$9)</f>
        <v/>
      </c>
      <c r="I69" s="15">
        <f>SUMPRODUCT(I47:I51,'Unit Economics'!$L$5:$L$9)</f>
        <v/>
      </c>
      <c r="J69" s="15">
        <f>SUMPRODUCT(J47:J51,'Unit Economics'!$L$5:$L$9)</f>
        <v/>
      </c>
      <c r="K69" s="15">
        <f>SUMPRODUCT(K47:K51,'Unit Economics'!$L$5:$L$9)</f>
        <v/>
      </c>
      <c r="L69" s="15">
        <f>SUMPRODUCT(L47:L51,'Unit Economics'!$L$5:$L$9)</f>
        <v/>
      </c>
      <c r="M69" s="15">
        <f>SUMPRODUCT(M47:M51,'Unit Economics'!$L$5:$L$9)</f>
        <v/>
      </c>
      <c r="N69" s="15">
        <f>SUMPRODUCT(N47:N51,'Unit Economics'!$L$5:$L$9)</f>
        <v/>
      </c>
      <c r="O69" s="15">
        <f>SUMPRODUCT(O47:O51,'Unit Economics'!$L$5:$L$9)</f>
        <v/>
      </c>
      <c r="P69" s="15">
        <f>SUMPRODUCT(P47:P51,'Unit Economics'!$L$5:$L$9)</f>
        <v/>
      </c>
      <c r="Q69" s="15">
        <f>SUMPRODUCT(Q47:Q51,'Unit Economics'!$L$5:$L$9)</f>
        <v/>
      </c>
      <c r="R69" s="15">
        <f>SUMPRODUCT(R47:R51,'Unit Economics'!$L$5:$L$9)</f>
        <v/>
      </c>
      <c r="S69" s="15">
        <f>SUMPRODUCT(S47:S51,'Unit Economics'!$L$5:$L$9)</f>
        <v/>
      </c>
      <c r="T69" s="15">
        <f>SUMPRODUCT(T47:T51,'Unit Economics'!$L$5:$L$9)</f>
        <v/>
      </c>
      <c r="U69" s="15">
        <f>SUMPRODUCT(U47:U51,'Unit Economics'!$L$5:$L$9)</f>
        <v/>
      </c>
      <c r="V69" s="15">
        <f>SUMPRODUCT(V47:V51,'Unit Economics'!$L$5:$L$9)</f>
        <v/>
      </c>
      <c r="W69" s="15">
        <f>SUMPRODUCT(W47:W51,'Unit Economics'!$L$5:$L$9)</f>
        <v/>
      </c>
      <c r="X69" s="15">
        <f>SUMPRODUCT(X47:X51,'Unit Economics'!$L$5:$L$9)</f>
        <v/>
      </c>
      <c r="Y69" s="15">
        <f>SUMPRODUCT(Y47:Y51,'Unit Economics'!$L$5:$L$9)</f>
        <v/>
      </c>
      <c r="Z69" s="15">
        <f>SUMPRODUCT(Z47:Z51,'Unit Economics'!$L$5:$L$9)</f>
        <v/>
      </c>
      <c r="AA69" s="15">
        <f>SUMPRODUCT(AA47:AA51,'Unit Economics'!$L$5:$L$9)</f>
        <v/>
      </c>
      <c r="AB69" s="15">
        <f>SUMPRODUCT(AB47:AB51,'Unit Economics'!$L$5:$L$9)</f>
        <v/>
      </c>
      <c r="AC69" s="15">
        <f>SUMPRODUCT(AC47:AC51,'Unit Economics'!$L$5:$L$9)</f>
        <v/>
      </c>
      <c r="AD69" s="15">
        <f>SUMPRODUCT(AD47:AD51,'Unit Economics'!$L$5:$L$9)</f>
        <v/>
      </c>
      <c r="AE69" s="15">
        <f>SUMPRODUCT(AE47:AE51,'Unit Economics'!$L$5:$L$9)</f>
        <v/>
      </c>
      <c r="AF69" s="15">
        <f>SUMPRODUCT(AF47:AF51,'Unit Economics'!$L$5:$L$9)</f>
        <v/>
      </c>
      <c r="AG69" s="15">
        <f>SUMPRODUCT(AG47:AG51,'Unit Economics'!$L$5:$L$9)</f>
        <v/>
      </c>
      <c r="AH69" s="15">
        <f>SUMPRODUCT(AH47:AH51,'Unit Economics'!$L$5:$L$9)</f>
        <v/>
      </c>
      <c r="AI69" s="15">
        <f>SUMPRODUCT(AI47:AI51,'Unit Economics'!$L$5:$L$9)</f>
        <v/>
      </c>
      <c r="AJ69" s="15">
        <f>SUMPRODUCT(AJ47:AJ51,'Unit Economics'!$L$5:$L$9)</f>
        <v/>
      </c>
      <c r="AK69" s="15">
        <f>SUMPRODUCT(AK47:AK51,'Unit Economics'!$L$5:$L$9)</f>
        <v/>
      </c>
      <c r="AL69" s="15">
        <f>SUMPRODUCT(AL47:AL51,'Unit Economics'!$L$5:$L$9)</f>
        <v/>
      </c>
      <c r="AM69" s="15">
        <f>SUMPRODUCT(AM47:AM51,'Unit Economics'!$L$5:$L$9)</f>
        <v/>
      </c>
      <c r="AO69" s="15">
        <f>SUM(D69:O69)</f>
        <v/>
      </c>
      <c r="AP69" s="15">
        <f>SUM(P69:AA69)</f>
        <v/>
      </c>
      <c r="AQ69" s="15">
        <f>SUM(AB69:AM69)</f>
        <v/>
      </c>
    </row>
    <row r="70">
      <c r="A70" s="3" t="inlineStr">
        <is>
          <t>Total COGS</t>
        </is>
      </c>
      <c r="B70" s="2" t="inlineStr">
        <is>
          <t>$</t>
        </is>
      </c>
      <c r="D70" s="23">
        <f>SUM(D62:D69)</f>
        <v/>
      </c>
      <c r="E70" s="23">
        <f>SUM(E62:E69)</f>
        <v/>
      </c>
      <c r="F70" s="23">
        <f>SUM(F62:F69)</f>
        <v/>
      </c>
      <c r="G70" s="23">
        <f>SUM(G62:G69)</f>
        <v/>
      </c>
      <c r="H70" s="23">
        <f>SUM(H62:H69)</f>
        <v/>
      </c>
      <c r="I70" s="23">
        <f>SUM(I62:I69)</f>
        <v/>
      </c>
      <c r="J70" s="23">
        <f>SUM(J62:J69)</f>
        <v/>
      </c>
      <c r="K70" s="23">
        <f>SUM(K62:K69)</f>
        <v/>
      </c>
      <c r="L70" s="23">
        <f>SUM(L62:L69)</f>
        <v/>
      </c>
      <c r="M70" s="23">
        <f>SUM(M62:M69)</f>
        <v/>
      </c>
      <c r="N70" s="23">
        <f>SUM(N62:N69)</f>
        <v/>
      </c>
      <c r="O70" s="23">
        <f>SUM(O62:O69)</f>
        <v/>
      </c>
      <c r="P70" s="23">
        <f>SUM(P62:P69)</f>
        <v/>
      </c>
      <c r="Q70" s="23">
        <f>SUM(Q62:Q69)</f>
        <v/>
      </c>
      <c r="R70" s="23">
        <f>SUM(R62:R69)</f>
        <v/>
      </c>
      <c r="S70" s="23">
        <f>SUM(S62:S69)</f>
        <v/>
      </c>
      <c r="T70" s="23">
        <f>SUM(T62:T69)</f>
        <v/>
      </c>
      <c r="U70" s="23">
        <f>SUM(U62:U69)</f>
        <v/>
      </c>
      <c r="V70" s="23">
        <f>SUM(V62:V69)</f>
        <v/>
      </c>
      <c r="W70" s="23">
        <f>SUM(W62:W69)</f>
        <v/>
      </c>
      <c r="X70" s="23">
        <f>SUM(X62:X69)</f>
        <v/>
      </c>
      <c r="Y70" s="23">
        <f>SUM(Y62:Y69)</f>
        <v/>
      </c>
      <c r="Z70" s="23">
        <f>SUM(Z62:Z69)</f>
        <v/>
      </c>
      <c r="AA70" s="23">
        <f>SUM(AA62:AA69)</f>
        <v/>
      </c>
      <c r="AB70" s="23">
        <f>SUM(AB62:AB69)</f>
        <v/>
      </c>
      <c r="AC70" s="23">
        <f>SUM(AC62:AC69)</f>
        <v/>
      </c>
      <c r="AD70" s="23">
        <f>SUM(AD62:AD69)</f>
        <v/>
      </c>
      <c r="AE70" s="23">
        <f>SUM(AE62:AE69)</f>
        <v/>
      </c>
      <c r="AF70" s="23">
        <f>SUM(AF62:AF69)</f>
        <v/>
      </c>
      <c r="AG70" s="23">
        <f>SUM(AG62:AG69)</f>
        <v/>
      </c>
      <c r="AH70" s="23">
        <f>SUM(AH62:AH69)</f>
        <v/>
      </c>
      <c r="AI70" s="23">
        <f>SUM(AI62:AI69)</f>
        <v/>
      </c>
      <c r="AJ70" s="23">
        <f>SUM(AJ62:AJ69)</f>
        <v/>
      </c>
      <c r="AK70" s="23">
        <f>SUM(AK62:AK69)</f>
        <v/>
      </c>
      <c r="AL70" s="23">
        <f>SUM(AL62:AL69)</f>
        <v/>
      </c>
      <c r="AM70" s="23">
        <f>SUM(AM62:AM69)</f>
        <v/>
      </c>
      <c r="AO70" s="23">
        <f>SUM(D70:O70)</f>
        <v/>
      </c>
      <c r="AP70" s="23">
        <f>SUM(P70:AA70)</f>
        <v/>
      </c>
      <c r="AQ70" s="23">
        <f>SUM(AB70:AM70)</f>
        <v/>
      </c>
    </row>
    <row r="71">
      <c r="A71" s="3" t="inlineStr">
        <is>
          <t>Gross profit</t>
        </is>
      </c>
      <c r="B71" s="2" t="inlineStr">
        <is>
          <t>$</t>
        </is>
      </c>
      <c r="D71" s="23">
        <f>D60-D70</f>
        <v/>
      </c>
      <c r="E71" s="23">
        <f>E60-E70</f>
        <v/>
      </c>
      <c r="F71" s="23">
        <f>F60-F70</f>
        <v/>
      </c>
      <c r="G71" s="23">
        <f>G60-G70</f>
        <v/>
      </c>
      <c r="H71" s="23">
        <f>H60-H70</f>
        <v/>
      </c>
      <c r="I71" s="23">
        <f>I60-I70</f>
        <v/>
      </c>
      <c r="J71" s="23">
        <f>J60-J70</f>
        <v/>
      </c>
      <c r="K71" s="23">
        <f>K60-K70</f>
        <v/>
      </c>
      <c r="L71" s="23">
        <f>L60-L70</f>
        <v/>
      </c>
      <c r="M71" s="23">
        <f>M60-M70</f>
        <v/>
      </c>
      <c r="N71" s="23">
        <f>N60-N70</f>
        <v/>
      </c>
      <c r="O71" s="23">
        <f>O60-O70</f>
        <v/>
      </c>
      <c r="P71" s="23">
        <f>P60-P70</f>
        <v/>
      </c>
      <c r="Q71" s="23">
        <f>Q60-Q70</f>
        <v/>
      </c>
      <c r="R71" s="23">
        <f>R60-R70</f>
        <v/>
      </c>
      <c r="S71" s="23">
        <f>S60-S70</f>
        <v/>
      </c>
      <c r="T71" s="23">
        <f>T60-T70</f>
        <v/>
      </c>
      <c r="U71" s="23">
        <f>U60-U70</f>
        <v/>
      </c>
      <c r="V71" s="23">
        <f>V60-V70</f>
        <v/>
      </c>
      <c r="W71" s="23">
        <f>W60-W70</f>
        <v/>
      </c>
      <c r="X71" s="23">
        <f>X60-X70</f>
        <v/>
      </c>
      <c r="Y71" s="23">
        <f>Y60-Y70</f>
        <v/>
      </c>
      <c r="Z71" s="23">
        <f>Z60-Z70</f>
        <v/>
      </c>
      <c r="AA71" s="23">
        <f>AA60-AA70</f>
        <v/>
      </c>
      <c r="AB71" s="23">
        <f>AB60-AB70</f>
        <v/>
      </c>
      <c r="AC71" s="23">
        <f>AC60-AC70</f>
        <v/>
      </c>
      <c r="AD71" s="23">
        <f>AD60-AD70</f>
        <v/>
      </c>
      <c r="AE71" s="23">
        <f>AE60-AE70</f>
        <v/>
      </c>
      <c r="AF71" s="23">
        <f>AF60-AF70</f>
        <v/>
      </c>
      <c r="AG71" s="23">
        <f>AG60-AG70</f>
        <v/>
      </c>
      <c r="AH71" s="23">
        <f>AH60-AH70</f>
        <v/>
      </c>
      <c r="AI71" s="23">
        <f>AI60-AI70</f>
        <v/>
      </c>
      <c r="AJ71" s="23">
        <f>AJ60-AJ70</f>
        <v/>
      </c>
      <c r="AK71" s="23">
        <f>AK60-AK70</f>
        <v/>
      </c>
      <c r="AL71" s="23">
        <f>AL60-AL70</f>
        <v/>
      </c>
      <c r="AM71" s="23">
        <f>AM60-AM70</f>
        <v/>
      </c>
      <c r="AO71" s="23">
        <f>SUM(D71:O71)</f>
        <v/>
      </c>
      <c r="AP71" s="23">
        <f>SUM(P71:AA71)</f>
        <v/>
      </c>
      <c r="AQ71" s="23">
        <f>SUM(AB71:AM71)</f>
        <v/>
      </c>
    </row>
    <row r="72">
      <c r="A72" s="5" t="inlineStr">
        <is>
          <t>Gross margin</t>
        </is>
      </c>
      <c r="B72" s="2" t="inlineStr">
        <is>
          <t>%</t>
        </is>
      </c>
      <c r="D72" s="22">
        <f>IFERROR(D71/D60,0)</f>
        <v/>
      </c>
      <c r="E72" s="22">
        <f>IFERROR(E71/E60,0)</f>
        <v/>
      </c>
      <c r="F72" s="22">
        <f>IFERROR(F71/F60,0)</f>
        <v/>
      </c>
      <c r="G72" s="22">
        <f>IFERROR(G71/G60,0)</f>
        <v/>
      </c>
      <c r="H72" s="22">
        <f>IFERROR(H71/H60,0)</f>
        <v/>
      </c>
      <c r="I72" s="22">
        <f>IFERROR(I71/I60,0)</f>
        <v/>
      </c>
      <c r="J72" s="22">
        <f>IFERROR(J71/J60,0)</f>
        <v/>
      </c>
      <c r="K72" s="22">
        <f>IFERROR(K71/K60,0)</f>
        <v/>
      </c>
      <c r="L72" s="22">
        <f>IFERROR(L71/L60,0)</f>
        <v/>
      </c>
      <c r="M72" s="22">
        <f>IFERROR(M71/M60,0)</f>
        <v/>
      </c>
      <c r="N72" s="22">
        <f>IFERROR(N71/N60,0)</f>
        <v/>
      </c>
      <c r="O72" s="22">
        <f>IFERROR(O71/O60,0)</f>
        <v/>
      </c>
      <c r="P72" s="22">
        <f>IFERROR(P71/P60,0)</f>
        <v/>
      </c>
      <c r="Q72" s="22">
        <f>IFERROR(Q71/Q60,0)</f>
        <v/>
      </c>
      <c r="R72" s="22">
        <f>IFERROR(R71/R60,0)</f>
        <v/>
      </c>
      <c r="S72" s="22">
        <f>IFERROR(S71/S60,0)</f>
        <v/>
      </c>
      <c r="T72" s="22">
        <f>IFERROR(T71/T60,0)</f>
        <v/>
      </c>
      <c r="U72" s="22">
        <f>IFERROR(U71/U60,0)</f>
        <v/>
      </c>
      <c r="V72" s="22">
        <f>IFERROR(V71/V60,0)</f>
        <v/>
      </c>
      <c r="W72" s="22">
        <f>IFERROR(W71/W60,0)</f>
        <v/>
      </c>
      <c r="X72" s="22">
        <f>IFERROR(X71/X60,0)</f>
        <v/>
      </c>
      <c r="Y72" s="22">
        <f>IFERROR(Y71/Y60,0)</f>
        <v/>
      </c>
      <c r="Z72" s="22">
        <f>IFERROR(Z71/Z60,0)</f>
        <v/>
      </c>
      <c r="AA72" s="22">
        <f>IFERROR(AA71/AA60,0)</f>
        <v/>
      </c>
      <c r="AB72" s="22">
        <f>IFERROR(AB71/AB60,0)</f>
        <v/>
      </c>
      <c r="AC72" s="22">
        <f>IFERROR(AC71/AC60,0)</f>
        <v/>
      </c>
      <c r="AD72" s="22">
        <f>IFERROR(AD71/AD60,0)</f>
        <v/>
      </c>
      <c r="AE72" s="22">
        <f>IFERROR(AE71/AE60,0)</f>
        <v/>
      </c>
      <c r="AF72" s="22">
        <f>IFERROR(AF71/AF60,0)</f>
        <v/>
      </c>
      <c r="AG72" s="22">
        <f>IFERROR(AG71/AG60,0)</f>
        <v/>
      </c>
      <c r="AH72" s="22">
        <f>IFERROR(AH71/AH60,0)</f>
        <v/>
      </c>
      <c r="AI72" s="22">
        <f>IFERROR(AI71/AI60,0)</f>
        <v/>
      </c>
      <c r="AJ72" s="22">
        <f>IFERROR(AJ71/AJ60,0)</f>
        <v/>
      </c>
      <c r="AK72" s="22">
        <f>IFERROR(AK71/AK60,0)</f>
        <v/>
      </c>
      <c r="AL72" s="22">
        <f>IFERROR(AL71/AL60,0)</f>
        <v/>
      </c>
      <c r="AM72" s="22">
        <f>IFERROR(AM71/AM60,0)</f>
        <v/>
      </c>
      <c r="AO72" s="22">
        <f>IFERROR(AO71/AO60,0)</f>
        <v/>
      </c>
      <c r="AP72" s="22">
        <f>IFERROR(AP71/AP60,0)</f>
        <v/>
      </c>
      <c r="AQ72" s="22">
        <f>IFERROR(AQ71/AQ60,0)</f>
        <v/>
      </c>
    </row>
    <row r="73">
      <c r="A73" s="7" t="inlineStr">
        <is>
          <t>OPERATING RESULT</t>
        </is>
      </c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  <c r="AA73" s="8" t="n"/>
      <c r="AB73" s="8" t="n"/>
      <c r="AC73" s="8" t="n"/>
      <c r="AD73" s="8" t="n"/>
      <c r="AE73" s="8" t="n"/>
      <c r="AF73" s="8" t="n"/>
      <c r="AG73" s="8" t="n"/>
      <c r="AH73" s="8" t="n"/>
      <c r="AI73" s="8" t="n"/>
      <c r="AJ73" s="8" t="n"/>
      <c r="AK73" s="8" t="n"/>
      <c r="AL73" s="8" t="n"/>
      <c r="AM73" s="8" t="n"/>
      <c r="AN73" s="8" t="n"/>
      <c r="AO73" s="8" t="n"/>
      <c r="AP73" s="8" t="n"/>
      <c r="AQ73" s="8" t="n"/>
    </row>
    <row r="74">
      <c r="A74" s="5" t="inlineStr">
        <is>
          <t>Marketing</t>
        </is>
      </c>
      <c r="B74" s="2" t="inlineStr">
        <is>
          <t>$</t>
        </is>
      </c>
      <c r="D74" s="15">
        <f>D12</f>
        <v/>
      </c>
      <c r="E74" s="15">
        <f>E12</f>
        <v/>
      </c>
      <c r="F74" s="15">
        <f>F12</f>
        <v/>
      </c>
      <c r="G74" s="15">
        <f>G12</f>
        <v/>
      </c>
      <c r="H74" s="15">
        <f>H12</f>
        <v/>
      </c>
      <c r="I74" s="15">
        <f>I12</f>
        <v/>
      </c>
      <c r="J74" s="15">
        <f>J12</f>
        <v/>
      </c>
      <c r="K74" s="15">
        <f>K12</f>
        <v/>
      </c>
      <c r="L74" s="15">
        <f>L12</f>
        <v/>
      </c>
      <c r="M74" s="15">
        <f>M12</f>
        <v/>
      </c>
      <c r="N74" s="15">
        <f>N12</f>
        <v/>
      </c>
      <c r="O74" s="15">
        <f>O12</f>
        <v/>
      </c>
      <c r="P74" s="15">
        <f>P12</f>
        <v/>
      </c>
      <c r="Q74" s="15">
        <f>Q12</f>
        <v/>
      </c>
      <c r="R74" s="15">
        <f>R12</f>
        <v/>
      </c>
      <c r="S74" s="15">
        <f>S12</f>
        <v/>
      </c>
      <c r="T74" s="15">
        <f>T12</f>
        <v/>
      </c>
      <c r="U74" s="15">
        <f>U12</f>
        <v/>
      </c>
      <c r="V74" s="15">
        <f>V12</f>
        <v/>
      </c>
      <c r="W74" s="15">
        <f>W12</f>
        <v/>
      </c>
      <c r="X74" s="15">
        <f>X12</f>
        <v/>
      </c>
      <c r="Y74" s="15">
        <f>Y12</f>
        <v/>
      </c>
      <c r="Z74" s="15">
        <f>Z12</f>
        <v/>
      </c>
      <c r="AA74" s="15">
        <f>AA12</f>
        <v/>
      </c>
      <c r="AB74" s="15">
        <f>AB12</f>
        <v/>
      </c>
      <c r="AC74" s="15">
        <f>AC12</f>
        <v/>
      </c>
      <c r="AD74" s="15">
        <f>AD12</f>
        <v/>
      </c>
      <c r="AE74" s="15">
        <f>AE12</f>
        <v/>
      </c>
      <c r="AF74" s="15">
        <f>AF12</f>
        <v/>
      </c>
      <c r="AG74" s="15">
        <f>AG12</f>
        <v/>
      </c>
      <c r="AH74" s="15">
        <f>AH12</f>
        <v/>
      </c>
      <c r="AI74" s="15">
        <f>AI12</f>
        <v/>
      </c>
      <c r="AJ74" s="15">
        <f>AJ12</f>
        <v/>
      </c>
      <c r="AK74" s="15">
        <f>AK12</f>
        <v/>
      </c>
      <c r="AL74" s="15">
        <f>AL12</f>
        <v/>
      </c>
      <c r="AM74" s="15">
        <f>AM12</f>
        <v/>
      </c>
      <c r="AO74" s="15">
        <f>SUM(D74:O74)</f>
        <v/>
      </c>
      <c r="AP74" s="15">
        <f>SUM(P74:AA74)</f>
        <v/>
      </c>
      <c r="AQ74" s="15">
        <f>SUM(AB74:AM74)</f>
        <v/>
      </c>
    </row>
    <row r="75">
      <c r="A75" s="5" t="inlineStr">
        <is>
          <t>Operating costs (Opex sheet)</t>
        </is>
      </c>
      <c r="B75" s="2" t="inlineStr">
        <is>
          <t>$</t>
        </is>
      </c>
      <c r="D75" s="15">
        <f>Opex!D19</f>
        <v/>
      </c>
      <c r="E75" s="15">
        <f>Opex!E19</f>
        <v/>
      </c>
      <c r="F75" s="15">
        <f>Opex!F19</f>
        <v/>
      </c>
      <c r="G75" s="15">
        <f>Opex!G19</f>
        <v/>
      </c>
      <c r="H75" s="15">
        <f>Opex!H19</f>
        <v/>
      </c>
      <c r="I75" s="15">
        <f>Opex!I19</f>
        <v/>
      </c>
      <c r="J75" s="15">
        <f>Opex!J19</f>
        <v/>
      </c>
      <c r="K75" s="15">
        <f>Opex!K19</f>
        <v/>
      </c>
      <c r="L75" s="15">
        <f>Opex!L19</f>
        <v/>
      </c>
      <c r="M75" s="15">
        <f>Opex!M19</f>
        <v/>
      </c>
      <c r="N75" s="15">
        <f>Opex!N19</f>
        <v/>
      </c>
      <c r="O75" s="15">
        <f>Opex!O19</f>
        <v/>
      </c>
      <c r="P75" s="15">
        <f>Opex!P19</f>
        <v/>
      </c>
      <c r="Q75" s="15">
        <f>Opex!Q19</f>
        <v/>
      </c>
      <c r="R75" s="15">
        <f>Opex!R19</f>
        <v/>
      </c>
      <c r="S75" s="15">
        <f>Opex!S19</f>
        <v/>
      </c>
      <c r="T75" s="15">
        <f>Opex!T19</f>
        <v/>
      </c>
      <c r="U75" s="15">
        <f>Opex!U19</f>
        <v/>
      </c>
      <c r="V75" s="15">
        <f>Opex!V19</f>
        <v/>
      </c>
      <c r="W75" s="15">
        <f>Opex!W19</f>
        <v/>
      </c>
      <c r="X75" s="15">
        <f>Opex!X19</f>
        <v/>
      </c>
      <c r="Y75" s="15">
        <f>Opex!Y19</f>
        <v/>
      </c>
      <c r="Z75" s="15">
        <f>Opex!Z19</f>
        <v/>
      </c>
      <c r="AA75" s="15">
        <f>Opex!AA19</f>
        <v/>
      </c>
      <c r="AB75" s="15">
        <f>Opex!AB19</f>
        <v/>
      </c>
      <c r="AC75" s="15">
        <f>Opex!AC19</f>
        <v/>
      </c>
      <c r="AD75" s="15">
        <f>Opex!AD19</f>
        <v/>
      </c>
      <c r="AE75" s="15">
        <f>Opex!AE19</f>
        <v/>
      </c>
      <c r="AF75" s="15">
        <f>Opex!AF19</f>
        <v/>
      </c>
      <c r="AG75" s="15">
        <f>Opex!AG19</f>
        <v/>
      </c>
      <c r="AH75" s="15">
        <f>Opex!AH19</f>
        <v/>
      </c>
      <c r="AI75" s="15">
        <f>Opex!AI19</f>
        <v/>
      </c>
      <c r="AJ75" s="15">
        <f>Opex!AJ19</f>
        <v/>
      </c>
      <c r="AK75" s="15">
        <f>Opex!AK19</f>
        <v/>
      </c>
      <c r="AL75" s="15">
        <f>Opex!AL19</f>
        <v/>
      </c>
      <c r="AM75" s="15">
        <f>Opex!AM19</f>
        <v/>
      </c>
      <c r="AO75" s="15">
        <f>SUM(D75:O75)</f>
        <v/>
      </c>
      <c r="AP75" s="15">
        <f>SUM(P75:AA75)</f>
        <v/>
      </c>
      <c r="AQ75" s="15">
        <f>SUM(AB75:AM75)</f>
        <v/>
      </c>
    </row>
    <row r="76">
      <c r="A76" s="5" t="inlineStr">
        <is>
          <t>One-time launch costs</t>
        </is>
      </c>
      <c r="B76" s="2" t="inlineStr">
        <is>
          <t>$</t>
        </is>
      </c>
      <c r="D76" s="15">
        <f>Opex!D21</f>
        <v/>
      </c>
      <c r="E76" s="15">
        <f>Opex!E21</f>
        <v/>
      </c>
      <c r="F76" s="15">
        <f>Opex!F21</f>
        <v/>
      </c>
      <c r="G76" s="15">
        <f>Opex!G21</f>
        <v/>
      </c>
      <c r="H76" s="15">
        <f>Opex!H21</f>
        <v/>
      </c>
      <c r="I76" s="15">
        <f>Opex!I21</f>
        <v/>
      </c>
      <c r="J76" s="15">
        <f>Opex!J21</f>
        <v/>
      </c>
      <c r="K76" s="15">
        <f>Opex!K21</f>
        <v/>
      </c>
      <c r="L76" s="15">
        <f>Opex!L21</f>
        <v/>
      </c>
      <c r="M76" s="15">
        <f>Opex!M21</f>
        <v/>
      </c>
      <c r="N76" s="15">
        <f>Opex!N21</f>
        <v/>
      </c>
      <c r="O76" s="15">
        <f>Opex!O21</f>
        <v/>
      </c>
      <c r="P76" s="15">
        <f>Opex!P21</f>
        <v/>
      </c>
      <c r="Q76" s="15">
        <f>Opex!Q21</f>
        <v/>
      </c>
      <c r="R76" s="15">
        <f>Opex!R21</f>
        <v/>
      </c>
      <c r="S76" s="15">
        <f>Opex!S21</f>
        <v/>
      </c>
      <c r="T76" s="15">
        <f>Opex!T21</f>
        <v/>
      </c>
      <c r="U76" s="15">
        <f>Opex!U21</f>
        <v/>
      </c>
      <c r="V76" s="15">
        <f>Opex!V21</f>
        <v/>
      </c>
      <c r="W76" s="15">
        <f>Opex!W21</f>
        <v/>
      </c>
      <c r="X76" s="15">
        <f>Opex!X21</f>
        <v/>
      </c>
      <c r="Y76" s="15">
        <f>Opex!Y21</f>
        <v/>
      </c>
      <c r="Z76" s="15">
        <f>Opex!Z21</f>
        <v/>
      </c>
      <c r="AA76" s="15">
        <f>Opex!AA21</f>
        <v/>
      </c>
      <c r="AB76" s="15">
        <f>Opex!AB21</f>
        <v/>
      </c>
      <c r="AC76" s="15">
        <f>Opex!AC21</f>
        <v/>
      </c>
      <c r="AD76" s="15">
        <f>Opex!AD21</f>
        <v/>
      </c>
      <c r="AE76" s="15">
        <f>Opex!AE21</f>
        <v/>
      </c>
      <c r="AF76" s="15">
        <f>Opex!AF21</f>
        <v/>
      </c>
      <c r="AG76" s="15">
        <f>Opex!AG21</f>
        <v/>
      </c>
      <c r="AH76" s="15">
        <f>Opex!AH21</f>
        <v/>
      </c>
      <c r="AI76" s="15">
        <f>Opex!AI21</f>
        <v/>
      </c>
      <c r="AJ76" s="15">
        <f>Opex!AJ21</f>
        <v/>
      </c>
      <c r="AK76" s="15">
        <f>Opex!AK21</f>
        <v/>
      </c>
      <c r="AL76" s="15">
        <f>Opex!AL21</f>
        <v/>
      </c>
      <c r="AM76" s="15">
        <f>Opex!AM21</f>
        <v/>
      </c>
      <c r="AO76" s="15">
        <f>SUM(D76:O76)</f>
        <v/>
      </c>
      <c r="AP76" s="15">
        <f>SUM(P76:AA76)</f>
        <v/>
      </c>
      <c r="AQ76" s="15">
        <f>SUM(AB76:AM76)</f>
        <v/>
      </c>
    </row>
    <row r="77">
      <c r="A77" s="3" t="inlineStr">
        <is>
          <t>Net income (pre-tax)</t>
        </is>
      </c>
      <c r="B77" s="2" t="inlineStr">
        <is>
          <t>$</t>
        </is>
      </c>
      <c r="D77" s="23">
        <f>D71-D74-D75-D76</f>
        <v/>
      </c>
      <c r="E77" s="23">
        <f>E71-E74-E75-E76</f>
        <v/>
      </c>
      <c r="F77" s="23">
        <f>F71-F74-F75-F76</f>
        <v/>
      </c>
      <c r="G77" s="23">
        <f>G71-G74-G75-G76</f>
        <v/>
      </c>
      <c r="H77" s="23">
        <f>H71-H74-H75-H76</f>
        <v/>
      </c>
      <c r="I77" s="23">
        <f>I71-I74-I75-I76</f>
        <v/>
      </c>
      <c r="J77" s="23">
        <f>J71-J74-J75-J76</f>
        <v/>
      </c>
      <c r="K77" s="23">
        <f>K71-K74-K75-K76</f>
        <v/>
      </c>
      <c r="L77" s="23">
        <f>L71-L74-L75-L76</f>
        <v/>
      </c>
      <c r="M77" s="23">
        <f>M71-M74-M75-M76</f>
        <v/>
      </c>
      <c r="N77" s="23">
        <f>N71-N74-N75-N76</f>
        <v/>
      </c>
      <c r="O77" s="23">
        <f>O71-O74-O75-O76</f>
        <v/>
      </c>
      <c r="P77" s="23">
        <f>P71-P74-P75-P76</f>
        <v/>
      </c>
      <c r="Q77" s="23">
        <f>Q71-Q74-Q75-Q76</f>
        <v/>
      </c>
      <c r="R77" s="23">
        <f>R71-R74-R75-R76</f>
        <v/>
      </c>
      <c r="S77" s="23">
        <f>S71-S74-S75-S76</f>
        <v/>
      </c>
      <c r="T77" s="23">
        <f>T71-T74-T75-T76</f>
        <v/>
      </c>
      <c r="U77" s="23">
        <f>U71-U74-U75-U76</f>
        <v/>
      </c>
      <c r="V77" s="23">
        <f>V71-V74-V75-V76</f>
        <v/>
      </c>
      <c r="W77" s="23">
        <f>W71-W74-W75-W76</f>
        <v/>
      </c>
      <c r="X77" s="23">
        <f>X71-X74-X75-X76</f>
        <v/>
      </c>
      <c r="Y77" s="23">
        <f>Y71-Y74-Y75-Y76</f>
        <v/>
      </c>
      <c r="Z77" s="23">
        <f>Z71-Z74-Z75-Z76</f>
        <v/>
      </c>
      <c r="AA77" s="23">
        <f>AA71-AA74-AA75-AA76</f>
        <v/>
      </c>
      <c r="AB77" s="23">
        <f>AB71-AB74-AB75-AB76</f>
        <v/>
      </c>
      <c r="AC77" s="23">
        <f>AC71-AC74-AC75-AC76</f>
        <v/>
      </c>
      <c r="AD77" s="23">
        <f>AD71-AD74-AD75-AD76</f>
        <v/>
      </c>
      <c r="AE77" s="23">
        <f>AE71-AE74-AE75-AE76</f>
        <v/>
      </c>
      <c r="AF77" s="23">
        <f>AF71-AF74-AF75-AF76</f>
        <v/>
      </c>
      <c r="AG77" s="23">
        <f>AG71-AG74-AG75-AG76</f>
        <v/>
      </c>
      <c r="AH77" s="23">
        <f>AH71-AH74-AH75-AH76</f>
        <v/>
      </c>
      <c r="AI77" s="23">
        <f>AI71-AI74-AI75-AI76</f>
        <v/>
      </c>
      <c r="AJ77" s="23">
        <f>AJ71-AJ74-AJ75-AJ76</f>
        <v/>
      </c>
      <c r="AK77" s="23">
        <f>AK71-AK74-AK75-AK76</f>
        <v/>
      </c>
      <c r="AL77" s="23">
        <f>AL71-AL74-AL75-AL76</f>
        <v/>
      </c>
      <c r="AM77" s="23">
        <f>AM71-AM74-AM75-AM76</f>
        <v/>
      </c>
      <c r="AO77" s="23">
        <f>SUM(D77:O77)</f>
        <v/>
      </c>
      <c r="AP77" s="23">
        <f>SUM(P77:AA77)</f>
        <v/>
      </c>
      <c r="AQ77" s="23">
        <f>SUM(AB77:AM77)</f>
        <v/>
      </c>
    </row>
    <row r="78">
      <c r="A78" s="5" t="inlineStr">
        <is>
          <t>Net margin</t>
        </is>
      </c>
      <c r="B78" s="2" t="inlineStr">
        <is>
          <t>%</t>
        </is>
      </c>
      <c r="D78" s="22">
        <f>IFERROR(D77/D60,0)</f>
        <v/>
      </c>
      <c r="E78" s="22">
        <f>IFERROR(E77/E60,0)</f>
        <v/>
      </c>
      <c r="F78" s="22">
        <f>IFERROR(F77/F60,0)</f>
        <v/>
      </c>
      <c r="G78" s="22">
        <f>IFERROR(G77/G60,0)</f>
        <v/>
      </c>
      <c r="H78" s="22">
        <f>IFERROR(H77/H60,0)</f>
        <v/>
      </c>
      <c r="I78" s="22">
        <f>IFERROR(I77/I60,0)</f>
        <v/>
      </c>
      <c r="J78" s="22">
        <f>IFERROR(J77/J60,0)</f>
        <v/>
      </c>
      <c r="K78" s="22">
        <f>IFERROR(K77/K60,0)</f>
        <v/>
      </c>
      <c r="L78" s="22">
        <f>IFERROR(L77/L60,0)</f>
        <v/>
      </c>
      <c r="M78" s="22">
        <f>IFERROR(M77/M60,0)</f>
        <v/>
      </c>
      <c r="N78" s="22">
        <f>IFERROR(N77/N60,0)</f>
        <v/>
      </c>
      <c r="O78" s="22">
        <f>IFERROR(O77/O60,0)</f>
        <v/>
      </c>
      <c r="P78" s="22">
        <f>IFERROR(P77/P60,0)</f>
        <v/>
      </c>
      <c r="Q78" s="22">
        <f>IFERROR(Q77/Q60,0)</f>
        <v/>
      </c>
      <c r="R78" s="22">
        <f>IFERROR(R77/R60,0)</f>
        <v/>
      </c>
      <c r="S78" s="22">
        <f>IFERROR(S77/S60,0)</f>
        <v/>
      </c>
      <c r="T78" s="22">
        <f>IFERROR(T77/T60,0)</f>
        <v/>
      </c>
      <c r="U78" s="22">
        <f>IFERROR(U77/U60,0)</f>
        <v/>
      </c>
      <c r="V78" s="22">
        <f>IFERROR(V77/V60,0)</f>
        <v/>
      </c>
      <c r="W78" s="22">
        <f>IFERROR(W77/W60,0)</f>
        <v/>
      </c>
      <c r="X78" s="22">
        <f>IFERROR(X77/X60,0)</f>
        <v/>
      </c>
      <c r="Y78" s="22">
        <f>IFERROR(Y77/Y60,0)</f>
        <v/>
      </c>
      <c r="Z78" s="22">
        <f>IFERROR(Z77/Z60,0)</f>
        <v/>
      </c>
      <c r="AA78" s="22">
        <f>IFERROR(AA77/AA60,0)</f>
        <v/>
      </c>
      <c r="AB78" s="22">
        <f>IFERROR(AB77/AB60,0)</f>
        <v/>
      </c>
      <c r="AC78" s="22">
        <f>IFERROR(AC77/AC60,0)</f>
        <v/>
      </c>
      <c r="AD78" s="22">
        <f>IFERROR(AD77/AD60,0)</f>
        <v/>
      </c>
      <c r="AE78" s="22">
        <f>IFERROR(AE77/AE60,0)</f>
        <v/>
      </c>
      <c r="AF78" s="22">
        <f>IFERROR(AF77/AF60,0)</f>
        <v/>
      </c>
      <c r="AG78" s="22">
        <f>IFERROR(AG77/AG60,0)</f>
        <v/>
      </c>
      <c r="AH78" s="22">
        <f>IFERROR(AH77/AH60,0)</f>
        <v/>
      </c>
      <c r="AI78" s="22">
        <f>IFERROR(AI77/AI60,0)</f>
        <v/>
      </c>
      <c r="AJ78" s="22">
        <f>IFERROR(AJ77/AJ60,0)</f>
        <v/>
      </c>
      <c r="AK78" s="22">
        <f>IFERROR(AK77/AK60,0)</f>
        <v/>
      </c>
      <c r="AL78" s="22">
        <f>IFERROR(AL77/AL60,0)</f>
        <v/>
      </c>
      <c r="AM78" s="22">
        <f>IFERROR(AM77/AM60,0)</f>
        <v/>
      </c>
      <c r="AO78" s="22">
        <f>IFERROR(AO77/AO60,0)</f>
        <v/>
      </c>
      <c r="AP78" s="22">
        <f>IFERROR(AP77/AP60,0)</f>
        <v/>
      </c>
      <c r="AQ78" s="22">
        <f>IFERROR(AQ77/AQ60,0)</f>
        <v/>
      </c>
    </row>
    <row r="79">
      <c r="A79" s="5" t="inlineStr">
        <is>
          <t>Cumulative net income</t>
        </is>
      </c>
      <c r="B79" s="2" t="inlineStr">
        <is>
          <t>$</t>
        </is>
      </c>
      <c r="C79" s="15" t="n">
        <v>0</v>
      </c>
      <c r="D79" s="15">
        <f>C79+D77</f>
        <v/>
      </c>
      <c r="E79" s="15">
        <f>D79+E77</f>
        <v/>
      </c>
      <c r="F79" s="15">
        <f>E79+F77</f>
        <v/>
      </c>
      <c r="G79" s="15">
        <f>F79+G77</f>
        <v/>
      </c>
      <c r="H79" s="15">
        <f>G79+H77</f>
        <v/>
      </c>
      <c r="I79" s="15">
        <f>H79+I77</f>
        <v/>
      </c>
      <c r="J79" s="15">
        <f>I79+J77</f>
        <v/>
      </c>
      <c r="K79" s="15">
        <f>J79+K77</f>
        <v/>
      </c>
      <c r="L79" s="15">
        <f>K79+L77</f>
        <v/>
      </c>
      <c r="M79" s="15">
        <f>L79+M77</f>
        <v/>
      </c>
      <c r="N79" s="15">
        <f>M79+N77</f>
        <v/>
      </c>
      <c r="O79" s="15">
        <f>N79+O77</f>
        <v/>
      </c>
      <c r="P79" s="15">
        <f>O79+P77</f>
        <v/>
      </c>
      <c r="Q79" s="15">
        <f>P79+Q77</f>
        <v/>
      </c>
      <c r="R79" s="15">
        <f>Q79+R77</f>
        <v/>
      </c>
      <c r="S79" s="15">
        <f>R79+S77</f>
        <v/>
      </c>
      <c r="T79" s="15">
        <f>S79+T77</f>
        <v/>
      </c>
      <c r="U79" s="15">
        <f>T79+U77</f>
        <v/>
      </c>
      <c r="V79" s="15">
        <f>U79+V77</f>
        <v/>
      </c>
      <c r="W79" s="15">
        <f>V79+W77</f>
        <v/>
      </c>
      <c r="X79" s="15">
        <f>W79+X77</f>
        <v/>
      </c>
      <c r="Y79" s="15">
        <f>X79+Y77</f>
        <v/>
      </c>
      <c r="Z79" s="15">
        <f>Y79+Z77</f>
        <v/>
      </c>
      <c r="AA79" s="15">
        <f>Z79+AA77</f>
        <v/>
      </c>
      <c r="AB79" s="15">
        <f>AA79+AB77</f>
        <v/>
      </c>
      <c r="AC79" s="15">
        <f>AB79+AC77</f>
        <v/>
      </c>
      <c r="AD79" s="15">
        <f>AC79+AD77</f>
        <v/>
      </c>
      <c r="AE79" s="15">
        <f>AD79+AE77</f>
        <v/>
      </c>
      <c r="AF79" s="15">
        <f>AE79+AF77</f>
        <v/>
      </c>
      <c r="AG79" s="15">
        <f>AF79+AG77</f>
        <v/>
      </c>
      <c r="AH79" s="15">
        <f>AG79+AH77</f>
        <v/>
      </c>
      <c r="AI79" s="15">
        <f>AH79+AI77</f>
        <v/>
      </c>
      <c r="AJ79" s="15">
        <f>AI79+AJ77</f>
        <v/>
      </c>
      <c r="AK79" s="15">
        <f>AJ79+AK77</f>
        <v/>
      </c>
      <c r="AL79" s="15">
        <f>AK79+AL77</f>
        <v/>
      </c>
      <c r="AM79" s="15">
        <f>AL79+AM77</f>
        <v/>
      </c>
      <c r="AO79" s="15">
        <f>O79</f>
        <v/>
      </c>
      <c r="AP79" s="15">
        <f>AA79</f>
        <v/>
      </c>
      <c r="AQ79" s="15">
        <f>AM79</f>
        <v/>
      </c>
    </row>
    <row r="80">
      <c r="A80" s="3" t="inlineStr">
        <is>
          <t>Cumulative cash balance</t>
        </is>
      </c>
      <c r="B80" s="2" t="inlineStr">
        <is>
          <t>$</t>
        </is>
      </c>
      <c r="C80" s="15">
        <f>Inputs!$B$8</f>
        <v/>
      </c>
      <c r="D80" s="23">
        <f>C80+D77</f>
        <v/>
      </c>
      <c r="E80" s="23">
        <f>D80+E77</f>
        <v/>
      </c>
      <c r="F80" s="23">
        <f>E80+F77</f>
        <v/>
      </c>
      <c r="G80" s="23">
        <f>F80+G77</f>
        <v/>
      </c>
      <c r="H80" s="23">
        <f>G80+H77</f>
        <v/>
      </c>
      <c r="I80" s="23">
        <f>H80+I77</f>
        <v/>
      </c>
      <c r="J80" s="23">
        <f>I80+J77</f>
        <v/>
      </c>
      <c r="K80" s="23">
        <f>J80+K77</f>
        <v/>
      </c>
      <c r="L80" s="23">
        <f>K80+L77</f>
        <v/>
      </c>
      <c r="M80" s="23">
        <f>L80+M77</f>
        <v/>
      </c>
      <c r="N80" s="23">
        <f>M80+N77</f>
        <v/>
      </c>
      <c r="O80" s="23">
        <f>N80+O77</f>
        <v/>
      </c>
      <c r="P80" s="23">
        <f>O80+P77</f>
        <v/>
      </c>
      <c r="Q80" s="23">
        <f>P80+Q77</f>
        <v/>
      </c>
      <c r="R80" s="23">
        <f>Q80+R77</f>
        <v/>
      </c>
      <c r="S80" s="23">
        <f>R80+S77</f>
        <v/>
      </c>
      <c r="T80" s="23">
        <f>S80+T77</f>
        <v/>
      </c>
      <c r="U80" s="23">
        <f>T80+U77</f>
        <v/>
      </c>
      <c r="V80" s="23">
        <f>U80+V77</f>
        <v/>
      </c>
      <c r="W80" s="23">
        <f>V80+W77</f>
        <v/>
      </c>
      <c r="X80" s="23">
        <f>W80+X77</f>
        <v/>
      </c>
      <c r="Y80" s="23">
        <f>X80+Y77</f>
        <v/>
      </c>
      <c r="Z80" s="23">
        <f>Y80+Z77</f>
        <v/>
      </c>
      <c r="AA80" s="23">
        <f>Z80+AA77</f>
        <v/>
      </c>
      <c r="AB80" s="23">
        <f>AA80+AB77</f>
        <v/>
      </c>
      <c r="AC80" s="23">
        <f>AB80+AC77</f>
        <v/>
      </c>
      <c r="AD80" s="23">
        <f>AC80+AD77</f>
        <v/>
      </c>
      <c r="AE80" s="23">
        <f>AD80+AE77</f>
        <v/>
      </c>
      <c r="AF80" s="23">
        <f>AE80+AF77</f>
        <v/>
      </c>
      <c r="AG80" s="23">
        <f>AF80+AG77</f>
        <v/>
      </c>
      <c r="AH80" s="23">
        <f>AG80+AH77</f>
        <v/>
      </c>
      <c r="AI80" s="23">
        <f>AH80+AI77</f>
        <v/>
      </c>
      <c r="AJ80" s="23">
        <f>AI80+AJ77</f>
        <v/>
      </c>
      <c r="AK80" s="23">
        <f>AJ80+AK77</f>
        <v/>
      </c>
      <c r="AL80" s="23">
        <f>AK80+AL77</f>
        <v/>
      </c>
      <c r="AM80" s="23">
        <f>AL80+AM77</f>
        <v/>
      </c>
      <c r="AO80" s="23">
        <f>O80</f>
        <v/>
      </c>
      <c r="AP80" s="23">
        <f>AA80</f>
        <v/>
      </c>
      <c r="AQ80" s="23">
        <f>AM80</f>
        <v/>
      </c>
    </row>
    <row r="81">
      <c r="A81" s="7" t="inlineStr">
        <is>
          <t>KPIs AND BREAK-EVEN TESTS</t>
        </is>
      </c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  <c r="AA81" s="8" t="n"/>
      <c r="AB81" s="8" t="n"/>
      <c r="AC81" s="8" t="n"/>
      <c r="AD81" s="8" t="n"/>
      <c r="AE81" s="8" t="n"/>
      <c r="AF81" s="8" t="n"/>
      <c r="AG81" s="8" t="n"/>
      <c r="AH81" s="8" t="n"/>
      <c r="AI81" s="8" t="n"/>
      <c r="AJ81" s="8" t="n"/>
      <c r="AK81" s="8" t="n"/>
      <c r="AL81" s="8" t="n"/>
      <c r="AM81" s="8" t="n"/>
      <c r="AN81" s="8" t="n"/>
      <c r="AO81" s="8" t="n"/>
      <c r="AP81" s="8" t="n"/>
      <c r="AQ81" s="8" t="n"/>
    </row>
    <row r="82">
      <c r="A82" s="5" t="inlineStr">
        <is>
          <t>Blended CAC (marketing / new customers)</t>
        </is>
      </c>
      <c r="B82" s="2" t="inlineStr">
        <is>
          <t>$</t>
        </is>
      </c>
      <c r="D82" s="21">
        <f>IFERROR(D74/D40,0)</f>
        <v/>
      </c>
      <c r="E82" s="21">
        <f>IFERROR(E74/E40,0)</f>
        <v/>
      </c>
      <c r="F82" s="21">
        <f>IFERROR(F74/F40,0)</f>
        <v/>
      </c>
      <c r="G82" s="21">
        <f>IFERROR(G74/G40,0)</f>
        <v/>
      </c>
      <c r="H82" s="21">
        <f>IFERROR(H74/H40,0)</f>
        <v/>
      </c>
      <c r="I82" s="21">
        <f>IFERROR(I74/I40,0)</f>
        <v/>
      </c>
      <c r="J82" s="21">
        <f>IFERROR(J74/J40,0)</f>
        <v/>
      </c>
      <c r="K82" s="21">
        <f>IFERROR(K74/K40,0)</f>
        <v/>
      </c>
      <c r="L82" s="21">
        <f>IFERROR(L74/L40,0)</f>
        <v/>
      </c>
      <c r="M82" s="21">
        <f>IFERROR(M74/M40,0)</f>
        <v/>
      </c>
      <c r="N82" s="21">
        <f>IFERROR(N74/N40,0)</f>
        <v/>
      </c>
      <c r="O82" s="21">
        <f>IFERROR(O74/O40,0)</f>
        <v/>
      </c>
      <c r="P82" s="21">
        <f>IFERROR(P74/P40,0)</f>
        <v/>
      </c>
      <c r="Q82" s="21">
        <f>IFERROR(Q74/Q40,0)</f>
        <v/>
      </c>
      <c r="R82" s="21">
        <f>IFERROR(R74/R40,0)</f>
        <v/>
      </c>
      <c r="S82" s="21">
        <f>IFERROR(S74/S40,0)</f>
        <v/>
      </c>
      <c r="T82" s="21">
        <f>IFERROR(T74/T40,0)</f>
        <v/>
      </c>
      <c r="U82" s="21">
        <f>IFERROR(U74/U40,0)</f>
        <v/>
      </c>
      <c r="V82" s="21">
        <f>IFERROR(V74/V40,0)</f>
        <v/>
      </c>
      <c r="W82" s="21">
        <f>IFERROR(W74/W40,0)</f>
        <v/>
      </c>
      <c r="X82" s="21">
        <f>IFERROR(X74/X40,0)</f>
        <v/>
      </c>
      <c r="Y82" s="21">
        <f>IFERROR(Y74/Y40,0)</f>
        <v/>
      </c>
      <c r="Z82" s="21">
        <f>IFERROR(Z74/Z40,0)</f>
        <v/>
      </c>
      <c r="AA82" s="21">
        <f>IFERROR(AA74/AA40,0)</f>
        <v/>
      </c>
      <c r="AB82" s="21">
        <f>IFERROR(AB74/AB40,0)</f>
        <v/>
      </c>
      <c r="AC82" s="21">
        <f>IFERROR(AC74/AC40,0)</f>
        <v/>
      </c>
      <c r="AD82" s="21">
        <f>IFERROR(AD74/AD40,0)</f>
        <v/>
      </c>
      <c r="AE82" s="21">
        <f>IFERROR(AE74/AE40,0)</f>
        <v/>
      </c>
      <c r="AF82" s="21">
        <f>IFERROR(AF74/AF40,0)</f>
        <v/>
      </c>
      <c r="AG82" s="21">
        <f>IFERROR(AG74/AG40,0)</f>
        <v/>
      </c>
      <c r="AH82" s="21">
        <f>IFERROR(AH74/AH40,0)</f>
        <v/>
      </c>
      <c r="AI82" s="21">
        <f>IFERROR(AI74/AI40,0)</f>
        <v/>
      </c>
      <c r="AJ82" s="21">
        <f>IFERROR(AJ74/AJ40,0)</f>
        <v/>
      </c>
      <c r="AK82" s="21">
        <f>IFERROR(AK74/AK40,0)</f>
        <v/>
      </c>
      <c r="AL82" s="21">
        <f>IFERROR(AL74/AL40,0)</f>
        <v/>
      </c>
      <c r="AM82" s="21">
        <f>IFERROR(AM74/AM40,0)</f>
        <v/>
      </c>
      <c r="AO82" s="21">
        <f>IFERROR(AO74/AO40,0)</f>
        <v/>
      </c>
      <c r="AP82" s="21">
        <f>IFERROR(AP74/AP40,0)</f>
        <v/>
      </c>
      <c r="AQ82" s="21">
        <f>IFERROR(AQ74/AQ40,0)</f>
        <v/>
      </c>
    </row>
    <row r="83">
      <c r="A83" s="5" t="inlineStr">
        <is>
          <t>Trailing 3-month net income</t>
        </is>
      </c>
      <c r="B83" s="2" t="inlineStr">
        <is>
          <t>$</t>
        </is>
      </c>
      <c r="D83" s="15">
        <f>SUM(D77:D77)</f>
        <v/>
      </c>
      <c r="E83" s="15">
        <f>SUM(D77:E77)</f>
        <v/>
      </c>
      <c r="F83" s="15">
        <f>SUM(D77:F77)</f>
        <v/>
      </c>
      <c r="G83" s="15">
        <f>SUM(E77:G77)</f>
        <v/>
      </c>
      <c r="H83" s="15">
        <f>SUM(F77:H77)</f>
        <v/>
      </c>
      <c r="I83" s="15">
        <f>SUM(G77:I77)</f>
        <v/>
      </c>
      <c r="J83" s="15">
        <f>SUM(H77:J77)</f>
        <v/>
      </c>
      <c r="K83" s="15">
        <f>SUM(I77:K77)</f>
        <v/>
      </c>
      <c r="L83" s="15">
        <f>SUM(J77:L77)</f>
        <v/>
      </c>
      <c r="M83" s="15">
        <f>SUM(K77:M77)</f>
        <v/>
      </c>
      <c r="N83" s="15">
        <f>SUM(L77:N77)</f>
        <v/>
      </c>
      <c r="O83" s="15">
        <f>SUM(M77:O77)</f>
        <v/>
      </c>
      <c r="P83" s="15">
        <f>SUM(N77:P77)</f>
        <v/>
      </c>
      <c r="Q83" s="15">
        <f>SUM(O77:Q77)</f>
        <v/>
      </c>
      <c r="R83" s="15">
        <f>SUM(P77:R77)</f>
        <v/>
      </c>
      <c r="S83" s="15">
        <f>SUM(Q77:S77)</f>
        <v/>
      </c>
      <c r="T83" s="15">
        <f>SUM(R77:T77)</f>
        <v/>
      </c>
      <c r="U83" s="15">
        <f>SUM(S77:U77)</f>
        <v/>
      </c>
      <c r="V83" s="15">
        <f>SUM(T77:V77)</f>
        <v/>
      </c>
      <c r="W83" s="15">
        <f>SUM(U77:W77)</f>
        <v/>
      </c>
      <c r="X83" s="15">
        <f>SUM(V77:X77)</f>
        <v/>
      </c>
      <c r="Y83" s="15">
        <f>SUM(W77:Y77)</f>
        <v/>
      </c>
      <c r="Z83" s="15">
        <f>SUM(X77:Z77)</f>
        <v/>
      </c>
      <c r="AA83" s="15">
        <f>SUM(Y77:AA77)</f>
        <v/>
      </c>
      <c r="AB83" s="15">
        <f>SUM(Z77:AB77)</f>
        <v/>
      </c>
      <c r="AC83" s="15">
        <f>SUM(AA77:AC77)</f>
        <v/>
      </c>
      <c r="AD83" s="15">
        <f>SUM(AB77:AD77)</f>
        <v/>
      </c>
      <c r="AE83" s="15">
        <f>SUM(AC77:AE77)</f>
        <v/>
      </c>
      <c r="AF83" s="15">
        <f>SUM(AD77:AF77)</f>
        <v/>
      </c>
      <c r="AG83" s="15">
        <f>SUM(AE77:AG77)</f>
        <v/>
      </c>
      <c r="AH83" s="15">
        <f>SUM(AF77:AH77)</f>
        <v/>
      </c>
      <c r="AI83" s="15">
        <f>SUM(AG77:AI77)</f>
        <v/>
      </c>
      <c r="AJ83" s="15">
        <f>SUM(AH77:AJ77)</f>
        <v/>
      </c>
      <c r="AK83" s="15">
        <f>SUM(AI77:AK77)</f>
        <v/>
      </c>
      <c r="AL83" s="15">
        <f>SUM(AJ77:AL77)</f>
        <v/>
      </c>
      <c r="AM83" s="15">
        <f>SUM(AK77:AM77)</f>
        <v/>
      </c>
    </row>
    <row r="84">
      <c r="A84" s="5" t="inlineStr">
        <is>
          <t>Flag: month net income &gt;= 0</t>
        </is>
      </c>
      <c r="B84" s="2" t="inlineStr">
        <is>
          <t>month</t>
        </is>
      </c>
      <c r="D84" s="35">
        <f>IF(D77&gt;=0,D6,"")</f>
        <v/>
      </c>
      <c r="E84" s="35">
        <f>IF(E77&gt;=0,E6,"")</f>
        <v/>
      </c>
      <c r="F84" s="35">
        <f>IF(F77&gt;=0,F6,"")</f>
        <v/>
      </c>
      <c r="G84" s="35">
        <f>IF(G77&gt;=0,G6,"")</f>
        <v/>
      </c>
      <c r="H84" s="35">
        <f>IF(H77&gt;=0,H6,"")</f>
        <v/>
      </c>
      <c r="I84" s="35">
        <f>IF(I77&gt;=0,I6,"")</f>
        <v/>
      </c>
      <c r="J84" s="35">
        <f>IF(J77&gt;=0,J6,"")</f>
        <v/>
      </c>
      <c r="K84" s="35">
        <f>IF(K77&gt;=0,K6,"")</f>
        <v/>
      </c>
      <c r="L84" s="35">
        <f>IF(L77&gt;=0,L6,"")</f>
        <v/>
      </c>
      <c r="M84" s="35">
        <f>IF(M77&gt;=0,M6,"")</f>
        <v/>
      </c>
      <c r="N84" s="35">
        <f>IF(N77&gt;=0,N6,"")</f>
        <v/>
      </c>
      <c r="O84" s="35">
        <f>IF(O77&gt;=0,O6,"")</f>
        <v/>
      </c>
      <c r="P84" s="35">
        <f>IF(P77&gt;=0,P6,"")</f>
        <v/>
      </c>
      <c r="Q84" s="35">
        <f>IF(Q77&gt;=0,Q6,"")</f>
        <v/>
      </c>
      <c r="R84" s="35">
        <f>IF(R77&gt;=0,R6,"")</f>
        <v/>
      </c>
      <c r="S84" s="35">
        <f>IF(S77&gt;=0,S6,"")</f>
        <v/>
      </c>
      <c r="T84" s="35">
        <f>IF(T77&gt;=0,T6,"")</f>
        <v/>
      </c>
      <c r="U84" s="35">
        <f>IF(U77&gt;=0,U6,"")</f>
        <v/>
      </c>
      <c r="V84" s="35">
        <f>IF(V77&gt;=0,V6,"")</f>
        <v/>
      </c>
      <c r="W84" s="35">
        <f>IF(W77&gt;=0,W6,"")</f>
        <v/>
      </c>
      <c r="X84" s="35">
        <f>IF(X77&gt;=0,X6,"")</f>
        <v/>
      </c>
      <c r="Y84" s="35">
        <f>IF(Y77&gt;=0,Y6,"")</f>
        <v/>
      </c>
      <c r="Z84" s="35">
        <f>IF(Z77&gt;=0,Z6,"")</f>
        <v/>
      </c>
      <c r="AA84" s="35">
        <f>IF(AA77&gt;=0,AA6,"")</f>
        <v/>
      </c>
      <c r="AB84" s="35">
        <f>IF(AB77&gt;=0,AB6,"")</f>
        <v/>
      </c>
      <c r="AC84" s="35">
        <f>IF(AC77&gt;=0,AC6,"")</f>
        <v/>
      </c>
      <c r="AD84" s="35">
        <f>IF(AD77&gt;=0,AD6,"")</f>
        <v/>
      </c>
      <c r="AE84" s="35">
        <f>IF(AE77&gt;=0,AE6,"")</f>
        <v/>
      </c>
      <c r="AF84" s="35">
        <f>IF(AF77&gt;=0,AF6,"")</f>
        <v/>
      </c>
      <c r="AG84" s="35">
        <f>IF(AG77&gt;=0,AG6,"")</f>
        <v/>
      </c>
      <c r="AH84" s="35">
        <f>IF(AH77&gt;=0,AH6,"")</f>
        <v/>
      </c>
      <c r="AI84" s="35">
        <f>IF(AI77&gt;=0,AI6,"")</f>
        <v/>
      </c>
      <c r="AJ84" s="35">
        <f>IF(AJ77&gt;=0,AJ6,"")</f>
        <v/>
      </c>
      <c r="AK84" s="35">
        <f>IF(AK77&gt;=0,AK6,"")</f>
        <v/>
      </c>
      <c r="AL84" s="35">
        <f>IF(AL77&gt;=0,AL6,"")</f>
        <v/>
      </c>
      <c r="AM84" s="35">
        <f>IF(AM77&gt;=0,AM6,"")</f>
        <v/>
      </c>
    </row>
    <row r="85">
      <c r="A85" s="5" t="inlineStr">
        <is>
          <t>Flag: sustained (all later T3M &gt;= 0)</t>
        </is>
      </c>
      <c r="B85" s="2" t="inlineStr">
        <is>
          <t>month</t>
        </is>
      </c>
      <c r="D85" s="35">
        <f>IF(MIN(D83:$AM83)&gt;=0,D6,"")</f>
        <v/>
      </c>
      <c r="E85" s="35">
        <f>IF(MIN(E83:$AM83)&gt;=0,E6,"")</f>
        <v/>
      </c>
      <c r="F85" s="35">
        <f>IF(MIN(F83:$AM83)&gt;=0,F6,"")</f>
        <v/>
      </c>
      <c r="G85" s="35">
        <f>IF(MIN(G83:$AM83)&gt;=0,G6,"")</f>
        <v/>
      </c>
      <c r="H85" s="35">
        <f>IF(MIN(H83:$AM83)&gt;=0,H6,"")</f>
        <v/>
      </c>
      <c r="I85" s="35">
        <f>IF(MIN(I83:$AM83)&gt;=0,I6,"")</f>
        <v/>
      </c>
      <c r="J85" s="35">
        <f>IF(MIN(J83:$AM83)&gt;=0,J6,"")</f>
        <v/>
      </c>
      <c r="K85" s="35">
        <f>IF(MIN(K83:$AM83)&gt;=0,K6,"")</f>
        <v/>
      </c>
      <c r="L85" s="35">
        <f>IF(MIN(L83:$AM83)&gt;=0,L6,"")</f>
        <v/>
      </c>
      <c r="M85" s="35">
        <f>IF(MIN(M83:$AM83)&gt;=0,M6,"")</f>
        <v/>
      </c>
      <c r="N85" s="35">
        <f>IF(MIN(N83:$AM83)&gt;=0,N6,"")</f>
        <v/>
      </c>
      <c r="O85" s="35">
        <f>IF(MIN(O83:$AM83)&gt;=0,O6,"")</f>
        <v/>
      </c>
      <c r="P85" s="35">
        <f>IF(MIN(P83:$AM83)&gt;=0,P6,"")</f>
        <v/>
      </c>
      <c r="Q85" s="35">
        <f>IF(MIN(Q83:$AM83)&gt;=0,Q6,"")</f>
        <v/>
      </c>
      <c r="R85" s="35">
        <f>IF(MIN(R83:$AM83)&gt;=0,R6,"")</f>
        <v/>
      </c>
      <c r="S85" s="35">
        <f>IF(MIN(S83:$AM83)&gt;=0,S6,"")</f>
        <v/>
      </c>
      <c r="T85" s="35">
        <f>IF(MIN(T83:$AM83)&gt;=0,T6,"")</f>
        <v/>
      </c>
      <c r="U85" s="35">
        <f>IF(MIN(U83:$AM83)&gt;=0,U6,"")</f>
        <v/>
      </c>
      <c r="V85" s="35">
        <f>IF(MIN(V83:$AM83)&gt;=0,V6,"")</f>
        <v/>
      </c>
      <c r="W85" s="35">
        <f>IF(MIN(W83:$AM83)&gt;=0,W6,"")</f>
        <v/>
      </c>
      <c r="X85" s="35">
        <f>IF(MIN(X83:$AM83)&gt;=0,X6,"")</f>
        <v/>
      </c>
      <c r="Y85" s="35">
        <f>IF(MIN(Y83:$AM83)&gt;=0,Y6,"")</f>
        <v/>
      </c>
      <c r="Z85" s="35">
        <f>IF(MIN(Z83:$AM83)&gt;=0,Z6,"")</f>
        <v/>
      </c>
      <c r="AA85" s="35">
        <f>IF(MIN(AA83:$AM83)&gt;=0,AA6,"")</f>
        <v/>
      </c>
      <c r="AB85" s="35">
        <f>IF(MIN(AB83:$AM83)&gt;=0,AB6,"")</f>
        <v/>
      </c>
      <c r="AC85" s="35">
        <f>IF(MIN(AC83:$AM83)&gt;=0,AC6,"")</f>
        <v/>
      </c>
      <c r="AD85" s="35">
        <f>IF(MIN(AD83:$AM83)&gt;=0,AD6,"")</f>
        <v/>
      </c>
      <c r="AE85" s="35">
        <f>IF(MIN(AE83:$AM83)&gt;=0,AE6,"")</f>
        <v/>
      </c>
      <c r="AF85" s="35">
        <f>IF(MIN(AF83:$AM83)&gt;=0,AF6,"")</f>
        <v/>
      </c>
      <c r="AG85" s="35">
        <f>IF(MIN(AG83:$AM83)&gt;=0,AG6,"")</f>
        <v/>
      </c>
      <c r="AH85" s="35">
        <f>IF(MIN(AH83:$AM83)&gt;=0,AH6,"")</f>
        <v/>
      </c>
      <c r="AI85" s="35">
        <f>IF(MIN(AI83:$AM83)&gt;=0,AI6,"")</f>
        <v/>
      </c>
      <c r="AJ85" s="35">
        <f>IF(MIN(AJ83:$AM83)&gt;=0,AJ6,"")</f>
        <v/>
      </c>
      <c r="AK85" s="35">
        <f>IF(MIN(AK83:$AM83)&gt;=0,AK6,"")</f>
        <v/>
      </c>
      <c r="AL85" s="35">
        <f>IF(MIN(AL83:$AM83)&gt;=0,AL6,"")</f>
        <v/>
      </c>
      <c r="AM85" s="35">
        <f>IF(MIN(AM83:$AM83)&gt;=0,AM6,"")</f>
        <v/>
      </c>
    </row>
    <row r="86">
      <c r="A86" s="5" t="inlineStr">
        <is>
          <t>Flag: cumulative net income &gt;= 0</t>
        </is>
      </c>
      <c r="B86" s="2" t="inlineStr">
        <is>
          <t>month</t>
        </is>
      </c>
      <c r="D86" s="35">
        <f>IF(D79&gt;=0,D6,"")</f>
        <v/>
      </c>
      <c r="E86" s="35">
        <f>IF(E79&gt;=0,E6,"")</f>
        <v/>
      </c>
      <c r="F86" s="35">
        <f>IF(F79&gt;=0,F6,"")</f>
        <v/>
      </c>
      <c r="G86" s="35">
        <f>IF(G79&gt;=0,G6,"")</f>
        <v/>
      </c>
      <c r="H86" s="35">
        <f>IF(H79&gt;=0,H6,"")</f>
        <v/>
      </c>
      <c r="I86" s="35">
        <f>IF(I79&gt;=0,I6,"")</f>
        <v/>
      </c>
      <c r="J86" s="35">
        <f>IF(J79&gt;=0,J6,"")</f>
        <v/>
      </c>
      <c r="K86" s="35">
        <f>IF(K79&gt;=0,K6,"")</f>
        <v/>
      </c>
      <c r="L86" s="35">
        <f>IF(L79&gt;=0,L6,"")</f>
        <v/>
      </c>
      <c r="M86" s="35">
        <f>IF(M79&gt;=0,M6,"")</f>
        <v/>
      </c>
      <c r="N86" s="35">
        <f>IF(N79&gt;=0,N6,"")</f>
        <v/>
      </c>
      <c r="O86" s="35">
        <f>IF(O79&gt;=0,O6,"")</f>
        <v/>
      </c>
      <c r="P86" s="35">
        <f>IF(P79&gt;=0,P6,"")</f>
        <v/>
      </c>
      <c r="Q86" s="35">
        <f>IF(Q79&gt;=0,Q6,"")</f>
        <v/>
      </c>
      <c r="R86" s="35">
        <f>IF(R79&gt;=0,R6,"")</f>
        <v/>
      </c>
      <c r="S86" s="35">
        <f>IF(S79&gt;=0,S6,"")</f>
        <v/>
      </c>
      <c r="T86" s="35">
        <f>IF(T79&gt;=0,T6,"")</f>
        <v/>
      </c>
      <c r="U86" s="35">
        <f>IF(U79&gt;=0,U6,"")</f>
        <v/>
      </c>
      <c r="V86" s="35">
        <f>IF(V79&gt;=0,V6,"")</f>
        <v/>
      </c>
      <c r="W86" s="35">
        <f>IF(W79&gt;=0,W6,"")</f>
        <v/>
      </c>
      <c r="X86" s="35">
        <f>IF(X79&gt;=0,X6,"")</f>
        <v/>
      </c>
      <c r="Y86" s="35">
        <f>IF(Y79&gt;=0,Y6,"")</f>
        <v/>
      </c>
      <c r="Z86" s="35">
        <f>IF(Z79&gt;=0,Z6,"")</f>
        <v/>
      </c>
      <c r="AA86" s="35">
        <f>IF(AA79&gt;=0,AA6,"")</f>
        <v/>
      </c>
      <c r="AB86" s="35">
        <f>IF(AB79&gt;=0,AB6,"")</f>
        <v/>
      </c>
      <c r="AC86" s="35">
        <f>IF(AC79&gt;=0,AC6,"")</f>
        <v/>
      </c>
      <c r="AD86" s="35">
        <f>IF(AD79&gt;=0,AD6,"")</f>
        <v/>
      </c>
      <c r="AE86" s="35">
        <f>IF(AE79&gt;=0,AE6,"")</f>
        <v/>
      </c>
      <c r="AF86" s="35">
        <f>IF(AF79&gt;=0,AF6,"")</f>
        <v/>
      </c>
      <c r="AG86" s="35">
        <f>IF(AG79&gt;=0,AG6,"")</f>
        <v/>
      </c>
      <c r="AH86" s="35">
        <f>IF(AH79&gt;=0,AH6,"")</f>
        <v/>
      </c>
      <c r="AI86" s="35">
        <f>IF(AI79&gt;=0,AI6,"")</f>
        <v/>
      </c>
      <c r="AJ86" s="35">
        <f>IF(AJ79&gt;=0,AJ6,"")</f>
        <v/>
      </c>
      <c r="AK86" s="35">
        <f>IF(AK79&gt;=0,AK6,"")</f>
        <v/>
      </c>
      <c r="AL86" s="35">
        <f>IF(AL79&gt;=0,AL6,"")</f>
        <v/>
      </c>
      <c r="AM86" s="35">
        <f>IF(AM79&gt;=0,AM6,"")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8"/>
  <sheetViews>
    <sheetView showGridLines="0" workbookViewId="0">
      <selection activeCell="A1" sqref="A1"/>
    </sheetView>
  </sheetViews>
  <sheetFormatPr baseColWidth="8" defaultRowHeight="15"/>
  <cols>
    <col width="62" customWidth="1" min="1" max="1"/>
    <col width="18" customWidth="1" min="2" max="2"/>
    <col width="40" customWidth="1" min="3" max="3"/>
  </cols>
  <sheetData>
    <row r="1">
      <c r="A1" s="1" t="inlineStr">
        <is>
          <t>Scenarios - selector drives the whole model</t>
        </is>
      </c>
    </row>
    <row r="3">
      <c r="A3" s="3" t="inlineStr">
        <is>
          <t>Select scenario</t>
        </is>
      </c>
      <c r="B3" s="39" t="inlineStr">
        <is>
          <t>Base</t>
        </is>
      </c>
      <c r="C3" s="2" t="inlineStr">
        <is>
          <t>&lt;- choose Low / Base / High (only control cell outside Inputs)</t>
        </is>
      </c>
    </row>
    <row r="4">
      <c r="A4" s="5" t="inlineStr">
        <is>
          <t>Scenario index (1=Low, 2=Base, 3=High)</t>
        </is>
      </c>
      <c r="B4" s="35">
        <f>MATCH(B3,Inputs!$C$83:$E$83,0)</f>
        <v/>
      </c>
    </row>
    <row r="6">
      <c r="A6" s="9" t="inlineStr">
        <is>
          <t>Active lever</t>
        </is>
      </c>
      <c r="B6" s="9" t="inlineStr">
        <is>
          <t>Active value</t>
        </is>
      </c>
    </row>
    <row r="7">
      <c r="A7" s="5" t="inlineStr">
        <is>
          <t>Organic traffic multiplier</t>
        </is>
      </c>
      <c r="B7" s="40">
        <f>INDEX(Inputs!$C$84:$E$84,$B$4)</f>
        <v/>
      </c>
    </row>
    <row r="8">
      <c r="A8" s="5" t="inlineStr">
        <is>
          <t>Purchase conversion multiplier</t>
        </is>
      </c>
      <c r="B8" s="40">
        <f>INDEX(Inputs!$C$85:$E$85,$B$4)</f>
        <v/>
      </c>
    </row>
    <row r="9">
      <c r="A9" s="5" t="inlineStr">
        <is>
          <t>Repeat purchase multiplier</t>
        </is>
      </c>
      <c r="B9" s="40">
        <f>INDEX(Inputs!$C$86:$E$86,$B$4)</f>
        <v/>
      </c>
    </row>
    <row r="10">
      <c r="A10" s="5" t="inlineStr">
        <is>
          <t>Token cost multiplier</t>
        </is>
      </c>
      <c r="B10" s="40">
        <f>INDEX(Inputs!$C$87:$E$87,$B$4)</f>
        <v/>
      </c>
    </row>
    <row r="11">
      <c r="A11" s="5" t="inlineStr">
        <is>
          <t>Refund / reprint multiplier</t>
        </is>
      </c>
      <c r="B11" s="40">
        <f>INDEX(Inputs!$C$88:$E$88,$B$4)</f>
        <v/>
      </c>
    </row>
    <row r="12">
      <c r="A12" s="5" t="inlineStr">
        <is>
          <t>Marketing budget multiplier</t>
        </is>
      </c>
      <c r="B12" s="40">
        <f>INDEX(Inputs!$C$89:$E$89,$B$4)</f>
        <v/>
      </c>
    </row>
    <row r="13">
      <c r="A13" s="5" t="inlineStr">
        <is>
          <t>Print + shipping cost multiplier</t>
        </is>
      </c>
      <c r="B13" s="40">
        <f>INDEX(Inputs!$C$90:$E$90,$B$4)</f>
        <v/>
      </c>
    </row>
    <row r="15">
      <c r="A15" s="9" t="inlineStr">
        <is>
          <t>Headline KPIs (selected scenario)</t>
        </is>
      </c>
      <c r="B15" s="9" t="inlineStr">
        <is>
          <t>Value</t>
        </is>
      </c>
      <c r="C15" s="9" t="inlineStr">
        <is>
          <t>Note</t>
        </is>
      </c>
    </row>
    <row r="16">
      <c r="A16" s="5" t="inlineStr">
        <is>
          <t>Break-even month (sustained: trailing-3M profit stays &gt;= 0)</t>
        </is>
      </c>
      <c r="B16" s="38">
        <f>IF(COUNT(Forecast!$D$85:$AM$85)=0,"Not within 36 mo",MIN(Forecast!$D$85:$AM$85))</f>
        <v/>
      </c>
      <c r="C16" s="2" t="inlineStr">
        <is>
          <t>Month # from launch</t>
        </is>
      </c>
    </row>
    <row r="17">
      <c r="A17" s="5" t="inlineStr">
        <is>
          <t>First profitable month</t>
        </is>
      </c>
      <c r="B17" s="38">
        <f>IF(COUNT(Forecast!$D$84:$AM$84)=0,"Not within 36 mo",MIN(Forecast!$D$84:$AM$84))</f>
        <v/>
      </c>
      <c r="C17" s="2" t="inlineStr">
        <is>
          <t>May be a seasonal one-off</t>
        </is>
      </c>
    </row>
    <row r="18">
      <c r="A18" s="5" t="inlineStr">
        <is>
          <t>Cash payback month (cumulative net income &gt;= 0)</t>
        </is>
      </c>
      <c r="B18" s="38">
        <f>IF(COUNT(Forecast!$D$86:$AM$86)=0,"Not within 36 mo",MIN(Forecast!$D$86:$AM$86))</f>
        <v/>
      </c>
      <c r="C18" s="2" t="inlineStr"/>
    </row>
    <row r="19">
      <c r="A19" s="5" t="inlineStr">
        <is>
          <t>Month 12 net revenue</t>
        </is>
      </c>
      <c r="B19" s="23">
        <f>Forecast!O60</f>
        <v/>
      </c>
      <c r="C19" s="2" t="inlineStr"/>
    </row>
    <row r="20">
      <c r="A20" s="5" t="inlineStr">
        <is>
          <t>Month 12 net income</t>
        </is>
      </c>
      <c r="B20" s="23">
        <f>Forecast!O77</f>
        <v/>
      </c>
      <c r="C20" s="2" t="inlineStr"/>
    </row>
    <row r="21">
      <c r="A21" s="5" t="inlineStr">
        <is>
          <t>Month 36 net revenue</t>
        </is>
      </c>
      <c r="B21" s="23">
        <f>Forecast!AM60</f>
        <v/>
      </c>
      <c r="C21" s="2" t="inlineStr"/>
    </row>
    <row r="22">
      <c r="A22" s="5" t="inlineStr">
        <is>
          <t>Month 36 net income</t>
        </is>
      </c>
      <c r="B22" s="23">
        <f>Forecast!AM77</f>
        <v/>
      </c>
      <c r="C22" s="2" t="inlineStr"/>
    </row>
    <row r="23">
      <c r="A23" s="5" t="inlineStr">
        <is>
          <t>Year 1 net revenue</t>
        </is>
      </c>
      <c r="B23" s="23">
        <f>Forecast!AO60</f>
        <v/>
      </c>
      <c r="C23" s="2" t="inlineStr"/>
    </row>
    <row r="24">
      <c r="A24" s="5" t="inlineStr">
        <is>
          <t>Year 1 net income</t>
        </is>
      </c>
      <c r="B24" s="23">
        <f>Forecast!AO77</f>
        <v/>
      </c>
      <c r="C24" s="2" t="inlineStr"/>
    </row>
    <row r="25">
      <c r="A25" s="5" t="inlineStr">
        <is>
          <t>Year 3 net revenue</t>
        </is>
      </c>
      <c r="B25" s="23">
        <f>Forecast!AQ60</f>
        <v/>
      </c>
      <c r="C25" s="2" t="inlineStr"/>
    </row>
    <row r="26">
      <c r="A26" s="5" t="inlineStr">
        <is>
          <t>Year 3 net income</t>
        </is>
      </c>
      <c r="B26" s="23">
        <f>Forecast!AQ77</f>
        <v/>
      </c>
      <c r="C26" s="2" t="inlineStr"/>
    </row>
    <row r="27">
      <c r="A27" s="5" t="inlineStr">
        <is>
          <t>Cash balance, month 36</t>
        </is>
      </c>
      <c r="B27" s="23">
        <f>Forecast!AM80</f>
        <v/>
      </c>
      <c r="C27" s="2" t="inlineStr"/>
    </row>
    <row r="28">
      <c r="A28" s="5" t="inlineStr">
        <is>
          <t>Lowest cash balance</t>
        </is>
      </c>
      <c r="B28" s="23">
        <f>MIN(Forecast!C80:AM80)</f>
        <v/>
      </c>
      <c r="C28" s="2" t="inlineStr"/>
    </row>
    <row r="29">
      <c r="A29" s="5" t="inlineStr">
        <is>
          <t>Peak funding need (opening cash minus lowest cash)</t>
        </is>
      </c>
      <c r="B29" s="23">
        <f>MAX(0,Inputs!$B$8-$B$28)</f>
        <v/>
      </c>
      <c r="C29" s="2" t="inlineStr"/>
    </row>
    <row r="30">
      <c r="A30" s="5" t="inlineStr">
        <is>
          <t>Total orders, 36 months</t>
        </is>
      </c>
      <c r="B30" s="38">
        <f>SUM(Forecast!$D$43:$AM$43)</f>
        <v/>
      </c>
      <c r="C30" s="2" t="inlineStr"/>
    </row>
    <row r="31">
      <c r="A31" s="5" t="inlineStr">
        <is>
          <t>Blended CAC, 36 months ($ per new customer)</t>
        </is>
      </c>
      <c r="B31" s="26">
        <f>IFERROR(SUM(Forecast!$D$74:$AM$74)/SUM(Forecast!$D$40:$AM$40),0)</f>
        <v/>
      </c>
      <c r="C31" s="2" t="inlineStr"/>
    </row>
    <row r="32">
      <c r="A32" s="5" t="inlineStr">
        <is>
          <t>Paid CAC, steady state ($)</t>
        </is>
      </c>
      <c r="B32" s="26">
        <f>'Unit Economics'!$B$28</f>
        <v/>
      </c>
      <c r="C32" s="2" t="inlineStr"/>
    </row>
    <row r="33">
      <c r="A33" s="5" t="inlineStr">
        <is>
          <t>LTV per customer (contribution $)</t>
        </is>
      </c>
      <c r="B33" s="26">
        <f>'Unit Economics'!$B$25</f>
        <v/>
      </c>
      <c r="C33" s="2" t="inlineStr"/>
    </row>
    <row r="34">
      <c r="A34" s="5" t="inlineStr">
        <is>
          <t>LTV : blended CAC</t>
        </is>
      </c>
      <c r="B34" s="41">
        <f>IFERROR($B$33/$B$31,0)</f>
        <v/>
      </c>
      <c r="C34" s="2" t="inlineStr">
        <is>
          <t>Healthy &gt;= 3x</t>
        </is>
      </c>
    </row>
    <row r="35">
      <c r="A35" s="5" t="inlineStr">
        <is>
          <t>LTV : paid CAC</t>
        </is>
      </c>
      <c r="B35" s="41">
        <f>IFERROR($B$33/$B$32,0)</f>
        <v/>
      </c>
      <c r="C35" s="2" t="inlineStr"/>
    </row>
    <row r="36">
      <c r="A36" s="5" t="inlineStr">
        <is>
          <t>Blended contribution margin per order ($)</t>
        </is>
      </c>
      <c r="B36" s="26">
        <f>'Unit Economics'!$B$23</f>
        <v/>
      </c>
      <c r="C36" s="2" t="inlineStr"/>
    </row>
    <row r="37">
      <c r="A37" s="5" t="inlineStr">
        <is>
          <t>Gross margin, Year 3</t>
        </is>
      </c>
      <c r="B37" s="17">
        <f>Forecast!AQ72</f>
        <v/>
      </c>
      <c r="C37" s="2" t="inlineStr"/>
    </row>
    <row r="38">
      <c r="A38" s="5" t="inlineStr">
        <is>
          <t>Guest preview cost, 36 months ($, no revenue)</t>
        </is>
      </c>
      <c r="B38" s="23">
        <f>SUM(Forecast!$D$63:$AM$63)</f>
        <v/>
      </c>
      <c r="C38" s="2" t="inlineStr"/>
    </row>
  </sheetData>
  <dataValidations count="1">
    <dataValidation sqref="B3" showDropDown="0" showInputMessage="0" showErrorMessage="0" allowBlank="0" type="list">
      <formula1>"Low,Base,High"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4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GreetHub - Dashboard</t>
        </is>
      </c>
    </row>
    <row r="2">
      <c r="A2" s="3">
        <f>"Scenario: "&amp;Scenarios!B3&amp;"   (change on Scenarios sheet)"</f>
        <v/>
      </c>
    </row>
    <row r="4">
      <c r="A4" s="9" t="inlineStr">
        <is>
          <t>KPI</t>
        </is>
      </c>
      <c r="B4" s="9" t="inlineStr">
        <is>
          <t>Value</t>
        </is>
      </c>
    </row>
    <row r="5">
      <c r="A5" s="5" t="inlineStr">
        <is>
          <t>Break-even month (sustained)</t>
        </is>
      </c>
      <c r="B5" s="38">
        <f>Scenarios!$B$16</f>
        <v/>
      </c>
    </row>
    <row r="6">
      <c r="A6" s="5" t="inlineStr">
        <is>
          <t>Cash payback month</t>
        </is>
      </c>
      <c r="B6" s="38">
        <f>Scenarios!$B$18</f>
        <v/>
      </c>
    </row>
    <row r="7">
      <c r="A7" s="5" t="inlineStr">
        <is>
          <t>Month 12 net revenue</t>
        </is>
      </c>
      <c r="B7" s="23">
        <f>Scenarios!$B$19</f>
        <v/>
      </c>
    </row>
    <row r="8">
      <c r="A8" s="5" t="inlineStr">
        <is>
          <t>Month 12 net income</t>
        </is>
      </c>
      <c r="B8" s="23">
        <f>Scenarios!$B$20</f>
        <v/>
      </c>
    </row>
    <row r="9">
      <c r="A9" s="5" t="inlineStr">
        <is>
          <t>Month 36 net revenue</t>
        </is>
      </c>
      <c r="B9" s="23">
        <f>Scenarios!$B$21</f>
        <v/>
      </c>
    </row>
    <row r="10">
      <c r="A10" s="5" t="inlineStr">
        <is>
          <t>Month 36 net income</t>
        </is>
      </c>
      <c r="B10" s="23">
        <f>Scenarios!$B$22</f>
        <v/>
      </c>
    </row>
    <row r="11">
      <c r="A11" s="5" t="inlineStr">
        <is>
          <t>Cash balance, month 36</t>
        </is>
      </c>
      <c r="B11" s="23">
        <f>Scenarios!$B$27</f>
        <v/>
      </c>
    </row>
    <row r="12">
      <c r="A12" s="5" t="inlineStr">
        <is>
          <t>Peak funding need</t>
        </is>
      </c>
      <c r="B12" s="23">
        <f>Scenarios!$B$29</f>
        <v/>
      </c>
    </row>
    <row r="13">
      <c r="A13" s="5" t="inlineStr">
        <is>
          <t>Blended CAC</t>
        </is>
      </c>
      <c r="B13" s="26">
        <f>Scenarios!$B$31</f>
        <v/>
      </c>
    </row>
    <row r="14">
      <c r="A14" s="5" t="inlineStr">
        <is>
          <t>LTV per customer</t>
        </is>
      </c>
      <c r="B14" s="26">
        <f>Scenarios!$B$33</f>
        <v/>
      </c>
    </row>
    <row r="15">
      <c r="A15" s="5" t="inlineStr">
        <is>
          <t>LTV : blended CAC</t>
        </is>
      </c>
      <c r="B15" s="41">
        <f>Scenarios!$B$34</f>
        <v/>
      </c>
    </row>
    <row r="16">
      <c r="A16" s="5" t="inlineStr">
        <is>
          <t>Orders, 36 months</t>
        </is>
      </c>
      <c r="B16" s="38">
        <f>Scenarios!$B$30</f>
        <v/>
      </c>
    </row>
    <row r="18">
      <c r="A18" s="9" t="inlineStr">
        <is>
          <t>Annual summary</t>
        </is>
      </c>
      <c r="B18" s="9" t="inlineStr">
        <is>
          <t>Year 1</t>
        </is>
      </c>
      <c r="C18" s="9" t="inlineStr">
        <is>
          <t>Year 2</t>
        </is>
      </c>
      <c r="D18" s="9" t="inlineStr">
        <is>
          <t>Year 3</t>
        </is>
      </c>
    </row>
    <row r="19">
      <c r="A19" s="5" t="inlineStr">
        <is>
          <t>Visits</t>
        </is>
      </c>
      <c r="B19" s="35">
        <f>Forecast!AO30</f>
        <v/>
      </c>
      <c r="C19" s="35">
        <f>Forecast!AP30</f>
        <v/>
      </c>
      <c r="D19" s="35">
        <f>Forecast!AQ30</f>
        <v/>
      </c>
    </row>
    <row r="20">
      <c r="A20" s="5" t="inlineStr">
        <is>
          <t>New-customer orders</t>
        </is>
      </c>
      <c r="B20" s="35">
        <f>Forecast!AO40</f>
        <v/>
      </c>
      <c r="C20" s="35">
        <f>Forecast!AP40</f>
        <v/>
      </c>
      <c r="D20" s="35">
        <f>Forecast!AQ40</f>
        <v/>
      </c>
    </row>
    <row r="21">
      <c r="A21" s="5" t="inlineStr">
        <is>
          <t>Total orders</t>
        </is>
      </c>
      <c r="B21" s="35">
        <f>Forecast!AO43</f>
        <v/>
      </c>
      <c r="C21" s="35">
        <f>Forecast!AP43</f>
        <v/>
      </c>
      <c r="D21" s="35">
        <f>Forecast!AQ43</f>
        <v/>
      </c>
    </row>
    <row r="22">
      <c r="A22" s="5" t="inlineStr">
        <is>
          <t>Net revenue</t>
        </is>
      </c>
      <c r="B22" s="15">
        <f>Forecast!AO60</f>
        <v/>
      </c>
      <c r="C22" s="15">
        <f>Forecast!AP60</f>
        <v/>
      </c>
      <c r="D22" s="15">
        <f>Forecast!AQ60</f>
        <v/>
      </c>
    </row>
    <row r="23">
      <c r="A23" s="5" t="inlineStr">
        <is>
          <t>Gross profit</t>
        </is>
      </c>
      <c r="B23" s="15">
        <f>Forecast!AO71</f>
        <v/>
      </c>
      <c r="C23" s="15">
        <f>Forecast!AP71</f>
        <v/>
      </c>
      <c r="D23" s="15">
        <f>Forecast!AQ71</f>
        <v/>
      </c>
    </row>
    <row r="24">
      <c r="A24" s="5" t="inlineStr">
        <is>
          <t>Marketing</t>
        </is>
      </c>
      <c r="B24" s="15">
        <f>Forecast!AO74</f>
        <v/>
      </c>
      <c r="C24" s="15">
        <f>Forecast!AP74</f>
        <v/>
      </c>
      <c r="D24" s="15">
        <f>Forecast!AQ74</f>
        <v/>
      </c>
    </row>
    <row r="25">
      <c r="A25" s="5" t="inlineStr">
        <is>
          <t>Operating costs</t>
        </is>
      </c>
      <c r="B25" s="15">
        <f>Forecast!AO75</f>
        <v/>
      </c>
      <c r="C25" s="15">
        <f>Forecast!AP75</f>
        <v/>
      </c>
      <c r="D25" s="15">
        <f>Forecast!AQ75</f>
        <v/>
      </c>
    </row>
    <row r="26">
      <c r="A26" s="5" t="inlineStr">
        <is>
          <t>Net income</t>
        </is>
      </c>
      <c r="B26" s="15">
        <f>Forecast!AO77</f>
        <v/>
      </c>
      <c r="C26" s="15">
        <f>Forecast!AP77</f>
        <v/>
      </c>
      <c r="D26" s="15">
        <f>Forecast!AQ77</f>
        <v/>
      </c>
    </row>
    <row r="27">
      <c r="A27" s="5" t="inlineStr">
        <is>
          <t>Ending cash</t>
        </is>
      </c>
      <c r="B27" s="15">
        <f>Forecast!AO80</f>
        <v/>
      </c>
      <c r="C27" s="15">
        <f>Forecast!AP80</f>
        <v/>
      </c>
      <c r="D27" s="15">
        <f>Forecast!AQ80</f>
        <v/>
      </c>
    </row>
    <row r="29">
      <c r="A29" s="9" t="inlineStr">
        <is>
          <t>Contribution margin per item</t>
        </is>
      </c>
      <c r="B29" s="9" t="inlineStr">
        <is>
          <t>CM $</t>
        </is>
      </c>
      <c r="C29" s="9" t="inlineStr">
        <is>
          <t>CM %</t>
        </is>
      </c>
    </row>
    <row r="30">
      <c r="A30" s="5">
        <f>'Unit Economics'!A5</f>
        <v/>
      </c>
      <c r="B30" s="21">
        <f>'Unit Economics'!N5</f>
        <v/>
      </c>
      <c r="C30" s="22">
        <f>'Unit Economics'!O5</f>
        <v/>
      </c>
    </row>
    <row r="31">
      <c r="A31" s="5">
        <f>'Unit Economics'!A6</f>
        <v/>
      </c>
      <c r="B31" s="21">
        <f>'Unit Economics'!N6</f>
        <v/>
      </c>
      <c r="C31" s="22">
        <f>'Unit Economics'!O6</f>
        <v/>
      </c>
    </row>
    <row r="32">
      <c r="A32" s="5">
        <f>'Unit Economics'!A7</f>
        <v/>
      </c>
      <c r="B32" s="21">
        <f>'Unit Economics'!N7</f>
        <v/>
      </c>
      <c r="C32" s="22">
        <f>'Unit Economics'!O7</f>
        <v/>
      </c>
    </row>
    <row r="33">
      <c r="A33" s="5">
        <f>'Unit Economics'!A8</f>
        <v/>
      </c>
      <c r="B33" s="21">
        <f>'Unit Economics'!N8</f>
        <v/>
      </c>
      <c r="C33" s="22">
        <f>'Unit Economics'!O8</f>
        <v/>
      </c>
    </row>
    <row r="34">
      <c r="A34" s="5">
        <f>'Unit Economics'!A9</f>
        <v/>
      </c>
      <c r="B34" s="21">
        <f>'Unit Economics'!N9</f>
        <v/>
      </c>
      <c r="C34" s="22">
        <f>'Unit Economics'!O9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2026-10-10T10:01:42Z</dcterms:created>
  <dcterms:modified xmlns:dcterms="http://purl.org/dc/terms/" xmlns:xsi="http://www.w3.org/2001/XMLSchema-instance" xsi:type="dcterms:W3CDTF">2026-10-10T10:01:43Z</dcterms:modified>
</cp:coreProperties>
</file>