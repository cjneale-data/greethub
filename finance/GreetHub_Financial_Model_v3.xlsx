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charts/colors3.xml" ContentType="application/vnd.ms-office.chartcolorstyle+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hart3.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3.xml" ContentType="application/vnd.ms-office.chartstyle+xml"/>
  <Override PartName="/xl/charts/chart4.xml" ContentType="application/vnd.openxmlformats-officedocument.drawingml.chart+xml"/>
  <Override PartName="/xl/charts/colors5.xml" ContentType="application/vnd.ms-office.chartcolorstyle+xml"/>
  <Override PartName="/xl/charts/style4.xml" ContentType="application/vnd.ms-office.chartstyle+xml"/>
  <Override PartName="/xl/charts/style5.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colors7.xml" ContentType="application/vnd.ms-office.chartcolorstyle+xml"/>
  <Override PartName="/xl/charts/style6.xml" ContentType="application/vnd.ms-office.chartstyle+xml"/>
  <Override PartName="/xl/charts/style7.xml" ContentType="application/vnd.ms-office.chartstyle+xml"/>
  <Override PartName="/xl/charts/colors6.xml" ContentType="application/vnd.ms-office.chartcolorstyle+xml"/>
  <Override PartName="/xl/charts/chart7.xml" ContentType="application/vnd.openxmlformats-officedocument.drawingml.chart+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Dashboard" sheetId="1" state="visible" r:id="rId3"/>
    <sheet name="Inputs" sheetId="2" state="visible" r:id="rId4"/>
    <sheet name="Scenarios" sheetId="3" state="visible" r:id="rId5"/>
    <sheet name="Compare" sheetId="4" state="visible" r:id="rId6"/>
    <sheet name="R&amp;D" sheetId="5" state="visible" r:id="rId7"/>
    <sheet name="Kiosk" sheetId="6" state="visible" r:id="rId8"/>
    <sheet name="Agent Channel" sheetId="7" state="visible" r:id="rId9"/>
    <sheet name="Unit Economics" sheetId="8" state="visible" r:id="rId10"/>
    <sheet name="Model Costs" sheetId="9" state="visible" r:id="rId11"/>
    <sheet name="Opex" sheetId="10" state="visible" r:id="rId12"/>
    <sheet name="Forecast"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<sst xmlns="http://schemas.openxmlformats.org/spreadsheetml/2006/main" count="1876" uniqueCount="1111">
  <si>
    <t xml:space="preserve">GreetHub - Dashboard</t>
  </si>
  <si>
    <t xml:space="preserve">Core KPIs below exclude the Kiosk and Agent programs. Side-by-side four-scenario comparison starts at row 52.</t>
  </si>
  <si>
    <t xml:space="preserve">KPI</t>
  </si>
  <si>
    <t xml:space="preserve">Value</t>
  </si>
  <si>
    <t xml:space="preserve">Break-even month (sustained)</t>
  </si>
  <si>
    <t xml:space="preserve">Cash payback month</t>
  </si>
  <si>
    <t xml:space="preserve">Month 12 net revenue</t>
  </si>
  <si>
    <t xml:space="preserve">Month 12 net income</t>
  </si>
  <si>
    <t xml:space="preserve">Month 36 net revenue</t>
  </si>
  <si>
    <t xml:space="preserve">Month 36 net income</t>
  </si>
  <si>
    <t xml:space="preserve">Cash balance, month 36</t>
  </si>
  <si>
    <t xml:space="preserve">Peak funding need</t>
  </si>
  <si>
    <t xml:space="preserve">Blended CAC</t>
  </si>
  <si>
    <t xml:space="preserve">LTV per customer</t>
  </si>
  <si>
    <t xml:space="preserve">LTV : blended CAC</t>
  </si>
  <si>
    <t xml:space="preserve">Orders, 36 months</t>
  </si>
  <si>
    <t xml:space="preserve">Annual summary</t>
  </si>
  <si>
    <t xml:space="preserve">Year 1</t>
  </si>
  <si>
    <t xml:space="preserve">Year 2</t>
  </si>
  <si>
    <t xml:space="preserve">Year 3</t>
  </si>
  <si>
    <t xml:space="preserve">Visits</t>
  </si>
  <si>
    <t xml:space="preserve">New-customer orders</t>
  </si>
  <si>
    <t xml:space="preserve">Total orders</t>
  </si>
  <si>
    <t xml:space="preserve">Net revenue</t>
  </si>
  <si>
    <t xml:space="preserve">Gross profit</t>
  </si>
  <si>
    <t xml:space="preserve">Marketing</t>
  </si>
  <si>
    <t xml:space="preserve">Operating costs</t>
  </si>
  <si>
    <t xml:space="preserve">Net income</t>
  </si>
  <si>
    <t xml:space="preserve">Ending cash</t>
  </si>
  <si>
    <t xml:space="preserve">Contribution margin per item</t>
  </si>
  <si>
    <t xml:space="preserve">CM $</t>
  </si>
  <si>
    <t xml:space="preserve">CM %</t>
  </si>
  <si>
    <t xml:space="preserve">Scenario comparison (36 months)</t>
  </si>
  <si>
    <t xml:space="preserve">Core only</t>
  </si>
  <si>
    <t xml:space="preserve">Core + Agent</t>
  </si>
  <si>
    <t xml:space="preserve">Core + Kiosk</t>
  </si>
  <si>
    <t xml:space="preserve">Everything</t>
  </si>
  <si>
    <t xml:space="preserve">Cumulative cash, month 12</t>
  </si>
  <si>
    <t xml:space="preserve">Cumulative cash, month 24</t>
  </si>
  <si>
    <t xml:space="preserve">Cumulative cash, month 36</t>
  </si>
  <si>
    <t xml:space="preserve">Break-even month (sustained, net income)</t>
  </si>
  <si>
    <t xml:space="preserve">Total R&amp;D spend</t>
  </si>
  <si>
    <t xml:space="preserve">Cumulative net income</t>
  </si>
  <si>
    <t xml:space="preserve">GreetHub - Inputs (all business assumptions live here)</t>
  </si>
  <si>
    <t xml:space="preserve">Blue = input you can edit. Black = formula. Yellow fill = slot reserved for CMO/CTO data. Status: SOURCED / ESTIMATE / GUESS. Printer prices are ESTIMATES to verify against live Lulu / Prodigi / Gelato price sheets.</t>
  </si>
  <si>
    <t xml:space="preserve">Legend:</t>
  </si>
  <si>
    <t xml:space="preserve">Input</t>
  </si>
  <si>
    <t xml:space="preserve">Formula</t>
  </si>
  <si>
    <t xml:space="preserve">CMO / CTO data</t>
  </si>
  <si>
    <t xml:space="preserve">1. General</t>
  </si>
  <si>
    <t xml:space="preserve">Assumption</t>
  </si>
  <si>
    <t xml:space="preserve">Unit</t>
  </si>
  <si>
    <t xml:space="preserve">Status</t>
  </si>
  <si>
    <t xml:space="preserve">Sensible range</t>
  </si>
  <si>
    <t xml:space="preserve">Notes / source</t>
  </si>
  <si>
    <t xml:space="preserve">Launch month (month 1)</t>
  </si>
  <si>
    <t xml:space="preserve">date</t>
  </si>
  <si>
    <t xml:space="preserve">SOURCED</t>
  </si>
  <si>
    <t xml:space="preserve">any</t>
  </si>
  <si>
    <t xml:space="preserve">CMO launch assumption: November 2026. Drives seasonality alignment.</t>
  </si>
  <si>
    <t xml:space="preserve">Opening cash (founder capital)</t>
  </si>
  <si>
    <t xml:space="preserve">$</t>
  </si>
  <si>
    <t xml:space="preserve">GUESS</t>
  </si>
  <si>
    <t xml:space="preserve">$10k-100k</t>
  </si>
  <si>
    <t xml:space="preserve">Starting cash balance; also sets funding need.</t>
  </si>
  <si>
    <t xml:space="preserve">Items per paid order</t>
  </si>
  <si>
    <t xml:space="preserve">items</t>
  </si>
  <si>
    <t xml:space="preserve">1.0-1.5</t>
  </si>
  <si>
    <t xml:space="preserve">Card+book bundles; Stripe $0.30 is per order, not per item.</t>
  </si>
  <si>
    <t xml:space="preserve">2. Funnel (visitor -&gt; sign-up -&gt; creator start -&gt; purchase)</t>
  </si>
  <si>
    <t xml:space="preserve">Organic/referral visitor -&gt; sign-up rate</t>
  </si>
  <si>
    <t xml:space="preserve">% of visits</t>
  </si>
  <si>
    <t xml:space="preserve">3%-12%</t>
  </si>
  <si>
    <t xml:space="preserve">Paid channels use per-channel CMO rates in section 7. Matches CMO range (4-9%).</t>
  </si>
  <si>
    <t xml:space="preserve">Sign-up -&gt; creator start rate (all sources)</t>
  </si>
  <si>
    <t xml:space="preserve">% of sign-ups</t>
  </si>
  <si>
    <t xml:space="preserve">40%-80%</t>
  </si>
  <si>
    <t xml:space="preserve">Sign-ups who begin a brief; drives token cost of unpaid starts.</t>
  </si>
  <si>
    <t xml:space="preserve">Organic: creator start -&gt; purchase rate</t>
  </si>
  <si>
    <t xml:space="preserve">% of starts</t>
  </si>
  <si>
    <t xml:space="preserve">12%-40%</t>
  </si>
  <si>
    <t xml:space="preserve">0.60 x 0.25 = 15% sign-up -&gt; purchase, in line with CMO channel rates (9-20%). Paid channels use CMO signup-&gt;purchase directly.</t>
  </si>
  <si>
    <t xml:space="preserve">Share of visitors who run a free guest preview</t>
  </si>
  <si>
    <t xml:space="preserve">5%-30%</t>
  </si>
  <si>
    <t xml:space="preserve">Guest previews cost tokens and earn no revenue (cost line in Forecast).</t>
  </si>
  <si>
    <t xml:space="preserve">Seasonality sensitivity of purchase conversion</t>
  </si>
  <si>
    <t xml:space="preserve">0-1</t>
  </si>
  <si>
    <t xml:space="preserve">0 = season only changes traffic; 1 = conversion moves fully with season index.</t>
  </si>
  <si>
    <t xml:space="preserve">Token cost incurred before an unpaid creator start abandons</t>
  </si>
  <si>
    <t xml:space="preserve">% of full cost</t>
  </si>
  <si>
    <t xml:space="preserve">ESTIMATE</t>
  </si>
  <si>
    <t xml:space="preserve">20%-60%</t>
  </si>
  <si>
    <t xml:space="preserve">The model-sheet approval gate caps waste (PLAN.md).</t>
  </si>
  <si>
    <t xml:space="preserve">3. Traffic</t>
  </si>
  <si>
    <t xml:space="preserve">Organic visits, month 1 (before seasonality)</t>
  </si>
  <si>
    <t xml:space="preserve">visits</t>
  </si>
  <si>
    <t xml:space="preserve">500-8,000</t>
  </si>
  <si>
    <t xml:space="preserve">Brand/social/referral at launch.</t>
  </si>
  <si>
    <t xml:space="preserve">Organic monthly growth, month 2</t>
  </si>
  <si>
    <t xml:space="preserve">% / mo</t>
  </si>
  <si>
    <t xml:space="preserve">5%-20%</t>
  </si>
  <si>
    <t xml:space="preserve">Compounds, then decays (next row).</t>
  </si>
  <si>
    <t xml:space="preserve">Organic growth decay factor per month</t>
  </si>
  <si>
    <t xml:space="preserve">x</t>
  </si>
  <si>
    <t xml:space="preserve">0.88-0.98</t>
  </si>
  <si>
    <t xml:space="preserve">growth_t = g x decay^(t-1). 0.93 -&gt; ~5x organic by month 36.</t>
  </si>
  <si>
    <t xml:space="preserve">Recipient referral visits per item sold (prior month)</t>
  </si>
  <si>
    <t xml:space="preserve">visits/item</t>
  </si>
  <si>
    <t xml:space="preserve">0.1-0.8</t>
  </si>
  <si>
    <t xml:space="preserve">Card/book recipients open the 'made with GreetHub' link.</t>
  </si>
  <si>
    <t xml:space="preserve">4. Marketing budget (paid visits = budget / CPC)</t>
  </si>
  <si>
    <t xml:space="preserve">Monthly marketing budget, month 1</t>
  </si>
  <si>
    <t xml:space="preserve">$ / mo</t>
  </si>
  <si>
    <t xml:space="preserve">CMO PLAN (spend decision; CAC inputs mostly GUESS)</t>
  </si>
  <si>
    <t xml:space="preserve">$1k-15k</t>
  </si>
  <si>
    <t xml:space="preserve">Sum of CMO channel budgets (section 7), $6.5k/mo = $19.5k per 90 days. Overwrite with a number to test.</t>
  </si>
  <si>
    <t xml:space="preserve">Budget monthly growth</t>
  </si>
  <si>
    <t xml:space="preserve">0%-10%</t>
  </si>
  <si>
    <t xml:space="preserve">Compounds until cap. Growth only pays if contribution per order beats CAC.</t>
  </si>
  <si>
    <t xml:space="preserve">Budget cap</t>
  </si>
  <si>
    <t xml:space="preserve">$5k-100k</t>
  </si>
  <si>
    <t xml:space="preserve">Ceiling on base monthly budget.</t>
  </si>
  <si>
    <t xml:space="preserve">Budget follows season index</t>
  </si>
  <si>
    <t xml:space="preserve">1 = budget scales fully with season index.</t>
  </si>
  <si>
    <t xml:space="preserve">5. Repeat, refunds, re-rolls, payments</t>
  </si>
  <si>
    <t xml:space="preserve">Repeat orders per existing customer per year</t>
  </si>
  <si>
    <t xml:space="preserve">orders/yr</t>
  </si>
  <si>
    <t xml:space="preserve">0.15-0.8</t>
  </si>
  <si>
    <t xml:space="preserve">Occasion-driven; applied to cumulative customers.</t>
  </si>
  <si>
    <t xml:space="preserve">Customer lifetime used for LTV</t>
  </si>
  <si>
    <t xml:space="preserve">years</t>
  </si>
  <si>
    <t xml:space="preserve">1-3</t>
  </si>
  <si>
    <t xml:space="preserve">LTV = contribution per order x (1 + repeat x lifetime).</t>
  </si>
  <si>
    <t xml:space="preserve">Re-roll rate, cards (extra renders over base)</t>
  </si>
  <si>
    <t xml:space="preserve">% of renders</t>
  </si>
  <si>
    <t xml:space="preserve">GUESS (n=10)</t>
  </si>
  <si>
    <t xml:space="preserve">20%-50%</t>
  </si>
  <si>
    <t xml:space="preserve">Only 10 first-attempt 2K page renders exist: 5/10 passed QA first time (95% CI 24-76%); 3 of the 5 fails were QA bugs since fixed (Model evals, 2026-10-12). Run 20% and 50%. Now flows through to measured token totals (Model Costs col J).</t>
  </si>
  <si>
    <t xml:space="preserve">Re-roll rate, books (extra renders over base)</t>
  </si>
  <si>
    <t xml:space="preserve">Refund rate (share of revenue refunded)</t>
  </si>
  <si>
    <t xml:space="preserve">% of revenue</t>
  </si>
  <si>
    <t xml:space="preserve">1%-6%</t>
  </si>
  <si>
    <t xml:space="preserve">Token cost is sunk on refund.</t>
  </si>
  <si>
    <t xml:space="preserve">Reprint rate (printed items reshipped)</t>
  </si>
  <si>
    <t xml:space="preserve">% of printed</t>
  </si>
  <si>
    <t xml:space="preserve">2%-8%</t>
  </si>
  <si>
    <t xml:space="preserve">Print defects, transit damage. Costs print + shipping again.</t>
  </si>
  <si>
    <t xml:space="preserve">Chargeback rate</t>
  </si>
  <si>
    <t xml:space="preserve">% of orders</t>
  </si>
  <si>
    <t xml:space="preserve">0.1%-1%</t>
  </si>
  <si>
    <t xml:space="preserve">Chargeback fee</t>
  </si>
  <si>
    <t xml:space="preserve">$ / dispute</t>
  </si>
  <si>
    <t xml:space="preserve">$15</t>
  </si>
  <si>
    <t xml:space="preserve">Stripe dispute fee (US) - verify.</t>
  </si>
  <si>
    <t xml:space="preserve">Stripe fee, percentage</t>
  </si>
  <si>
    <t xml:space="preserve">% of charge</t>
  </si>
  <si>
    <t xml:space="preserve">2.9%</t>
  </si>
  <si>
    <t xml:space="preserve">Owner brief / Stripe standard US card rate.</t>
  </si>
  <si>
    <t xml:space="preserve">Stripe fee, fixed</t>
  </si>
  <si>
    <t xml:space="preserve">$ / order</t>
  </si>
  <si>
    <t xml:space="preserve">$0.30</t>
  </si>
  <si>
    <t xml:space="preserve">OpenRouter credit-purchase fee on token spend</t>
  </si>
  <si>
    <t xml:space="preserve">% of tokens</t>
  </si>
  <si>
    <t xml:space="preserve">0-8%</t>
  </si>
  <si>
    <t xml:space="preserve">OpenRouter charges a fee when buying credits - verify.</t>
  </si>
  <si>
    <t xml:space="preserve">Share of printed items where postage fee is charged</t>
  </si>
  <si>
    <t xml:space="preserve">50%-100%</t>
  </si>
  <si>
    <t xml:space="preserve">Rest = free-shipping promos.</t>
  </si>
  <si>
    <t xml:space="preserve">6. SKU table: launch prices, mix, print and shipping costs (ESTIMATES - verify against live printer price sheets)</t>
  </si>
  <si>
    <t xml:space="preserve">SKU</t>
  </si>
  <si>
    <t xml:space="preserve">Product line</t>
  </si>
  <si>
    <t xml:space="preserve">Format</t>
  </si>
  <si>
    <t xml:space="preserve">Printed? (1/0)</t>
  </si>
  <si>
    <t xml:space="preserve">List price ($)</t>
  </si>
  <si>
    <t xml:space="preserve">Postage fee charged ($)</t>
  </si>
  <si>
    <t xml:space="preserve">Mix (% of items)</t>
  </si>
  <si>
    <t xml:space="preserve">Print cost est. ($)</t>
  </si>
  <si>
    <t xml:space="preserve">Shipping cost est. ($)</t>
  </si>
  <si>
    <t xml:space="preserve">Fulfilment partner</t>
  </si>
  <si>
    <t xml:space="preserve">Pricing reasoning</t>
  </si>
  <si>
    <t xml:space="preserve">Card - Digital e-card/PDF</t>
  </si>
  <si>
    <t xml:space="preserve">Card</t>
  </si>
  <si>
    <t xml:space="preserve">Digital</t>
  </si>
  <si>
    <t xml:space="preserve">None (instant delivery)</t>
  </si>
  <si>
    <t xml:space="preserve">Impulse price; near-pure margin, upsell path to print.</t>
  </si>
  <si>
    <t xml:space="preserve">Card - Printed 5x7 folded</t>
  </si>
  <si>
    <t xml:space="preserve">Printed</t>
  </si>
  <si>
    <t xml:space="preserve">Prodigi / Gelato</t>
  </si>
  <si>
    <t xml:space="preserve">Retail premium cards sell $5-8; personalised justifies the top. Postage option $2.99 covers ~2x shipping cost.</t>
  </si>
  <si>
    <t xml:space="preserve">Book - Digital flipbook/PDF</t>
  </si>
  <si>
    <t xml:space="preserve">Book</t>
  </si>
  <si>
    <t xml:space="preserve">Anchors printed price at about half.</t>
  </si>
  <si>
    <t xml:space="preserve">Book - Hardcover 8.5x8.5, 24pp</t>
  </si>
  <si>
    <t xml:space="preserve">Lulu</t>
  </si>
  <si>
    <t xml:space="preserve">Personalised hardcovers sell ~$35-45. Lulu 24pp casewrap est ~$12.50.</t>
  </si>
  <si>
    <t xml:space="preserve">Book - Hardcover 8.5x8.5, 32pp</t>
  </si>
  <si>
    <t xml:space="preserve">+8 pages: +$2 print, +4 renders (~$0.5); +$10 price keeps margin %.</t>
  </si>
  <si>
    <t xml:space="preserve">Mix check (must equal 100%)</t>
  </si>
  <si>
    <t xml:space="preserve">Print/shipping costs are ESTIMATES from memory of public Lulu / Prodigi / Gelato calculators for US delivery. Verify on live sheets before launch. CMO copy tokens: {card_digital}, {card_printed}, {book_digital}, {book_24}, {book_32} map to the list prices above.</t>
  </si>
  <si>
    <t xml:space="preserve">7. Marketing channels - re-imported 2026-10-12 from docs/cmo/channel-assumptions.csv. Only Google and Meta CPC are sourced (secondary benchmarks); every CTR, conversion rate and other CPC is a GUESS (column K).</t>
  </si>
  <si>
    <t xml:space="preserve">Channel</t>
  </si>
  <si>
    <t xml:space="preserve">Monthly budget base ($)</t>
  </si>
  <si>
    <t xml:space="preserve">CPC low</t>
  </si>
  <si>
    <t xml:space="preserve">CPC base</t>
  </si>
  <si>
    <t xml:space="preserve">CPC high</t>
  </si>
  <si>
    <t xml:space="preserve">CTR base</t>
  </si>
  <si>
    <t xml:space="preserve">Visitor -&gt; sign-up</t>
  </si>
  <si>
    <t xml:space="preserve">Sign-up -&gt; purchase</t>
  </si>
  <si>
    <t xml:space="preserve">CAC base (formula)</t>
  </si>
  <si>
    <t xml:space="preserve">Budget share (formula)</t>
  </si>
  <si>
    <t xml:space="preserve">Evidence (CMO csv, re-imported 2026-10-12)</t>
  </si>
  <si>
    <t xml:space="preserve">meta_instagram_ads</t>
  </si>
  <si>
    <t xml:space="preserve">cpc: sourced-secondary (e-commerce Meta CPC about $0.87, MHI dataset via webtonic.io, read 2026-10-11 per docs/market/02); ctr: guess (benchmark median 1.93%, we keep 1.1% for an unknown brand); conversion: guess</t>
  </si>
  <si>
    <t xml:space="preserve">pinterest_ads</t>
  </si>
  <si>
    <t xml:space="preserve">all guess (no benchmark found, docs/market/02 2026-10-11)</t>
  </si>
  <si>
    <t xml:space="preserve">google_search</t>
  </si>
  <si>
    <t xml:space="preserve">cpc: sourced-secondary (Shopping, Collectibles and Gifts $4.14, range $2.50-5.50, WordStream/LocaliQ via wemakeitlab.com, read 2026-10-11 per docs/market/02); ctr and conversion: guess</t>
  </si>
  <si>
    <t xml:space="preserve">tiktok_ads</t>
  </si>
  <si>
    <t xml:space="preserve">all guess (no benchmark found)</t>
  </si>
  <si>
    <t xml:space="preserve">creators_affiliate</t>
  </si>
  <si>
    <t xml:space="preserve">all guess (no benchmark found); effective cost per visit = fees plus gifted books / tracked clicks</t>
  </si>
  <si>
    <t xml:space="preserve">occasion_seo_content</t>
  </si>
  <si>
    <t xml:space="preserve">all guess; effective cost per visit = content and tooling spend / organic visits</t>
  </si>
  <si>
    <t xml:space="preserve">Total / check</t>
  </si>
  <si>
    <t xml:space="preserve">Scenario: Low uses CPC high, Base uses CPC base, High uses CPC low. Channel conversion held constant across scenarios except the conversion lever. CMO notes: blended CAC ~$76 at base; SEO ~$33, TikTok ~$167. Sensible ranges: CPC $0.2-3.0; sign-up 3-10%; sign-up-&gt;purchase 8-20%.</t>
  </si>
  <si>
    <t xml:space="preserve">8. Seasonality index by calendar month (1.00 = average; birthdays steady underneath)</t>
  </si>
  <si>
    <t xml:space="preserve">Calendar month</t>
  </si>
  <si>
    <t xml:space="preserve">Index</t>
  </si>
  <si>
    <t xml:space="preserve">Driver</t>
  </si>
  <si>
    <t xml:space="preserve">Jan</t>
  </si>
  <si>
    <t xml:space="preserve">Post-holiday trough; birthdays only</t>
  </si>
  <si>
    <t xml:space="preserve">Feb</t>
  </si>
  <si>
    <t xml:space="preserve">Valentine's Day</t>
  </si>
  <si>
    <t xml:space="preserve">Mar</t>
  </si>
  <si>
    <t xml:space="preserve">Birthdays; Easter lead</t>
  </si>
  <si>
    <t xml:space="preserve">Apr</t>
  </si>
  <si>
    <t xml:space="preserve">Easter / spring</t>
  </si>
  <si>
    <t xml:space="preserve">May</t>
  </si>
  <si>
    <t xml:space="preserve">Mother's Day</t>
  </si>
  <si>
    <t xml:space="preserve">Jun</t>
  </si>
  <si>
    <t xml:space="preserve">Father's Day, graduations, weddings</t>
  </si>
  <si>
    <t xml:space="preserve">Jul</t>
  </si>
  <si>
    <t xml:space="preserve">Summer trough</t>
  </si>
  <si>
    <t xml:space="preserve">Aug</t>
  </si>
  <si>
    <t xml:space="preserve">Back to school</t>
  </si>
  <si>
    <t xml:space="preserve">Sep</t>
  </si>
  <si>
    <t xml:space="preserve">Grandparents Day, holiday SEO build</t>
  </si>
  <si>
    <t xml:space="preserve">Oct</t>
  </si>
  <si>
    <t xml:space="preserve">Halloween, holiday lead</t>
  </si>
  <si>
    <t xml:space="preserve">Nov</t>
  </si>
  <si>
    <t xml:space="preserve">Holiday shopping starts</t>
  </si>
  <si>
    <t xml:space="preserve">Dec</t>
  </si>
  <si>
    <t xml:space="preserve">Christmas (print cutoffs ~Dec 15)</t>
  </si>
  <si>
    <t xml:space="preserve">Average index</t>
  </si>
  <si>
    <t xml:space="preserve">9. Scenario levers (selector on the Scenarios sheet picks a column). CPC scenarios come from the CMO low/base/high CPC columns.</t>
  </si>
  <si>
    <t xml:space="preserve">Lever</t>
  </si>
  <si>
    <t xml:space="preserve">Applies to</t>
  </si>
  <si>
    <t xml:space="preserve">Low</t>
  </si>
  <si>
    <t xml:space="preserve">Base</t>
  </si>
  <si>
    <t xml:space="preserve">High</t>
  </si>
  <si>
    <t xml:space="preserve">Notes</t>
  </si>
  <si>
    <t xml:space="preserve">Organic traffic multiplier</t>
  </si>
  <si>
    <t xml:space="preserve">organic + referral visits</t>
  </si>
  <si>
    <t xml:space="preserve">Purchase conversion multiplier</t>
  </si>
  <si>
    <t xml:space="preserve">sign-up/start -&gt; purchase</t>
  </si>
  <si>
    <t xml:space="preserve">Repeat purchase multiplier</t>
  </si>
  <si>
    <t xml:space="preserve">repeat orders</t>
  </si>
  <si>
    <t xml:space="preserve">Token cost multiplier</t>
  </si>
  <si>
    <t xml:space="preserve">all model costs</t>
  </si>
  <si>
    <t xml:space="preserve">Refund / reprint multiplier</t>
  </si>
  <si>
    <t xml:space="preserve">refund and reprint rates</t>
  </si>
  <si>
    <t xml:space="preserve">Marketing budget multiplier</t>
  </si>
  <si>
    <t xml:space="preserve">monthly budget</t>
  </si>
  <si>
    <t xml:space="preserve">Print + shipping cost multiplier</t>
  </si>
  <si>
    <t xml:space="preserve">printer and carrier costs</t>
  </si>
  <si>
    <t xml:space="preserve">10. Operating costs (monthly). Cost = fixed + variable per 1,000 units of driver</t>
  </si>
  <si>
    <t xml:space="preserve">Opex line</t>
  </si>
  <si>
    <t xml:space="preserve">Fixed ($/mo)</t>
  </si>
  <si>
    <t xml:space="preserve">Variable ($ per 1,000 units)</t>
  </si>
  <si>
    <t xml:space="preserve">Driver code (1 visits, 2 sign-ups, 3 orders, 4 revenue $)</t>
  </si>
  <si>
    <t xml:space="preserve">Basis</t>
  </si>
  <si>
    <t xml:space="preserve">Vercel (Pro)</t>
  </si>
  <si>
    <t xml:space="preserve">Pro $20/seat; bandwidth overage grows with visits - verify plan.</t>
  </si>
  <si>
    <t xml:space="preserve">Supabase (Pro + compute)</t>
  </si>
  <si>
    <t xml:space="preserve">Pro $25 + small compute add-on; storage grows with sign-ups.</t>
  </si>
  <si>
    <t xml:space="preserve">Resend (email)</t>
  </si>
  <si>
    <t xml:space="preserve">Pro plan $20 up to 50k emails.</t>
  </si>
  <si>
    <t xml:space="preserve">Domain</t>
  </si>
  <si>
    <t xml:space="preserve">~$20/yr amortised.</t>
  </si>
  <si>
    <t xml:space="preserve">Stripe Tax</t>
  </si>
  <si>
    <t xml:space="preserve">0.5% per transaction x ~60% of sales in registered states = $3 per $1,000. Tax collected is pass-through.</t>
  </si>
  <si>
    <t xml:space="preserve">Monitoring (Sentry + uptime)</t>
  </si>
  <si>
    <t xml:space="preserve">Sentry Team ~$26.</t>
  </si>
  <si>
    <t xml:space="preserve">OpenRouter base (dev/QA/pipeline testing)</t>
  </si>
  <si>
    <t xml:space="preserve">Non-customer token spend: regression tests, prompt tuning.</t>
  </si>
  <si>
    <t xml:space="preserve">Design and dev tools</t>
  </si>
  <si>
    <t xml:space="preserve">Figma, fonts, misc SaaS.</t>
  </si>
  <si>
    <t xml:space="preserve">Legal / LLC upkeep and accounting</t>
  </si>
  <si>
    <t xml:space="preserve">Registered agent, bookkeeping, annual report amortised.</t>
  </si>
  <si>
    <t xml:space="preserve">Insurance (GL + cyber)</t>
  </si>
  <si>
    <t xml:space="preserve">Small-business package; quote needed.</t>
  </si>
  <si>
    <t xml:space="preserve">Support (helpdesk + hourly help)</t>
  </si>
  <si>
    <t xml:space="preserve">Helpdesk $25 + ~$0.90 of support labour per order.</t>
  </si>
  <si>
    <t xml:space="preserve">Founder / contractor pay (optional)</t>
  </si>
  <si>
    <t xml:space="preserve">Zero by default; enter pay to see a sustainable-business break-even.</t>
  </si>
  <si>
    <t xml:space="preserve">11. One-time launch costs (charged in month 1)</t>
  </si>
  <si>
    <t xml:space="preserve">LLC formation, ToS/privacy, COPPA review</t>
  </si>
  <si>
    <t xml:space="preserve">$1.5k-10k</t>
  </si>
  <si>
    <t xml:space="preserve">PLAN.md flags a real privacy review before going live.</t>
  </si>
  <si>
    <t xml:space="preserve">Trademark / brand filing</t>
  </si>
  <si>
    <t xml:space="preserve">$0-1.5k</t>
  </si>
  <si>
    <t xml:space="preserve">Printed sample proofs and launch assets</t>
  </si>
  <si>
    <t xml:space="preserve">$500-3k</t>
  </si>
  <si>
    <t xml:space="preserve">Test orders on Lulu/Prodigi.</t>
  </si>
  <si>
    <t xml:space="preserve">12. Market-adjusted overrides (v2). Applied only when Scenarios!B44 = 1. Source: docs/market/02 and 03 (October 2026 report). Status: SOURCED benchmark, applied as an input override.</t>
  </si>
  <si>
    <t xml:space="preserve">Override list price ($)</t>
  </si>
  <si>
    <t xml:space="preserve">Override postage fee ($)</t>
  </si>
  <si>
    <t xml:space="preserve">Source / reasoning</t>
  </si>
  <si>
    <t xml:space="preserve">No change</t>
  </si>
  <si>
    <t xml:space="preserve">Not flagged by Market Intelligence.</t>
  </si>
  <si>
    <t xml:space="preserve">SOURCED (test price)</t>
  </si>
  <si>
    <t xml:space="preserve">market/02: incumbents mail free; all-in $8.99 postage included is the suggested test (market/03 action 4). Set 7.99 to test pure free postage at the old price.</t>
  </si>
  <si>
    <t xml:space="preserve">SOURCED (benchmark)</t>
  </si>
  <si>
    <t xml:space="preserve">market/02: digital range free to $15, Lullaby.ink $14.99; report suggests $9.99 or lower. $14.99 is the ceiling.</t>
  </si>
  <si>
    <t xml:space="preserve">market/02: $44.99 all-in (postage included), about $20 under Imagitime.</t>
  </si>
  <si>
    <t xml:space="preserve">market/02: $54.99 all-in; no evidence supports pricing above $55.</t>
  </si>
  <si>
    <t xml:space="preserve">Google search CPC override</t>
  </si>
  <si>
    <t xml:space="preserve">CPC low (High scenario uses)</t>
  </si>
  <si>
    <t xml:space="preserve">CPC high (Low scenario uses)</t>
  </si>
  <si>
    <t xml:space="preserve">Basis / source</t>
  </si>
  <si>
    <t xml:space="preserve">Active (selected scenario)</t>
  </si>
  <si>
    <t xml:space="preserve">google_search CPC when Market-adjusted = 1</t>
  </si>
  <si>
    <t xml:space="preserve">$ / click</t>
  </si>
  <si>
    <t xml:space="preserve">SOURCED (secondary)</t>
  </si>
  <si>
    <t xml:space="preserve">market/02: gifts category CPC $4.14 (WordStream/LocaliQ via vendor blogs) vs CMO $1.60; market/03 action 3 asks for $3.50-4.50 base, $2.50 low, $5.50 high pending Keyword Planner.</t>
  </si>
  <si>
    <t xml:space="preserve">13. Added operating cost lines (v2): items sourced since the model was built. Same cost rule as section 10. Switch: Scenarios!B45.</t>
  </si>
  <si>
    <t xml:space="preserve">Opex line (v2)</t>
  </si>
  <si>
    <t xml:space="preserve">Start month</t>
  </si>
  <si>
    <t xml:space="preserve">End month</t>
  </si>
  <si>
    <t xml:space="preserve">Only in calendar month (0 = all)</t>
  </si>
  <si>
    <t xml:space="preserve">Cloudflare Turnstile (bot challenge, SEC-13)</t>
  </si>
  <si>
    <t xml:space="preserve">SOURCED (free tier expected; limits not verified)</t>
  </si>
  <si>
    <t xml:space="preserve">security/costs.md: free tier expected, check plan limits.</t>
  </si>
  <si>
    <t xml:space="preserve">Bot-protection reserve (Vercel BotID or Cloudflare Pro, only if attacked)</t>
  </si>
  <si>
    <t xml:space="preserve">GUESSED</t>
  </si>
  <si>
    <t xml:space="preserve">security/costs.md: price unknown / "Pro tier is a monthly fee", deferred (SEC-36). $25 placeholder from month 7.</t>
  </si>
  <si>
    <t xml:space="preserve">Rate-limit store (Upstash Redis or extra Postgres)</t>
  </si>
  <si>
    <t xml:space="preserve">security/costs.md: free tier likely enough, otherwise "a few dollars a month".</t>
  </si>
  <si>
    <t xml:space="preserve">Error and spend alerting add-on (SEC-09; Sentry Team already in Monitoring line)</t>
  </si>
  <si>
    <t xml:space="preserve">security/costs.md: Sentry free tier probably enough; $10 placeholder for alert tooling above the $26 already carried.</t>
  </si>
  <si>
    <t xml:space="preserve">Data / BI: Metabase OSS host</t>
  </si>
  <si>
    <t xml:space="preserve">data/02: $5 to $10 per month host (or $0 with Looker Studio).</t>
  </si>
  <si>
    <t xml:space="preserve">Data / BI: evaluation runs (OpenRouter golden-set)</t>
  </si>
  <si>
    <t xml:space="preserve">data/02: $20 to $60 per month eval spend, $15-20 per golden-set run.</t>
  </si>
  <si>
    <t xml:space="preserve">Support tooling stage 1: shared inbox (about $7) - inside existing $25 Support line</t>
  </si>
  <si>
    <t xml:space="preserve">cx/02: launch on Option A at about $7; existing Opex helpdesk $25 already covers it, so $0 incremental.</t>
  </si>
  <si>
    <t xml:space="preserve">Support tooling stage 2: Help Scout Standard (about $22) - inside existing $25 Support line</t>
  </si>
  <si>
    <t xml:space="preserve">cx/02: budget a $22 step in months 3 to 6; "the existing $25 Opex line already covers it", so $0 incremental.</t>
  </si>
  <si>
    <t xml:space="preserve">Support tooling stage 3: chat + knowledge base (Crisp Pro about $25)</t>
  </si>
  <si>
    <t xml:space="preserve">GUESSED (timing)</t>
  </si>
  <si>
    <t xml:space="preserve">cx/02 lists Crisp Pro $25 as the cheapest chat add; start month 19 is a placeholder trigger (volume above about 1,500 orders a month).</t>
  </si>
  <si>
    <t xml:space="preserve">Peak-season support contractor (10 h/week x 4.33 x $22.50, December)</t>
  </si>
  <si>
    <t xml:space="preserve">cx/02: about 10 hours a week at $20 to $25 an hour in December.</t>
  </si>
  <si>
    <t xml:space="preserve">Postal address / virtual mailbox for footer and CAN-SPAM</t>
  </si>
  <si>
    <t xml:space="preserve">cx/02 and legal/04: $0 to $20 per month, $0 to $300 per year.</t>
  </si>
  <si>
    <t xml:space="preserve">Accountant / sales-tax filing service (incremental to the $150 LLC and accounting line)</t>
  </si>
  <si>
    <t xml:space="preserve">legal/04: $100 to $400 per month; existing $150 line already holds bookkeeping, so only the increment is added.</t>
  </si>
  <si>
    <t xml:space="preserve">Insurance stack top-up (cyber + media/IP + GL about $4,600/yr vs $95/mo carried)</t>
  </si>
  <si>
    <t xml:space="preserve">legal/04 s3: first-year stack $2,500 to $8,000 (cyber $1.0-2.0k, media/IP $0.5-3.5k, GL $0.8-1.4k); $4,600/12 = $383 less $95 carried. Quote needed; media/IP may exclude AI content.</t>
  </si>
  <si>
    <t xml:space="preserve">Trademark monitoring service ($400/yr)</t>
  </si>
  <si>
    <t xml:space="preserve">legal/04 s4: optional $200 to $600 per year; starts after filing, month 7.</t>
  </si>
  <si>
    <t xml:space="preserve">Annual attorney policy and compliance refresh ($2,500/yr)</t>
  </si>
  <si>
    <t xml:space="preserve">legal/04: $1,000 to $4,000 per year, from year 2.</t>
  </si>
  <si>
    <t xml:space="preserve">Defensive domains (.co, .net, greet-hub; $65/yr)</t>
  </si>
  <si>
    <t xml:space="preserve">legal/04: $30 to $100 per year.</t>
  </si>
  <si>
    <t xml:space="preserve">14. Added one-time costs (v2): charged in the stated month. Switch: Scenarios!B45.</t>
  </si>
  <si>
    <t xml:space="preserve">One-time item (v2)</t>
  </si>
  <si>
    <t xml:space="preserve">Amount ($)</t>
  </si>
  <si>
    <t xml:space="preserve">Month charged</t>
  </si>
  <si>
    <t xml:space="preserve">Attorney launch package top-up (model carried $4,000 for LLC, terms, COPPA)</t>
  </si>
  <si>
    <t xml:space="preserve">$3k-23k</t>
  </si>
  <si>
    <t xml:space="preserve">legal/00: launch legal total $7,000 to $27,000 excl. insurance; total with the $4,500 already carried = about $12.5k, low-mid.</t>
  </si>
  <si>
    <t xml:space="preserve">Trademark knockout, search and filing top-up (model carried $500)</t>
  </si>
  <si>
    <t xml:space="preserve">$500-4,000</t>
  </si>
  <si>
    <t xml:space="preserve">legal/04 s4: $1,000 to $4,500 first-year budget.</t>
  </si>
  <si>
    <t xml:space="preserve">DMCA designated agent registration</t>
  </si>
  <si>
    <t xml:space="preserve">$6</t>
  </si>
  <si>
    <t xml:space="preserve">legal/04: $6 per designation, renew every 3 years.</t>
  </si>
  <si>
    <t xml:space="preserve">Accessibility audit (automated plus one manual expert pass)</t>
  </si>
  <si>
    <t xml:space="preserve">$1k-5k</t>
  </si>
  <si>
    <t xml:space="preserve">legal/04: $1,000 to $5,000 launch.</t>
  </si>
  <si>
    <t xml:space="preserve">Third-party penetration test (optional, after launch)</t>
  </si>
  <si>
    <t xml:space="preserve">$0-5k</t>
  </si>
  <si>
    <t xml:space="preserve">security/costs.md: small shops often pay a few thousand dollars; owner decision. legal/04: $0 to $5,000.</t>
  </si>
  <si>
    <t xml:space="preserve">15. R&amp;D: engineering rate and core launch backlog. Person-days come from each backlog's own sizes. Cash cost = days x rate x cash share.</t>
  </si>
  <si>
    <t xml:space="preserve">Blended engineering rate, core + agent work</t>
  </si>
  <si>
    <t xml:space="preserve">$ / person-day</t>
  </si>
  <si>
    <t xml:space="preserve">$500-900</t>
  </si>
  <si>
    <t xml:space="preserve">integrations/08: $600 per day blended, range $500-900 (no quote).</t>
  </si>
  <si>
    <t xml:space="preserve">Blended engineering rate, agent platform work</t>
  </si>
  <si>
    <t xml:space="preserve">integrations/08 uses the same $600.</t>
  </si>
  <si>
    <t xml:space="preserve">Share of engineering paid as cash (core + agent)</t>
  </si>
  <si>
    <t xml:space="preserve">% of day-cost</t>
  </si>
  <si>
    <t xml:space="preserve">10%-100%</t>
  </si>
  <si>
    <t xml:space="preserve">integrations/08: if gh- agents build most of it the cash cost is tokens plus owner time, unmeasured. 100% = conservative dollar-equivalent. Kiosk contractors are paid in full.</t>
  </si>
  <si>
    <t xml:space="preserve">Review / rework / retest overhead on core backlog days</t>
  </si>
  <si>
    <t xml:space="preserve">% of days</t>
  </si>
  <si>
    <t xml:space="preserve">0%-40%</t>
  </si>
  <si>
    <t xml:space="preserve">No source. Applied to core launch engineering only.</t>
  </si>
  <si>
    <t xml:space="preserve">SEC ticket size: S</t>
  </si>
  <si>
    <t xml:space="preserve">days</t>
  </si>
  <si>
    <t xml:space="preserve">S=0.5</t>
  </si>
  <si>
    <t xml:space="preserve">security/costs.md: planning S=0.5, M=2, L=5 days.</t>
  </si>
  <si>
    <t xml:space="preserve">SEC ticket size: M</t>
  </si>
  <si>
    <t xml:space="preserve">M=2</t>
  </si>
  <si>
    <t xml:space="preserve">security/costs.md</t>
  </si>
  <si>
    <t xml:space="preserve">SEC ticket size: L</t>
  </si>
  <si>
    <t xml:space="preserve">L=5</t>
  </si>
  <si>
    <t xml:space="preserve">CX ticket size: S</t>
  </si>
  <si>
    <t xml:space="preserve">under 0.5</t>
  </si>
  <si>
    <t xml:space="preserve">cx/05-backlog: S under 0.5 day; midpoint.</t>
  </si>
  <si>
    <t xml:space="preserve">CX ticket size: M</t>
  </si>
  <si>
    <t xml:space="preserve">0.5-2</t>
  </si>
  <si>
    <t xml:space="preserve">cx/05-backlog: M 0.5 to 2 days; midpoint.</t>
  </si>
  <si>
    <t xml:space="preserve">CX ticket size: L</t>
  </si>
  <si>
    <t xml:space="preserve">2-5</t>
  </si>
  <si>
    <t xml:space="preserve">cx/05-backlog: L 2 to 5 days; midpoint.</t>
  </si>
  <si>
    <t xml:space="preserve">Core launch backlog block</t>
  </si>
  <si>
    <t xml:space="preserve"># S tickets</t>
  </si>
  <si>
    <t xml:space="preserve"># M tickets</t>
  </si>
  <si>
    <t xml:space="preserve"># L tickets</t>
  </si>
  <si>
    <t xml:space="preserve">Days per S</t>
  </si>
  <si>
    <t xml:space="preserve">Days per M</t>
  </si>
  <si>
    <t xml:space="preserve">Days per L</t>
  </si>
  <si>
    <t xml:space="preserve">Direct days (no ticket sizes)</t>
  </si>
  <si>
    <t xml:space="preserve">Total person-days (formula)</t>
  </si>
  <si>
    <t xml:space="preserve">Duration (months)</t>
  </si>
  <si>
    <t xml:space="preserve">SEC MUST before launch (SEC-01 to 25)</t>
  </si>
  <si>
    <t xml:space="preserve">security/06-backlog.md: 13 S, 9 M, 3 L counted. Includes the 37-day security prerequisites that integrations/08 says are launch-critical (not added again).</t>
  </si>
  <si>
    <t xml:space="preserve">SEC AFTER launch (SEC-30 to 40)</t>
  </si>
  <si>
    <t xml:space="preserve">security/06-backlog.md: 5 S, 6 M, first 60 days after launch.</t>
  </si>
  <si>
    <t xml:space="preserve">Data backlog, must-have before launch (DATA-001 to 020)</t>
  </si>
  <si>
    <t xml:space="preserve">data/07 s3: about 47 to 61 person-days for one engineer (midpoint 54); 28 to 38 if gh-data writes the SQL, SDK and views.</t>
  </si>
  <si>
    <t xml:space="preserve">CX must-fix before launch (CX-01 to 36)</t>
  </si>
  <si>
    <t xml:space="preserve">cx/05-backlog.md: 12 S, 11 M, 4 L counted in the Must-fix section.</t>
  </si>
  <si>
    <t xml:space="preserve">CTO integration, wiring, review and release (placeholder)</t>
  </si>
  <si>
    <t xml:space="preserve">PLACEHOLDER GUESS. No CTO backlog with sizes was found; 10 days for integrating and releasing the blocks above.</t>
  </si>
  <si>
    <t xml:space="preserve">15b. Agent / AI-platform integrations: phases P0-P4 (integrations/08 s1 and 06-architecture). Gate switches: 1 = gate passed, 0 = stop and spend nothing further.</t>
  </si>
  <si>
    <t xml:space="preserve">Agent phase</t>
  </si>
  <si>
    <t xml:space="preserve">Person-days</t>
  </si>
  <si>
    <t xml:space="preserve">Gate to enter phase (1/0)</t>
  </si>
  <si>
    <t xml:space="preserve">P0 new agent work (AGT-001 to 007)</t>
  </si>
  <si>
    <t xml:space="preserve">integrations/08: 20 days. Always spent if the program is included.</t>
  </si>
  <si>
    <t xml:space="preserve">P1 read and draft (AGT-010 to 019)</t>
  </si>
  <si>
    <t xml:space="preserve">integrations/08: 37.5 days. P0 + P1 = $34,500 is the cost to learn whether anyone wants it.</t>
  </si>
  <si>
    <t xml:space="preserve">P2 approve and pay (AGT-020 to 027)</t>
  </si>
  <si>
    <t xml:space="preserve">integrations/08: 29 days. Gate G-A1: usage evidence after P1. Revenue needs P2 shipped.</t>
  </si>
  <si>
    <t xml:space="preserve">P3 rules, keys, autonomy (AGT-030 to 034)</t>
  </si>
  <si>
    <t xml:space="preserve">integrations/08: 19 days. Gate G-A2. Timing is a placeholder guess ("later").</t>
  </si>
  <si>
    <t xml:space="preserve">P4 distribution / directory listings (AGT-040 to 045)</t>
  </si>
  <si>
    <t xml:space="preserve">integrations/08: 24 days. Gate G-A3. Timing is a placeholder guess.</t>
  </si>
  <si>
    <t xml:space="preserve">Attorney, agent addenda, card-on-file, platform agreements (spread over P0)</t>
  </si>
  <si>
    <t xml:space="preserve">$3,000-9,000</t>
  </si>
  <si>
    <t xml:space="preserve">integrations/08 s1: no quote; on top of the legal budget.</t>
  </si>
  <si>
    <t xml:space="preserve">Optional prepaid wallet (AGT-035), person-days</t>
  </si>
  <si>
    <t xml:space="preserve">8</t>
  </si>
  <si>
    <t xml:space="preserve">integrations/08. Charged with P3 only if the next input = 1.</t>
  </si>
  <si>
    <t xml:space="preserve">Include optional prepaid wallet (1/0)</t>
  </si>
  <si>
    <t xml:space="preserve">switch</t>
  </si>
  <si>
    <t xml:space="preserve">0/1</t>
  </si>
  <si>
    <t xml:space="preserve">legal 06 item 40: no prepaid bundle at launch, so off.</t>
  </si>
  <si>
    <t xml:space="preserve">15c. Kiosk program R&amp;D phases P0-P4 (kiosk/07 and kiosk/08 s1). Labor = base days x scope multiplier x rate. Gates G0-G3 cascade: a failed gate stops all later phases and the fleet.</t>
  </si>
  <si>
    <t xml:space="preserve">Kiosk phase</t>
  </si>
  <si>
    <t xml:space="preserve">Base person-days</t>
  </si>
  <si>
    <t xml:space="preserve">Field-service days</t>
  </si>
  <si>
    <t xml:space="preserve">Non-labor $ (low scope)</t>
  </si>
  <si>
    <t xml:space="preserve">Non-labor $ (base)</t>
  </si>
  <si>
    <t xml:space="preserve">Non-labor $ (high scope)</t>
  </si>
  <si>
    <t xml:space="preserve">Contingency % (low)</t>
  </si>
  <si>
    <t xml:space="preserve">Contingency % (base)</t>
  </si>
  <si>
    <t xml:space="preserve">Contingency % (high)</t>
  </si>
  <si>
    <t xml:space="preserve">P0 Concept validation</t>
  </si>
  <si>
    <t xml:space="preserve">P1 Pilot prototype</t>
  </si>
  <si>
    <t xml:space="preserve">P2 Field pilot (1-3 sites)</t>
  </si>
  <si>
    <t xml:space="preserve">P3 Productized small batch</t>
  </si>
  <si>
    <t xml:space="preserve">P4 Scale (sustaining)</t>
  </si>
  <si>
    <t xml:space="preserve">Gate row meaning: P0 always runs; P1 needs G0, P2 needs G1 (pilot gate), P3 needs G2, P4 and the scale fleet need G3. 2026-10-13 (kiosk lead): G0 defaults to 0 because no phase beyond P0 is approved (kiosk/00), and the whole schedule starts 6 months after launch (P0 at M7, start gate S0 in kiosk/07 s2) so P0 does not compete with launch for cash. Set G0-G3 = 1 to see the full program; P4 then runs past M36 and the fleet reaches 50 units at M36, so its 36-month totals (R&amp;D $973k, capex $563k, kiosk cash -$1.45M, base) are smaller than kiosk/08's M1 schedule, not better. All figures UNVERIFIED estimates (kiosk/08). Non-labor and contingency % derived from financial-inputs.csv rd_phase rows; phase totals still tie to $561k / $1,101k / $2,248k.</t>
  </si>
  <si>
    <t xml:space="preserve">Kiosk scope multiplier on person-days</t>
  </si>
  <si>
    <t xml:space="preserve">kiosk/08: 0.7 off-the-shelf only, 1.5 full custom fold + envelope automation. Low scenario = low R&amp;D and bad revenue (matched case, as in kiosk/08).</t>
  </si>
  <si>
    <t xml:space="preserve">Kiosk blended day rate (software, mechanical, ID, PM)</t>
  </si>
  <si>
    <t xml:space="preserve">$ / day</t>
  </si>
  <si>
    <t xml:space="preserve">kiosk/08.</t>
  </si>
  <si>
    <t xml:space="preserve">Kiosk field-service day rate</t>
  </si>
  <si>
    <t xml:space="preserve">16. Kiosk operations and unit economics (Tier B freestanding). Every revenue assumption is a labelled guess (kiosk/08). Low scenario = bad case.</t>
  </si>
  <si>
    <t xml:space="preserve">Low scenario</t>
  </si>
  <si>
    <t xml:space="preserve">High scenario</t>
  </si>
  <si>
    <t xml:space="preserve">Price per card incl envelope, ex tax</t>
  </si>
  <si>
    <t xml:space="preserve">$ / card</t>
  </si>
  <si>
    <t xml:space="preserve">kiosk/08 s6: online printed card is $7.99 + $2.99 postage.</t>
  </si>
  <si>
    <t xml:space="preserve">Cards per kiosk per day (mature)</t>
  </si>
  <si>
    <t xml:space="preserve">cards / day</t>
  </si>
  <si>
    <t xml:space="preserve">kiosk/08: Scribbler about 8 a day per store (sourced anecdote); all else guess.</t>
  </si>
  <si>
    <t xml:space="preserve">Location revenue share to host</t>
  </si>
  <si>
    <t xml:space="preserve">kiosk/08: no source gave terms. Model as a flat fee instead by setting 0% and adding to fixed cost.</t>
  </si>
  <si>
    <t xml:space="preserve">Payment fee, percentage</t>
  </si>
  <si>
    <t xml:space="preserve">% of sale</t>
  </si>
  <si>
    <t xml:space="preserve">SOURCED (undated)</t>
  </si>
  <si>
    <t xml:space="preserve">kiosk/08 (TechRadar, undated).</t>
  </si>
  <si>
    <t xml:space="preserve">Payment fee, fixed</t>
  </si>
  <si>
    <t xml:space="preserve">$ / sale</t>
  </si>
  <si>
    <t xml:space="preserve">Consumables per card incl waste (card blank, toner, envelope)</t>
  </si>
  <si>
    <t xml:space="preserve">kiosk/08 s3 Tier B (csv consumables_per_card).</t>
  </si>
  <si>
    <t xml:space="preserve">Model cost, Quick pick session</t>
  </si>
  <si>
    <t xml:space="preserve">$ / session</t>
  </si>
  <si>
    <t xml:space="preserve">EXTRAPOLATED</t>
  </si>
  <si>
    <t xml:space="preserve">kiosk/08 s4, from measured card copy $0.0054 x 1.055 plus moderation.</t>
  </si>
  <si>
    <t xml:space="preserve">Model cost, Make it yours session</t>
  </si>
  <si>
    <t xml:space="preserve">kiosk/08 s4, from measured 2K render $0.0609, prompts, QA, 20% re-roll, 5.5% fee, intake.</t>
  </si>
  <si>
    <t xml:space="preserve">Intake add-on to Totally custom session (Model Costs sheet has no intake)</t>
  </si>
  <si>
    <t xml:space="preserve">kiosk/08 s4: intake $0.07 to $0.13. The custom session itself is read live from Model Costs (printed card token cost).</t>
  </si>
  <si>
    <t xml:space="preserve">Session mix: Quick pick</t>
  </si>
  <si>
    <t xml:space="preserve">% of sold cards</t>
  </si>
  <si>
    <t xml:space="preserve">kiosk/08 s4: 50 / 35 / 15.</t>
  </si>
  <si>
    <t xml:space="preserve">Session mix: Make it yours</t>
  </si>
  <si>
    <t xml:space="preserve">kiosk/08 s4.</t>
  </si>
  <si>
    <t xml:space="preserve">Session mix: Totally custom</t>
  </si>
  <si>
    <t xml:space="preserve">Abandoned sessions as a share of a sold session</t>
  </si>
  <si>
    <t xml:space="preserve">kiosk/08 s4: adds 80% to model cost per sold card.</t>
  </si>
  <si>
    <t xml:space="preserve">Pilot sales ramp: share of mature cards in the first ramp months</t>
  </si>
  <si>
    <t xml:space="preserve">% of mature</t>
  </si>
  <si>
    <t xml:space="preserve">kiosk/08 s6.</t>
  </si>
  <si>
    <t xml:space="preserve">Pilot ramp length</t>
  </si>
  <si>
    <t xml:space="preserve">months</t>
  </si>
  <si>
    <t xml:space="preserve">Selling days per month</t>
  </si>
  <si>
    <t xml:space="preserve">365/12; matches the kiosk csv.</t>
  </si>
  <si>
    <t xml:space="preserve">Per-kiosk monthly: connectivity (LTE)</t>
  </si>
  <si>
    <t xml:space="preserve">$ / kiosk / mo</t>
  </si>
  <si>
    <t xml:space="preserve">kiosk/08 s5 (stored here as Low scenario = bad).</t>
  </si>
  <si>
    <t xml:space="preserve">Per-kiosk monthly: device management and monitoring</t>
  </si>
  <si>
    <t xml:space="preserve">kiosk/08 s5.</t>
  </si>
  <si>
    <t xml:space="preserve">Per-kiosk monthly: insurance allocation</t>
  </si>
  <si>
    <t xml:space="preserve">Per-kiosk monthly: service visits (about 1.3 a month at about $100)</t>
  </si>
  <si>
    <t xml:space="preserve">Per-kiosk monthly: parts and repairs</t>
  </si>
  <si>
    <t xml:space="preserve">Per-kiosk monthly: software hosting allocation</t>
  </si>
  <si>
    <t xml:space="preserve">Hardware life for depreciation</t>
  </si>
  <si>
    <t xml:space="preserve">kiosk/08 s6. All deployments start at month 24 or later so none retire inside 36 months.</t>
  </si>
  <si>
    <t xml:space="preserve">Hardware cost multiplier vs 10-unit base BOM</t>
  </si>
  <si>
    <t xml:space="preserve">Derived from kiosk/08 s2 Tier B 10-unit range $8,618 / $11,970 / $17,357. The kiosk doc fleet cash flow did not apply it, so results differ slightly from its cum cash in Low and High.</t>
  </si>
  <si>
    <t xml:space="preserve">Tier B BOM per unit, 1 unit (incl 5% spares)</t>
  </si>
  <si>
    <t xml:space="preserve">$ / unit</t>
  </si>
  <si>
    <t xml:space="preserve">kiosk/08 s2. Pilot units are carried in P2 R&amp;D, so this is a reference, not used in capex.</t>
  </si>
  <si>
    <t xml:space="preserve">Tier B BOM per unit, at 10-unit quantity</t>
  </si>
  <si>
    <t xml:space="preserve">kiosk/08 s2. Applies while the live fleet is within the quantity break.</t>
  </si>
  <si>
    <t xml:space="preserve">Tier B BOM per unit, at 100-unit quantity</t>
  </si>
  <si>
    <t xml:space="preserve">kiosk/08 s2. Applies to units beyond the quantity break.</t>
  </si>
  <si>
    <t xml:space="preserve">Fleet size up to which units are bought at the 10-unit price</t>
  </si>
  <si>
    <t xml:space="preserve">units live</t>
  </si>
  <si>
    <t xml:space="preserve">kiosk/08 s8: first 50 units at 10-unit cost, the rest at 100-unit cost.</t>
  </si>
  <si>
    <t xml:space="preserve">Pilot units placed if the pilot gate (G1) passes</t>
  </si>
  <si>
    <t xml:space="preserve">units</t>
  </si>
  <si>
    <t xml:space="preserve">kiosk/08 s8: 3 units from M13, carried in P2 R&amp;D (no capex).</t>
  </si>
  <si>
    <t xml:space="preserve">Pilot sales start month (ramp clock)</t>
  </si>
  <si>
    <t xml:space="preserve">month</t>
  </si>
  <si>
    <t xml:space="preserve">kiosk/08 s8.</t>
  </si>
  <si>
    <t xml:space="preserve">Scale-out start month (needs gate G3)</t>
  </si>
  <si>
    <t xml:space="preserve">kiosk/08 s8: batch capex begins M24.</t>
  </si>
  <si>
    <t xml:space="preserve">Target units live by program month (fleet plan, base)</t>
  </si>
  <si>
    <t xml:space="preserve">Units live</t>
  </si>
  <si>
    <t xml:space="preserve">Month 1</t>
  </si>
  <si>
    <t xml:space="preserve">kiosk/08 s8 fleet_base shifted 6 months later (2026-10-13): 3 from M19, 13 at M30, 19 at M32, 25 at M33, 50 at M36. Pilot units show here for months 19-29; the gate switches decide how much of this plan is real.</t>
  </si>
  <si>
    <t xml:space="preserve">Month 2</t>
  </si>
  <si>
    <t xml:space="preserve">Month 3</t>
  </si>
  <si>
    <t xml:space="preserve">Month 4</t>
  </si>
  <si>
    <t xml:space="preserve">Month 5</t>
  </si>
  <si>
    <t xml:space="preserve">Month 6</t>
  </si>
  <si>
    <t xml:space="preserve">Month 7</t>
  </si>
  <si>
    <t xml:space="preserve">Month 8</t>
  </si>
  <si>
    <t xml:space="preserve">Month 9</t>
  </si>
  <si>
    <t xml:space="preserve">Month 10</t>
  </si>
  <si>
    <t xml:space="preserve">Month 11</t>
  </si>
  <si>
    <t xml:space="preserve">Month 12</t>
  </si>
  <si>
    <t xml:space="preserve">Month 13</t>
  </si>
  <si>
    <t xml:space="preserve">Month 14</t>
  </si>
  <si>
    <t xml:space="preserve">Month 15</t>
  </si>
  <si>
    <t xml:space="preserve">Month 16</t>
  </si>
  <si>
    <t xml:space="preserve">Month 17</t>
  </si>
  <si>
    <t xml:space="preserve">Month 18</t>
  </si>
  <si>
    <t xml:space="preserve">Month 19</t>
  </si>
  <si>
    <t xml:space="preserve">Month 20</t>
  </si>
  <si>
    <t xml:space="preserve">Month 21</t>
  </si>
  <si>
    <t xml:space="preserve">Month 22</t>
  </si>
  <si>
    <t xml:space="preserve">Month 23</t>
  </si>
  <si>
    <t xml:space="preserve">Month 24</t>
  </si>
  <si>
    <t xml:space="preserve">Month 25</t>
  </si>
  <si>
    <t xml:space="preserve">Month 26</t>
  </si>
  <si>
    <t xml:space="preserve">Month 27</t>
  </si>
  <si>
    <t xml:space="preserve">Month 28</t>
  </si>
  <si>
    <t xml:space="preserve">Month 29</t>
  </si>
  <si>
    <t xml:space="preserve">Month 30</t>
  </si>
  <si>
    <t xml:space="preserve">Month 31</t>
  </si>
  <si>
    <t xml:space="preserve">Month 32</t>
  </si>
  <si>
    <t xml:space="preserve">Month 33</t>
  </si>
  <si>
    <t xml:space="preserve">Month 34</t>
  </si>
  <si>
    <t xml:space="preserve">Month 35</t>
  </si>
  <si>
    <t xml:space="preserve">Month 36</t>
  </si>
  <si>
    <t xml:space="preserve">17. Agent channel (integrations/08 s3-s6). No data exists on adoption: every volume input is a GUESS. Low scenario = bad case.</t>
  </si>
  <si>
    <t xml:space="preserve">Paying agent users added in the first 12 months after launch</t>
  </si>
  <si>
    <t xml:space="preserve">users</t>
  </si>
  <si>
    <t xml:space="preserve">integrations/08 s4.</t>
  </si>
  <si>
    <t xml:space="preserve">Cards per paying user per year</t>
  </si>
  <si>
    <t xml:space="preserve">cards / yr</t>
  </si>
  <si>
    <t xml:space="preserve">Annual retention of agent users</t>
  </si>
  <si>
    <t xml:space="preserve">%</t>
  </si>
  <si>
    <t xml:space="preserve">integrations/08 s6: 40% to 75%.</t>
  </si>
  <si>
    <t xml:space="preserve">Share of agent orders that are incremental (not web orders moved)</t>
  </si>
  <si>
    <t xml:space="preserve">Mailed-card contribution per approved card, plan value at launch prices</t>
  </si>
  <si>
    <t xml:space="preserve">integrations/08 s3: README range $2.9-4.1 less about $0.30; the plan says Low $2.4 / Base $3.3 / High $4.0. The sheet then adjusts it for any price change (Market-adjusted).</t>
  </si>
  <si>
    <t xml:space="preserve">Recurring: MCP/API compute on Vercel + Supabase + sandbox project</t>
  </si>
  <si>
    <t xml:space="preserve">integrations/08 s2: $0-20 + $0-10 + $0-45 (Low scenario = top of range).</t>
  </si>
  <si>
    <t xml:space="preserve">Recurring: email and push for approvals</t>
  </si>
  <si>
    <t xml:space="preserve">integrations/08 s2: $0 to $10.</t>
  </si>
  <si>
    <t xml:space="preserve">Recurring: paid Claude plan to hold the directory submission</t>
  </si>
  <si>
    <t xml:space="preserve">integrations/08 s2: $20 to $100, plan price not verified.</t>
  </si>
  <si>
    <t xml:space="preserve">Recurring: monitoring and alert additions</t>
  </si>
  <si>
    <t xml:space="preserve">integrations/08 s2: $0 to $15.</t>
  </si>
  <si>
    <t xml:space="preserve">Recurring: annual policy and platform-terms review, spread monthly</t>
  </si>
  <si>
    <t xml:space="preserve">integrations/08 s2: $100 to $250 a month ($1,200 to $3,000 a year).</t>
  </si>
  <si>
    <t xml:space="preserve">Recurring: support time for assistant issues</t>
  </si>
  <si>
    <t xml:space="preserve">integrations/08 s2: $0 to $200. Base chosen so the Base fixed total equals the plan figure of $300 a month.</t>
  </si>
  <si>
    <t xml:space="preserve">Channel go-live month (needs P2 shipped and gate G-A1)</t>
  </si>
  <si>
    <t xml:space="preserve">6-12</t>
  </si>
  <si>
    <t xml:space="preserve">integrations/08 s6: on from month 8.</t>
  </si>
  <si>
    <t xml:space="preserve">New paying users per month after year 1, relative to the year-1 pace</t>
  </si>
  <si>
    <t xml:space="preserve">0-1.5</t>
  </si>
  <si>
    <t xml:space="preserve">No source. 1.0 holds acquisition flat.</t>
  </si>
  <si>
    <t xml:space="preserve">Paying share of connected users</t>
  </si>
  <si>
    <t xml:space="preserve">% of connected</t>
  </si>
  <si>
    <t xml:space="preserve">No source: connected-but-never-buy accounts drive the free-draft exposure.</t>
  </si>
  <si>
    <t xml:space="preserve">Monthly active share of connected users (active agents)</t>
  </si>
  <si>
    <t xml:space="preserve">30%-70%</t>
  </si>
  <si>
    <t xml:space="preserve">No source.</t>
  </si>
  <si>
    <t xml:space="preserve">Free drafts per active non-paying agent per month</t>
  </si>
  <si>
    <t xml:space="preserve">drafts</t>
  </si>
  <si>
    <t xml:space="preserve">1-5</t>
  </si>
  <si>
    <t xml:space="preserve">Model cost per draft</t>
  </si>
  <si>
    <t xml:space="preserve">$ / draft</t>
  </si>
  <si>
    <t xml:space="preserve">$0.09-0.27</t>
  </si>
  <si>
    <t xml:space="preserve">integrations/08 s2: $0.27 at final resolution (SEC-14 and AGT-013 to measure).</t>
  </si>
  <si>
    <t xml:space="preserve">Agent pool daily model budget cap</t>
  </si>
  <si>
    <t xml:space="preserve">$5-25</t>
  </si>
  <si>
    <t xml:space="preserve">integrations/08 s6 (proposed policy). Bounds the free-draft cost.</t>
  </si>
  <si>
    <t xml:space="preserve">Repeat purchase uplift on cards per user once the channel is past year 1</t>
  </si>
  <si>
    <t xml:space="preserve">% uplift</t>
  </si>
  <si>
    <t xml:space="preserve">0%-50%</t>
  </si>
  <si>
    <t xml:space="preserve">integrations/08 s4(b): agent users are habit buyers (retention). Applied to all cards from channel month 13.</t>
  </si>
  <si>
    <t xml:space="preserve">Platform-policy risk: probability the channel is shut or throttled</t>
  </si>
  <si>
    <t xml:space="preserve">10%-50%</t>
  </si>
  <si>
    <t xml:space="preserve">integrations/00: platform terms can change. Probability-weighted haircut, no source for the number.</t>
  </si>
  <si>
    <t xml:space="preserve">Share of channel revenue lost if that happens</t>
  </si>
  <si>
    <t xml:space="preserve">Haircut = probability x loss share, applied to incremental revenue and contribution.</t>
  </si>
  <si>
    <t xml:space="preserve">CAC used for CAC avoided (1 = blended 36-month CAC, 2 = paid CAC steady state)</t>
  </si>
  <si>
    <t xml:space="preserve">selector</t>
  </si>
  <si>
    <t xml:space="preserve">1 or 2</t>
  </si>
  <si>
    <t xml:space="preserve">Task asks for the blended CAC; integrations/08 used the paid $76.</t>
  </si>
  <si>
    <t xml:space="preserve">Share of avoided CAC that is a real saving</t>
  </si>
  <si>
    <t xml:space="preserve">0%-100%</t>
  </si>
  <si>
    <t xml:space="preserve">Avoided spend only counts if marketing would otherwise have been spent. Memo line unless Scenarios!B47 = 1.</t>
  </si>
  <si>
    <t xml:space="preserve">18. v3 additions (2026-10-12): creator per-order costs and re-roll calibration</t>
  </si>
  <si>
    <t xml:space="preserve">Creator code discount to audience</t>
  </si>
  <si>
    <t xml:space="preserve">% of merchandise</t>
  </si>
  <si>
    <t xml:space="preserve">GUESS (Social proposal, not yet approved)</t>
  </si>
  <si>
    <t xml:space="preserve">0%-20%</t>
  </si>
  <si>
    <t xml:space="preserve">docs/social/02: 10% off merchandise, excl. postage and tax. Fixed gifts and fees stay in the creators_affiliate budget (section 7, B61).</t>
  </si>
  <si>
    <t xml:space="preserve">Creator commission on merchandise after discount</t>
  </si>
  <si>
    <t xml:space="preserve">docs/social/02: 10% of the merchandise subtotal after discount, excl. postage and tax. New-customer orders only (repeats unpaid).</t>
  </si>
  <si>
    <t xml:space="preserve">Share of creator-channel new orders that carry a code or ref link</t>
  </si>
  <si>
    <t xml:space="preserve">Untracked orders pay no discount or commission. 100% is the conservative case.</t>
  </si>
  <si>
    <t xml:space="preserve">Re-roll rate embedded in CTO measured token totals</t>
  </si>
  <si>
    <t xml:space="preserve">MEASURED basis</t>
  </si>
  <si>
    <t xml:space="preserve">0.2</t>
  </si>
  <si>
    <t xml:space="preserve">finance/measured_costs.json extrapolated totals assume 20% re-rolls on every render except the model sheet. Model Costs col J adjusts the measured total to the re-roll inputs in B34/B35.</t>
  </si>
  <si>
    <t xml:space="preserve">Scenarios - selector drives the whole model</t>
  </si>
  <si>
    <t xml:space="preserve">Select scenario</t>
  </si>
  <si>
    <t xml:space="preserve">&lt;- choose Low / Base / High (only control cell outside Inputs)</t>
  </si>
  <si>
    <t xml:space="preserve">Scenario index (1=Low, 2=Base, 3=High)</t>
  </si>
  <si>
    <t xml:space="preserve">Active lever</t>
  </si>
  <si>
    <t xml:space="preserve">Active value</t>
  </si>
  <si>
    <t xml:space="preserve">Headline KPIs (selected scenario)</t>
  </si>
  <si>
    <t xml:space="preserve">Note</t>
  </si>
  <si>
    <t xml:space="preserve">Break-even month (sustained: trailing-3M profit stays &gt;= 0)</t>
  </si>
  <si>
    <t xml:space="preserve">Month # from launch</t>
  </si>
  <si>
    <t xml:space="preserve">First profitable month</t>
  </si>
  <si>
    <t xml:space="preserve">May be a seasonal one-off</t>
  </si>
  <si>
    <t xml:space="preserve">Cash payback month (cumulative net income &gt;= 0)</t>
  </si>
  <si>
    <t xml:space="preserve">Year 1 net revenue</t>
  </si>
  <si>
    <t xml:space="preserve">Year 1 net income</t>
  </si>
  <si>
    <t xml:space="preserve">Year 3 net revenue</t>
  </si>
  <si>
    <t xml:space="preserve">Year 3 net income</t>
  </si>
  <si>
    <t xml:space="preserve">Lowest cash balance</t>
  </si>
  <si>
    <t xml:space="preserve">Peak funding need (opening cash minus lowest cash)</t>
  </si>
  <si>
    <t xml:space="preserve">Total orders, 36 months</t>
  </si>
  <si>
    <t xml:space="preserve">Blended CAC, 36 months ($ per new customer)</t>
  </si>
  <si>
    <t xml:space="preserve">Paid CAC, steady state ($)</t>
  </si>
  <si>
    <t xml:space="preserve">LTV per customer (contribution $)</t>
  </si>
  <si>
    <t xml:space="preserve">Healthy &gt;= 3x</t>
  </si>
  <si>
    <t xml:space="preserve">LTV : paid CAC</t>
  </si>
  <si>
    <t xml:space="preserve">Blended contribution margin per order ($)</t>
  </si>
  <si>
    <t xml:space="preserve">Gross margin, Year 3</t>
  </si>
  <si>
    <t xml:space="preserve">Guest preview cost, 36 months ($, no revenue)</t>
  </si>
  <si>
    <t xml:space="preserve">Program and cost switches (v2). Second set of controls outside Inputs; blue cells with yellow fill are the only edit points.</t>
  </si>
  <si>
    <t xml:space="preserve">Include Kiosk program (0/1)</t>
  </si>
  <si>
    <t xml:space="preserve">B42: adds the Kiosk sheet to the selected view. Off by default (kiosk/08). The Dashboard comparison always shows all four.</t>
  </si>
  <si>
    <t xml:space="preserve">Include Agent Channel (0/1)</t>
  </si>
  <si>
    <t xml:space="preserve">B43: adds the Agent Channel sheet to the selected view.</t>
  </si>
  <si>
    <t xml:space="preserve">Market-adjusted (0/1)</t>
  </si>
  <si>
    <t xml:space="preserve">B44: applies Inputs section 12 (Google CPC $4.14, free card postage at $8.99, digital book $14.99, books $44.99 / $54.99 all-in). Changes core results.</t>
  </si>
  <si>
    <t xml:space="preserve">Include v2 new cost lines (0/1)</t>
  </si>
  <si>
    <t xml:space="preserve">B45: Inputs sections 13 and 14 (security, data, support, legal, insurance, accountant). Set 0 to see the original cost base.</t>
  </si>
  <si>
    <t xml:space="preserve">Include core launch engineering (0/1)</t>
  </si>
  <si>
    <t xml:space="preserve">B46: R&amp;D sheet block (a). Set 0 to see the original cost base.</t>
  </si>
  <si>
    <t xml:space="preserve">Count agent CAC avoided as a cash benefit (0/1)</t>
  </si>
  <si>
    <t xml:space="preserve">B47: off by default; avoided CAC is not cash unless marketing spend is actually cut.</t>
  </si>
  <si>
    <t xml:space="preserve">Program-inclusive KPIs for the selected switches (from Compare). Core-only KPIs above are unchanged.</t>
  </si>
  <si>
    <t xml:space="preserve">Total R&amp;D spend, 36 months</t>
  </si>
  <si>
    <t xml:space="preserve">Compare - four scenarios by month (cumulative cash, net income, R&amp;D)</t>
  </si>
  <si>
    <t xml:space="preserve">Core = Forecast (incl. v2 cost lines and core launch engineering per switches). Agent and Kiosk are the gross standalone streams. Selected = Scenarios switches B42/B43. Market-adjusted (B44) and Low/Base/High (B3) apply to every column.</t>
  </si>
  <si>
    <t xml:space="preserve">Line</t>
  </si>
  <si>
    <t xml:space="preserve">Opening / total</t>
  </si>
  <si>
    <t xml:space="preserve">M1</t>
  </si>
  <si>
    <t xml:space="preserve">M2</t>
  </si>
  <si>
    <t xml:space="preserve">M3</t>
  </si>
  <si>
    <t xml:space="preserve">M4</t>
  </si>
  <si>
    <t xml:space="preserve">M5</t>
  </si>
  <si>
    <t xml:space="preserve">M6</t>
  </si>
  <si>
    <t xml:space="preserve">M7</t>
  </si>
  <si>
    <t xml:space="preserve">M8</t>
  </si>
  <si>
    <t xml:space="preserve">M9</t>
  </si>
  <si>
    <t xml:space="preserve">M10</t>
  </si>
  <si>
    <t xml:space="preserve">M11</t>
  </si>
  <si>
    <t xml:space="preserve">M12</t>
  </si>
  <si>
    <t xml:space="preserve">M13</t>
  </si>
  <si>
    <t xml:space="preserve">M14</t>
  </si>
  <si>
    <t xml:space="preserve">M15</t>
  </si>
  <si>
    <t xml:space="preserve">M16</t>
  </si>
  <si>
    <t xml:space="preserve">M17</t>
  </si>
  <si>
    <t xml:space="preserve">M18</t>
  </si>
  <si>
    <t xml:space="preserve">M19</t>
  </si>
  <si>
    <t xml:space="preserve">M20</t>
  </si>
  <si>
    <t xml:space="preserve">M21</t>
  </si>
  <si>
    <t xml:space="preserve">M22</t>
  </si>
  <si>
    <t xml:space="preserve">M23</t>
  </si>
  <si>
    <t xml:space="preserve">M24</t>
  </si>
  <si>
    <t xml:space="preserve">M25</t>
  </si>
  <si>
    <t xml:space="preserve">M26</t>
  </si>
  <si>
    <t xml:space="preserve">M27</t>
  </si>
  <si>
    <t xml:space="preserve">M28</t>
  </si>
  <si>
    <t xml:space="preserve">M29</t>
  </si>
  <si>
    <t xml:space="preserve">M30</t>
  </si>
  <si>
    <t xml:space="preserve">M31</t>
  </si>
  <si>
    <t xml:space="preserve">M32</t>
  </si>
  <si>
    <t xml:space="preserve">M33</t>
  </si>
  <si>
    <t xml:space="preserve">M34</t>
  </si>
  <si>
    <t xml:space="preserve">M35</t>
  </si>
  <si>
    <t xml:space="preserve">M36</t>
  </si>
  <si>
    <t xml:space="preserve">36-mo total</t>
  </si>
  <si>
    <t xml:space="preserve">Month #</t>
  </si>
  <si>
    <t xml:space="preserve">#</t>
  </si>
  <si>
    <t xml:space="preserve">STREAMS (net income unless noted)</t>
  </si>
  <si>
    <t xml:space="preserve">Core net income (Forecast row 77 = cash; no working capital)</t>
  </si>
  <si>
    <t xml:space="preserve">Agent Channel net income = cash</t>
  </si>
  <si>
    <t xml:space="preserve">Kiosk net income (after depreciation)</t>
  </si>
  <si>
    <t xml:space="preserve">Kiosk net cash flow (after capex)</t>
  </si>
  <si>
    <t xml:space="preserve">R&amp;D: core launch engineering in forecast</t>
  </si>
  <si>
    <t xml:space="preserve">R&amp;D: agent / AI-platform</t>
  </si>
  <si>
    <t xml:space="preserve">R&amp;D: kiosk program</t>
  </si>
  <si>
    <t xml:space="preserve">SCENARIO: CORE ONLY</t>
  </si>
  <si>
    <t xml:space="preserve">Core only: net income</t>
  </si>
  <si>
    <t xml:space="preserve">Core only: net cash flow</t>
  </si>
  <si>
    <t xml:space="preserve">Core only: cumulative cash balance</t>
  </si>
  <si>
    <t xml:space="preserve">Core only: R&amp;D spend</t>
  </si>
  <si>
    <t xml:space="preserve">Core only: trailing 3-month net income</t>
  </si>
  <si>
    <t xml:space="preserve">Core only: flag sustained break-even (all later T3M &gt;= 0)</t>
  </si>
  <si>
    <t xml:space="preserve">SCENARIO: CORE + AGENT CHANNEL</t>
  </si>
  <si>
    <t xml:space="preserve">Core + Agent Channel: net income</t>
  </si>
  <si>
    <t xml:space="preserve">Core + Agent Channel: net cash flow</t>
  </si>
  <si>
    <t xml:space="preserve">Core + Agent Channel: cumulative cash balance</t>
  </si>
  <si>
    <t xml:space="preserve">Core + Agent Channel: R&amp;D spend</t>
  </si>
  <si>
    <t xml:space="preserve">Core + Agent Channel: trailing 3-month net income</t>
  </si>
  <si>
    <t xml:space="preserve">Core + Agent Channel: flag sustained break-even (all later T3M &gt;= 0)</t>
  </si>
  <si>
    <t xml:space="preserve">SCENARIO: CORE + KIOSK</t>
  </si>
  <si>
    <t xml:space="preserve">Core + Kiosk: net income</t>
  </si>
  <si>
    <t xml:space="preserve">Core + Kiosk: net cash flow</t>
  </si>
  <si>
    <t xml:space="preserve">Core + Kiosk: cumulative cash balance</t>
  </si>
  <si>
    <t xml:space="preserve">Core + Kiosk: R&amp;D spend</t>
  </si>
  <si>
    <t xml:space="preserve">Core + Kiosk: trailing 3-month net income</t>
  </si>
  <si>
    <t xml:space="preserve">Core + Kiosk: flag sustained break-even (all later T3M &gt;= 0)</t>
  </si>
  <si>
    <t xml:space="preserve">SCENARIO: EVERYTHING</t>
  </si>
  <si>
    <t xml:space="preserve">Everything: net income</t>
  </si>
  <si>
    <t xml:space="preserve">Everything: net cash flow</t>
  </si>
  <si>
    <t xml:space="preserve">Everything: cumulative cash balance</t>
  </si>
  <si>
    <t xml:space="preserve">Everything: R&amp;D spend</t>
  </si>
  <si>
    <t xml:space="preserve">Everything: trailing 3-month net income</t>
  </si>
  <si>
    <t xml:space="preserve">Everything: flag sustained break-even (all later T3M &gt;= 0)</t>
  </si>
  <si>
    <t xml:space="preserve">SCENARIO: SELECTED BY SCENARIOS SWITCHES</t>
  </si>
  <si>
    <t xml:space="preserve">Selected by Scenarios switches: net income</t>
  </si>
  <si>
    <t xml:space="preserve">Selected by Scenarios switches: net cash flow</t>
  </si>
  <si>
    <t xml:space="preserve">Selected by Scenarios switches: cumulative cash balance</t>
  </si>
  <si>
    <t xml:space="preserve">Selected by Scenarios switches: R&amp;D spend</t>
  </si>
  <si>
    <t xml:space="preserve">Selected by Scenarios switches: trailing 3-month net income</t>
  </si>
  <si>
    <t xml:space="preserve">Selected by Scenarios switches: flag sustained break-even (all later T3M &gt;= 0)</t>
  </si>
  <si>
    <t xml:space="preserve">HEADLINE METRICS</t>
  </si>
  <si>
    <t xml:space="preserve">Metric</t>
  </si>
  <si>
    <t xml:space="preserve">Core + Agent Channel</t>
  </si>
  <si>
    <t xml:space="preserve">Selected by Scenarios switches</t>
  </si>
  <si>
    <t xml:space="preserve">Lowest cash balance (incl. opening)</t>
  </si>
  <si>
    <t xml:space="preserve">Break-even month (sustained trailing-3M net income &gt;= 0)</t>
  </si>
  <si>
    <t xml:space="preserve">Cumulative net income, 36 months</t>
  </si>
  <si>
    <t xml:space="preserve">R&amp;D - one-time and program engineering cost by month (36 months)</t>
  </si>
  <si>
    <t xml:space="preserve">Gross program cost, independent of the include switches. Core launch engineering flows into Forecast (switch Scenarios!B46); Agent and Kiosk programs flow only through Compare and the Dashboard. Change rate and days on Inputs sections 15-15c.</t>
  </si>
  <si>
    <t xml:space="preserve">Person-days / total</t>
  </si>
  <si>
    <t xml:space="preserve">(a) CORE LAUNCH ENGINEERING (remaining app work; days from the backlogs' own ticket sizes)</t>
  </si>
  <si>
    <t xml:space="preserve">Core launch engineering, gross</t>
  </si>
  <si>
    <t xml:space="preserve">Core launch engineering in the forecast (after switch Scenarios!B46)</t>
  </si>
  <si>
    <t xml:space="preserve">(b) AGENT / AI-PLATFORM INTEGRATIONS (phases P0-P4 from the integrations plan; gates cascade)</t>
  </si>
  <si>
    <t xml:space="preserve">Effective gate to run P0 (1 = spent)</t>
  </si>
  <si>
    <t xml:space="preserve">Effective gate to run P1 (1 = spent)</t>
  </si>
  <si>
    <t xml:space="preserve">Effective gate to run P2 (1 = spent)</t>
  </si>
  <si>
    <t xml:space="preserve">Effective gate to run P3 (1 = spent)</t>
  </si>
  <si>
    <t xml:space="preserve">Effective gate to run P4 (1 = spent)</t>
  </si>
  <si>
    <t xml:space="preserve">Agent / AI-platform program R&amp;D, gross</t>
  </si>
  <si>
    <t xml:space="preserve">(c) KIOSK PROGRAM, PHASES P0-P4 (low / base / high follows the scenario selector; gates G0-G3 cascade)</t>
  </si>
  <si>
    <t xml:space="preserve">Phase summary (selected scenario)</t>
  </si>
  <si>
    <t xml:space="preserve">Gate eff.</t>
  </si>
  <si>
    <t xml:space="preserve">Labor $</t>
  </si>
  <si>
    <t xml:space="preserve">Non-labor $</t>
  </si>
  <si>
    <t xml:space="preserve">Contingency $</t>
  </si>
  <si>
    <t xml:space="preserve">Phase total $</t>
  </si>
  <si>
    <t xml:space="preserve">Spent $ (after gates)</t>
  </si>
  <si>
    <t xml:space="preserve">Total (ties to kiosk/08: $561k low, $1,101k base, $2,248k high when all gates pass)</t>
  </si>
  <si>
    <t xml:space="preserve">Kiosk program R&amp;D (expensed), gross</t>
  </si>
  <si>
    <t xml:space="preserve">All program R&amp;D, gross (core + agent + kiosk)</t>
  </si>
  <si>
    <t xml:space="preserve">Timing note: costs within a phase are spread evenly. The kiosk doc front-loads prototype hardware and back-loads tooling inside a phase; phase totals and cumulative cash by phase end are unchanged.</t>
  </si>
  <si>
    <t xml:space="preserve">Kiosk - fleet build, unit economics and cash (Tier B freestanding)</t>
  </si>
  <si>
    <t xml:space="preserve">Gross standalone program view (independent of Scenarios!B42). Case follows the scenario selector. Phase gates and fleet plan are on Inputs sections 15c-16. All kiosk numbers are guesses until P2 field data (kiosk/08).</t>
  </si>
  <si>
    <t xml:space="preserve">Total / opening</t>
  </si>
  <si>
    <t xml:space="preserve">UNIT ECONOMICS PER CARD AND PER KIOSK (selected scenario)</t>
  </si>
  <si>
    <t xml:space="preserve">Price per card (ex tax)</t>
  </si>
  <si>
    <t xml:space="preserve">Host revenue share per card</t>
  </si>
  <si>
    <t xml:space="preserve">Payment fee per card</t>
  </si>
  <si>
    <t xml:space="preserve">Consumables per card</t>
  </si>
  <si>
    <t xml:space="preserve">Model cost, Totally custom session (live from Model Costs printed-card token cost + intake)</t>
  </si>
  <si>
    <t xml:space="preserve">Model cost per card sold (session mix x cost, x (1 + abandoned sessions))</t>
  </si>
  <si>
    <t xml:space="preserve">Contribution per card (mature)</t>
  </si>
  <si>
    <t xml:space="preserve">Fixed operating cost per kiosk per month (6 lines, incl. service visits)</t>
  </si>
  <si>
    <t xml:space="preserve">Cards per kiosk per month (mature)</t>
  </si>
  <si>
    <t xml:space="preserve">Operating cash per kiosk per month (mature)</t>
  </si>
  <si>
    <t xml:space="preserve">Hardware cost per kiosk at the 10-unit quantity (x scenario multiplier)</t>
  </si>
  <si>
    <t xml:space="preserve">Depreciation per kiosk per month</t>
  </si>
  <si>
    <t xml:space="preserve">Net after depreciation per kiosk per month (mature)</t>
  </si>
  <si>
    <t xml:space="preserve">Kiosk payback, months (hardware / operating cash; mature rate)</t>
  </si>
  <si>
    <t xml:space="preserve">Break-even cards per kiosk per day, cash</t>
  </si>
  <si>
    <t xml:space="preserve">Break-even cards per kiosk per day, after depreciation</t>
  </si>
  <si>
    <t xml:space="preserve">FLEET BUILD (units deployed by month, driven by the gates)</t>
  </si>
  <si>
    <t xml:space="preserve">Target units live (fleet plan, Inputs)</t>
  </si>
  <si>
    <t xml:space="preserve">Units live (after gates: pilot needs G1, scale-out needs G3)</t>
  </si>
  <si>
    <t xml:space="preserve">New units deployed</t>
  </si>
  <si>
    <t xml:space="preserve">  of which scale units bought at the 10-unit price</t>
  </si>
  <si>
    <t xml:space="preserve">  of which scale units bought at the 100-unit price</t>
  </si>
  <si>
    <t xml:space="preserve">Hardware capex (scale units; pilot units sit in P2 R&amp;D)</t>
  </si>
  <si>
    <t xml:space="preserve">SALES AND CONTRIBUTION</t>
  </si>
  <si>
    <t xml:space="preserve">Sales ramp factor (pilot first months)</t>
  </si>
  <si>
    <t xml:space="preserve">Cards sold</t>
  </si>
  <si>
    <t xml:space="preserve">cards</t>
  </si>
  <si>
    <t xml:space="preserve">Kiosk revenue (ex tax)</t>
  </si>
  <si>
    <t xml:space="preserve">Location revenue share</t>
  </si>
  <si>
    <t xml:space="preserve">Payment fees</t>
  </si>
  <si>
    <t xml:space="preserve">Consumables</t>
  </si>
  <si>
    <t xml:space="preserve">Model cost (from Model Costs sheet)</t>
  </si>
  <si>
    <t xml:space="preserve">Service visits</t>
  </si>
  <si>
    <t xml:space="preserve">Other fixed (connectivity, device mgmt, insurance, parts, hosting)</t>
  </si>
  <si>
    <t xml:space="preserve">Operating contribution</t>
  </si>
  <si>
    <t xml:space="preserve">Depreciation (straight line from the month after deployment)</t>
  </si>
  <si>
    <t xml:space="preserve">Kiosk program R&amp;D (expensed)</t>
  </si>
  <si>
    <t xml:space="preserve">Net income (contribution - depreciation - R&amp;D)</t>
  </si>
  <si>
    <t xml:space="preserve">Net cash flow (contribution - capex - R&amp;D)</t>
  </si>
  <si>
    <t xml:space="preserve">Cumulative kiosk cash (standalone, from $0)</t>
  </si>
  <si>
    <t xml:space="preserve">Flag: cumulative kiosk cash back to &gt;= 0 after spending starts</t>
  </si>
  <si>
    <t xml:space="preserve">FLEET METRICS</t>
  </si>
  <si>
    <t xml:space="preserve">Units live, month 36</t>
  </si>
  <si>
    <t xml:space="preserve">Total hardware capex, 36 months</t>
  </si>
  <si>
    <t xml:space="preserve">Total kiosk R&amp;D, 36 months</t>
  </si>
  <si>
    <t xml:space="preserve">Operating contribution, month 36 (run rate)</t>
  </si>
  <si>
    <t xml:space="preserve">Cumulative kiosk cash, month 36</t>
  </si>
  <si>
    <t xml:space="preserve">Lowest cumulative kiosk cash</t>
  </si>
  <si>
    <t xml:space="preserve">Cash payback month for the whole program (cumulative &gt;= 0)</t>
  </si>
  <si>
    <t xml:space="preserve">Agent Channel - AI-assistant mailed-card channel (MCP / agent API)</t>
  </si>
  <si>
    <t xml:space="preserve">Gross standalone program view (independent of Scenarios!B43). No adoption data exists: every volume is a guess (integrations/08). Platform-policy risk is a probability-weighted haircut.</t>
  </si>
  <si>
    <t xml:space="preserve">CHANNEL PARAMETERS (selected scenario)</t>
  </si>
  <si>
    <t xml:space="preserve">Mailed card gross price, all-in (Unit Economics, follows Market-adjusted)</t>
  </si>
  <si>
    <t xml:space="preserve">Gross price change vs launch list ($7.99 + postage x share)</t>
  </si>
  <si>
    <t xml:space="preserve">Mailed-card contribution per approved card used (plan value less price change after refund and Stripe %)</t>
  </si>
  <si>
    <t xml:space="preserve">Cross-check: live card-printed contribution (Unit Economics) less agent adjustment of $0.30</t>
  </si>
  <si>
    <t xml:space="preserve">CAC used for CAC avoided</t>
  </si>
  <si>
    <t xml:space="preserve">Platform-policy haircut (probability x loss share)</t>
  </si>
  <si>
    <t xml:space="preserve">Monthly churn of paying users</t>
  </si>
  <si>
    <t xml:space="preserve">Recurring channel cost per month once live (6 lines)</t>
  </si>
  <si>
    <t xml:space="preserve">USERS AND CARDS</t>
  </si>
  <si>
    <t xml:space="preserve">Channel live (P2 shipped, gate passed, month &gt;= go-live)</t>
  </si>
  <si>
    <t xml:space="preserve">flag</t>
  </si>
  <si>
    <t xml:space="preserve">New paying users</t>
  </si>
  <si>
    <t xml:space="preserve">Active paying users</t>
  </si>
  <si>
    <t xml:space="preserve">Connected users (signed in via an assistant)</t>
  </si>
  <si>
    <t xml:space="preserve">Active agents (connected users active this month)</t>
  </si>
  <si>
    <t xml:space="preserve">agents</t>
  </si>
  <si>
    <t xml:space="preserve">Cards per paying user per month (with repeat uplift past year 1)</t>
  </si>
  <si>
    <t xml:space="preserve">Approved mailed cards</t>
  </si>
  <si>
    <t xml:space="preserve">REVENUE AND CONTRIBUTION</t>
  </si>
  <si>
    <t xml:space="preserve">Gross channel revenue (cards x all-in price)</t>
  </si>
  <si>
    <t xml:space="preserve">Gross channel contribution (cards x margin)</t>
  </si>
  <si>
    <t xml:space="preserve">Incremental revenue (x incremental share)</t>
  </si>
  <si>
    <t xml:space="preserve">Incremental contribution (x incremental share)</t>
  </si>
  <si>
    <t xml:space="preserve">Incremental revenue after policy-risk haircut</t>
  </si>
  <si>
    <t xml:space="preserve">Incremental contribution after policy-risk haircut</t>
  </si>
  <si>
    <t xml:space="preserve">CAC avoided, memo (new users x incremental share x CAC x real-saving share, after haircut)</t>
  </si>
  <si>
    <t xml:space="preserve">COSTS AND CASH</t>
  </si>
  <si>
    <t xml:space="preserve">Recurring channel costs (hosting, monitoring, support, review)</t>
  </si>
  <si>
    <t xml:space="preserve">Free-draft exposure (non-paying active agents x drafts x cost, capped by pool)</t>
  </si>
  <si>
    <t xml:space="preserve">CAC avoided counted as benefit (only if Scenarios!B47 = 1)</t>
  </si>
  <si>
    <t xml:space="preserve">Channel operating result before R&amp;D</t>
  </si>
  <si>
    <t xml:space="preserve">Agent / AI-platform R&amp;D</t>
  </si>
  <si>
    <t xml:space="preserve">Net income = net cash flow</t>
  </si>
  <si>
    <t xml:space="preserve">Cumulative channel cash (standalone, from $0)</t>
  </si>
  <si>
    <t xml:space="preserve">Flag: cumulative channel cash &gt;= 0</t>
  </si>
  <si>
    <t xml:space="preserve">CHANNEL METRICS</t>
  </si>
  <si>
    <t xml:space="preserve">Cards, 36 months</t>
  </si>
  <si>
    <t xml:space="preserve">Incremental contribution after haircut, 36 months</t>
  </si>
  <si>
    <t xml:space="preserve">Recurring + exposure costs, 36 months</t>
  </si>
  <si>
    <t xml:space="preserve">Agent R&amp;D, 36 months</t>
  </si>
  <si>
    <t xml:space="preserve">CAC avoided (memo), 36 months</t>
  </si>
  <si>
    <t xml:space="preserve">Cumulative net cash, 36 months (CAC avoided excluded unless switch on)</t>
  </si>
  <si>
    <t xml:space="preserve">Cumulative net cash if CAC avoided were fully counted</t>
  </si>
  <si>
    <t xml:space="preserve">Lowest cumulative channel cash</t>
  </si>
  <si>
    <t xml:space="preserve">Cash payback month for the channel (cumulative &gt;= 0)</t>
  </si>
  <si>
    <t xml:space="preserve">Approved cards needed to repay agent R&amp;D at the incremental, risk-adjusted margin</t>
  </si>
  <si>
    <t xml:space="preserve">Unit Economics - contribution margin per item by SKU (selected scenario)</t>
  </si>
  <si>
    <t xml:space="preserve">Per item, single-item order basis. Print/shipping are ESTIMATES. Token cost includes scenario multiplier and OpenRouter fee. Stripe fixed fee spread over items per order.</t>
  </si>
  <si>
    <t xml:space="preserve">List price</t>
  </si>
  <si>
    <t xml:space="preserve">Postage revenue</t>
  </si>
  <si>
    <t xml:space="preserve">Gross revenue</t>
  </si>
  <si>
    <t xml:space="preserve">Refund allowance</t>
  </si>
  <si>
    <t xml:space="preserve">Token cost</t>
  </si>
  <si>
    <t xml:space="preserve">Print cost</t>
  </si>
  <si>
    <t xml:space="preserve">Shipping cost</t>
  </si>
  <si>
    <t xml:space="preserve">Reprint allowance</t>
  </si>
  <si>
    <t xml:space="preserve">Stripe fee</t>
  </si>
  <si>
    <t xml:space="preserve">Dispute allowance</t>
  </si>
  <si>
    <t xml:space="preserve">Total variable cost</t>
  </si>
  <si>
    <t xml:space="preserve">Contribution margin $</t>
  </si>
  <si>
    <t xml:space="preserve">Contribution margin %</t>
  </si>
  <si>
    <t xml:space="preserve">Blended (mix-weighted) per item</t>
  </si>
  <si>
    <t xml:space="preserve">Paid channels in the selected scenario (CPC: Low scenario = CMO high CPC, High scenario = CMO low CPC)</t>
  </si>
  <si>
    <t xml:space="preserve">Budget share</t>
  </si>
  <si>
    <t xml:space="preserve">Active CPC ($)</t>
  </si>
  <si>
    <t xml:space="preserve">CTR</t>
  </si>
  <si>
    <t xml:space="preserve">CAC ($ per customer)</t>
  </si>
  <si>
    <t xml:space="preserve">Visitor -&gt; customer</t>
  </si>
  <si>
    <t xml:space="preserve">Orders to repay CAC</t>
  </si>
  <si>
    <t xml:space="preserve">Customer acquisition vs lifetime value</t>
  </si>
  <si>
    <t xml:space="preserve">Before marketing and opex</t>
  </si>
  <si>
    <t xml:space="preserve">Expected orders per customer over lifetime</t>
  </si>
  <si>
    <t xml:space="preserve">1 + repeat/yr x lifetime yrs x scenario</t>
  </si>
  <si>
    <t xml:space="preserve">Lifetime value per customer (contribution, $)</t>
  </si>
  <si>
    <t xml:space="preserve">Undiscounted</t>
  </si>
  <si>
    <t xml:space="preserve">Paid visits per $ of budget</t>
  </si>
  <si>
    <t xml:space="preserve">Budget / CPC, share-weighted</t>
  </si>
  <si>
    <t xml:space="preserve">New paid customers per $ of budget</t>
  </si>
  <si>
    <t xml:space="preserve">Paid CAC, steady state ($ per new customer)</t>
  </si>
  <si>
    <t xml:space="preserve">Paid channels only; organic customers cost $0</t>
  </si>
  <si>
    <t xml:space="preserve">Orders needed to repay paid CAC</t>
  </si>
  <si>
    <t xml:space="preserve">Creator channel, all-in (v3: fixed gifts and fees are the channel budget; discount and commission are per order)</t>
  </si>
  <si>
    <t xml:space="preserve">Creator discount + commission per attributed order ($)</t>
  </si>
  <si>
    <t xml:space="preserve">Merchandise only; postage excluded</t>
  </si>
  <si>
    <t xml:space="preserve">Contribution per creator first order after discount and commission ($)</t>
  </si>
  <si>
    <t xml:space="preserve">Compare B23</t>
  </si>
  <si>
    <t xml:space="preserve">Creator CAC, all-in ($ per new customer)</t>
  </si>
  <si>
    <t xml:space="preserve">Fixed spend per customer (G19) + per-order cost</t>
  </si>
  <si>
    <t xml:space="preserve">Model Costs - token and render cost per product</t>
  </si>
  <si>
    <t xml:space="preserve">MEASURED = CTO pipeline ledger (finance/measured_costs.json, OpenRouter usage.cost, 4 runs, $1.53 test spend). EXTRAPOLATED = CTO scaled measured per-call costs linearly to full 24/32-page books (no full-book run yet). ESTIMATE = my assumption, not measured. Yellow = pasted CTO data (blank = fall back to estimate).</t>
  </si>
  <si>
    <t xml:space="preserve">Exception to 'inputs only on Inputs': the CTO swap-in slots and cost tables live here by owner request. Image size selector below chooses 2K (CTO default, measured totals apply) or 4K (totals recomputed from the 4K per-call price).</t>
  </si>
  <si>
    <t xml:space="preserve">Print image size (2K or 4K)</t>
  </si>
  <si>
    <t xml:space="preserve">2K</t>
  </si>
  <si>
    <t xml:space="preserve">2K = about 280 DPI at card size and 234 DPI at book size (CTO). Below the 300 DPI print norm but CTO judges 4K (2x cost) gives little visible gain. Verify with a physical Lulu proof and the Lulu file validator before launch.</t>
  </si>
  <si>
    <t xml:space="preserve">Unit price</t>
  </si>
  <si>
    <t xml:space="preserve">Estimate (superseded)</t>
  </si>
  <si>
    <t xml:space="preserve">Measured (CTO paste)</t>
  </si>
  <si>
    <t xml:space="preserve">Active</t>
  </si>
  <si>
    <t xml:space="preserve">Status / source</t>
  </si>
  <si>
    <t xml:space="preserve">Image render 2K (nano-banana-2.1 via OpenRouter)</t>
  </si>
  <si>
    <t xml:space="preserve">$ / render</t>
  </si>
  <si>
    <t xml:space="preserve">MEASURED, n=14. Old estimate $0.11 was a 4K-class figure from the Eye Story.</t>
  </si>
  <si>
    <t xml:space="preserve">Image render 4K</t>
  </si>
  <si>
    <t xml:space="preserve">MEASURED, n=1 (single probe call).</t>
  </si>
  <si>
    <t xml:space="preserve">Image render 1K (guest preview)</t>
  </si>
  <si>
    <t xml:space="preserve">MEASURED, n=5.</t>
  </si>
  <si>
    <t xml:space="preserve">Vision QA check per render</t>
  </si>
  <si>
    <t xml:space="preserve">$ / call</t>
  </si>
  <si>
    <t xml:space="preserve">MEASURED.</t>
  </si>
  <si>
    <t xml:space="preserve">Claude Sonnet input (for unmeasured intake chat)</t>
  </si>
  <si>
    <t xml:space="preserve">$ / M tokens</t>
  </si>
  <si>
    <t xml:space="preserve">ESTIMATE: list price - verify.</t>
  </si>
  <si>
    <t xml:space="preserve">Claude Sonnet output (for unmeasured intake chat)</t>
  </si>
  <si>
    <t xml:space="preserve">Render price used (follows size selector)</t>
  </si>
  <si>
    <t xml:space="preserve">Text calls: estimate from tokens, then CTO measured cost per unit</t>
  </si>
  <si>
    <t xml:space="preserve">Call type</t>
  </si>
  <si>
    <t xml:space="preserve">Intake chat (card)</t>
  </si>
  <si>
    <t xml:space="preserve">Intake chat (book)</t>
  </si>
  <si>
    <t xml:space="preserve">Story writer (per spread)</t>
  </si>
  <si>
    <t xml:space="preserve">Identity sheet (vision)</t>
  </si>
  <si>
    <t xml:space="preserve">Art-director prompts (per page)</t>
  </si>
  <si>
    <t xml:space="preserve">Card copy + prompts (per card)</t>
  </si>
  <si>
    <t xml:space="preserve">Guest intake (mini)</t>
  </si>
  <si>
    <t xml:space="preserve">Input tokens / unit (ESTIMATE)</t>
  </si>
  <si>
    <t xml:space="preserve">Output tokens / unit (ESTIMATE)</t>
  </si>
  <si>
    <t xml:space="preserve">Estimated cost per unit ($)</t>
  </si>
  <si>
    <t xml:space="preserve">MEASURED cost per unit (CTO paste)</t>
  </si>
  <si>
    <t xml:space="preserve">Cost per unit used ($)</t>
  </si>
  <si>
    <t xml:space="preserve">Measured: identity 0.0106, story 0.0074 per spread, prompts 0.0094 per page, card copy 0.0054 + card prompts 0.0417. Intake chat and guest intake are NOT measured (Greet Guide not built).</t>
  </si>
  <si>
    <t xml:space="preserve">Units per SKU (ESTIMATE; spreads/pages per CTO: 24pp = 11 spreads, 14 renders; 32pp = 15 spreads, 18 renders)</t>
  </si>
  <si>
    <t xml:space="preserve">Token cost per SKU (before scenario multiplier and OpenRouter fee)</t>
  </si>
  <si>
    <t xml:space="preserve">Base renders (CTO)</t>
  </si>
  <si>
    <t xml:space="preserve">Re-roll rate</t>
  </si>
  <si>
    <t xml:space="preserve">Effective renders</t>
  </si>
  <si>
    <t xml:space="preserve">Render $</t>
  </si>
  <si>
    <t xml:space="preserve">QA $</t>
  </si>
  <si>
    <t xml:space="preserve">Text $</t>
  </si>
  <si>
    <t xml:space="preserve">Computed total $</t>
  </si>
  <si>
    <t xml:space="preserve">Measured total $ with re-rolls (CTO paste, 2K)</t>
  </si>
  <si>
    <t xml:space="preserve">Token cost used $</t>
  </si>
  <si>
    <t xml:space="preserve">Basis of measured figure</t>
  </si>
  <si>
    <t xml:space="preserve">EXTRAPOLATED from per-call costs; clean 3-render run measured $0.239</t>
  </si>
  <si>
    <t xml:space="preserve">EXTRAPOLATED (same as digital card)</t>
  </si>
  <si>
    <t xml:space="preserve">EXTRAPOLATED, 24pp book (4-art-page run measured $0.469, not a full book)</t>
  </si>
  <si>
    <t xml:space="preserve">EXTRAPOLATED, no full 24pp run yet</t>
  </si>
  <si>
    <t xml:space="preserve">EXTRAPOLATED, no full 32pp run yet</t>
  </si>
  <si>
    <t xml:space="preserve">At 2K the CTO measured/extrapolated total is used. At 4K the totals are recomputed from the 4K render price (pasted totals are 2K only). CTO reference for 24pp at 4K: $2.31 with re-rolls.</t>
  </si>
  <si>
    <t xml:space="preserve">Guest free preview (cost with no revenue)</t>
  </si>
  <si>
    <t xml:space="preserve">Renders per guest preview (1K)</t>
  </si>
  <si>
    <t xml:space="preserve">Guest preview cost, computed $</t>
  </si>
  <si>
    <t xml:space="preserve">Guest preview cost, CTO estimate $ (not run end to end)</t>
  </si>
  <si>
    <t xml:space="preserve">Guest preview cost used $</t>
  </si>
  <si>
    <t xml:space="preserve">Scenario token multiplier and the OpenRouter fee are applied on Unit Economics.</t>
  </si>
  <si>
    <t xml:space="preserve">Opex - monthly operating costs (fixed + variable, rates from Inputs section 10)</t>
  </si>
  <si>
    <t xml:space="preserve">Driver codes: 1 visits, 2 sign-ups, 3 orders, 4 gross revenue ($). One-time launch costs hit month 1.</t>
  </si>
  <si>
    <t xml:space="preserve">Opening</t>
  </si>
  <si>
    <t xml:space="preserve">Total operating costs</t>
  </si>
  <si>
    <t xml:space="preserve">One-time launch costs</t>
  </si>
  <si>
    <t xml:space="preserve">v2 ADDED COST LINES (Inputs section 13; switch Scenarios!B45)</t>
  </si>
  <si>
    <t xml:space="preserve">Total v2 operating costs</t>
  </si>
  <si>
    <t xml:space="preserve">v2 one-time costs (Inputs section 14, charged in their month)</t>
  </si>
  <si>
    <t xml:space="preserve">Forecast - 36 months (selected scenario)</t>
  </si>
  <si>
    <t xml:space="preserve">TIMELINE</t>
  </si>
  <si>
    <t xml:space="preserve">Month</t>
  </si>
  <si>
    <t xml:space="preserve">1-12</t>
  </si>
  <si>
    <t xml:space="preserve">Seasonality index</t>
  </si>
  <si>
    <t xml:space="preserve">Conversion seasonality</t>
  </si>
  <si>
    <t xml:space="preserve">MARKETING BUDGET (drives paid traffic)</t>
  </si>
  <si>
    <t xml:space="preserve">Total marketing budget</t>
  </si>
  <si>
    <t xml:space="preserve">TRAFFIC (visits)</t>
  </si>
  <si>
    <t xml:space="preserve">Paid visits (budget / CPC)</t>
  </si>
  <si>
    <t xml:space="preserve">  Organic trend (pre-season)</t>
  </si>
  <si>
    <t xml:space="preserve">Organic visits</t>
  </si>
  <si>
    <t xml:space="preserve">Referral visits (recipients of prior month's items)</t>
  </si>
  <si>
    <t xml:space="preserve">Total visits</t>
  </si>
  <si>
    <t xml:space="preserve">FUNNEL</t>
  </si>
  <si>
    <t xml:space="preserve">Guest free previews (cost, no revenue)</t>
  </si>
  <si>
    <t xml:space="preserve">Sign-ups from paid</t>
  </si>
  <si>
    <t xml:space="preserve">Sign-ups from organic + referral</t>
  </si>
  <si>
    <t xml:space="preserve">Sign-ups</t>
  </si>
  <si>
    <t xml:space="preserve">Creator starts</t>
  </si>
  <si>
    <t xml:space="preserve">Conversion factor (scenario x season)</t>
  </si>
  <si>
    <t xml:space="preserve">New-customer orders from paid</t>
  </si>
  <si>
    <t xml:space="preserve">New-customer orders from organic + referral</t>
  </si>
  <si>
    <t xml:space="preserve">Cumulative customers</t>
  </si>
  <si>
    <t xml:space="preserve">Repeat orders</t>
  </si>
  <si>
    <t xml:space="preserve">Items sold</t>
  </si>
  <si>
    <t xml:space="preserve">Visit -&gt; new order conversion</t>
  </si>
  <si>
    <t xml:space="preserve">ITEMS BY SKU (product mix)</t>
  </si>
  <si>
    <t xml:space="preserve">REVENUE BY SKU (gross incl. postage)</t>
  </si>
  <si>
    <t xml:space="preserve">Less: refunds</t>
  </si>
  <si>
    <t xml:space="preserve">COST OF GOODS SOLD</t>
  </si>
  <si>
    <t xml:space="preserve">Tokens - paid items (renders + text)</t>
  </si>
  <si>
    <t xml:space="preserve">Tokens - guest free previews (no revenue)</t>
  </si>
  <si>
    <t xml:space="preserve">Tokens - abandoned drafts (started, not bought)</t>
  </si>
  <si>
    <t xml:space="preserve">Stripe fees (2.9% + $0.30)</t>
  </si>
  <si>
    <t xml:space="preserve">Total COGS</t>
  </si>
  <si>
    <t xml:space="preserve">Gross margin</t>
  </si>
  <si>
    <t xml:space="preserve">OPERATING RESULT</t>
  </si>
  <si>
    <t xml:space="preserve">Marketing (budget + creator discount and commission, row 88)</t>
  </si>
  <si>
    <t xml:space="preserve">Operating costs (Opex sheet incl. v2 added lines)</t>
  </si>
  <si>
    <t xml:space="preserve">One-time launch costs (incl. v2 one-time and core launch engineering from R&amp;D sheet)</t>
  </si>
  <si>
    <t xml:space="preserve">Net income (pre-tax)</t>
  </si>
  <si>
    <t xml:space="preserve">Net margin</t>
  </si>
  <si>
    <t xml:space="preserve">Cumulative cash balance</t>
  </si>
  <si>
    <t xml:space="preserve">KPIs AND BREAK-EVEN TESTS</t>
  </si>
  <si>
    <t xml:space="preserve">Blended CAC (marketing / new customers)</t>
  </si>
  <si>
    <t xml:space="preserve">Trailing 3-month net income</t>
  </si>
  <si>
    <t xml:space="preserve">Flag: month net income &gt;= 0</t>
  </si>
  <si>
    <t xml:space="preserve">Flag: sustained (all later T3M &gt;= 0)</t>
  </si>
  <si>
    <t xml:space="preserve">Flag: cumulative net income &gt;= 0</t>
  </si>
  <si>
    <t xml:space="preserve">New-customer orders from creators (attributed)</t>
  </si>
  <si>
    <t xml:space="preserve">Creator per-order cost (discount + commission)</t>
  </si>
</sst>
</file>

<file path=xl/styles.xml><?xml version="1.0" encoding="utf-8"?>
<styleSheet xmlns="http://schemas.openxmlformats.org/spreadsheetml/2006/main">
  <numFmts count="19">
    <numFmt numFmtId="164" formatCode="General"/>
    <numFmt numFmtId="165" formatCode="#,##0;\(#,##0\);\-"/>
    <numFmt numFmtId="166" formatCode="\$#,##0;&quot;($&quot;#,##0\);\-"/>
    <numFmt numFmtId="167" formatCode="\$#,##0.00;&quot;($&quot;#,##0.00\);\-"/>
    <numFmt numFmtId="168" formatCode="0.00\x"/>
    <numFmt numFmtId="169" formatCode="0.0%;\(0.0%\);\-"/>
    <numFmt numFmtId="170" formatCode="0"/>
    <numFmt numFmtId="171" formatCode="\$#,##0"/>
    <numFmt numFmtId="172" formatCode="mmm\ yyyy"/>
    <numFmt numFmtId="173" formatCode="#,##0.00;\(#,##0.00\);\-"/>
    <numFmt numFmtId="174" formatCode="#,##0.0;\(#,##0.0\);\-"/>
    <numFmt numFmtId="175" formatCode="0.00"/>
    <numFmt numFmtId="176" formatCode="0.0"/>
    <numFmt numFmtId="177" formatCode="0.0%"/>
    <numFmt numFmtId="178" formatCode="0.000"/>
    <numFmt numFmtId="179" formatCode="0.00%"/>
    <numFmt numFmtId="180" formatCode="0.0000"/>
    <numFmt numFmtId="181" formatCode="\$#,##0.000;&quot;($&quot;#,##0.000\);\-"/>
    <numFmt numFmtId="182" formatCode="mmm\-yy"/>
  </numFmts>
  <fonts count="2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i val="true"/>
      <sz val="9"/>
      <name val="Arial"/>
      <family val="0"/>
      <charset val="1"/>
    </font>
    <font>
      <b val="true"/>
      <sz val="10"/>
      <color rgb="FFFFFFFF"/>
      <name val="Arial"/>
      <family val="0"/>
      <charset val="1"/>
    </font>
    <font>
      <sz val="10"/>
      <color rgb="FF000000"/>
      <name val="Arial"/>
      <family val="0"/>
      <charset val="1"/>
    </font>
    <font>
      <sz val="10"/>
      <name val="Arial"/>
      <family val="0"/>
      <charset val="1"/>
    </font>
    <font>
      <sz val="10"/>
      <color rgb="FF008000"/>
      <name val="Arial"/>
      <family val="0"/>
      <charset val="1"/>
    </font>
    <font>
      <b val="true"/>
      <sz val="18"/>
      <color rgb="FF000000"/>
      <name val="Calibri"/>
      <family val="2"/>
    </font>
    <font>
      <sz val="10"/>
      <color rgb="FF000000"/>
      <name val="Calibri"/>
      <family val="2"/>
    </font>
    <font>
      <b val="true"/>
      <sz val="10"/>
      <color rgb="FF000000"/>
      <name val="Calibri"/>
      <family val="2"/>
    </font>
    <font>
      <i val="true"/>
      <sz val="9"/>
      <color rgb="FF595959"/>
      <name val="Arial"/>
      <family val="0"/>
      <charset val="1"/>
    </font>
    <font>
      <sz val="10"/>
      <color rgb="FF0000FF"/>
      <name val="Arial"/>
      <family val="0"/>
      <charset val="1"/>
    </font>
    <font>
      <b val="true"/>
      <sz val="10"/>
      <color theme="1"/>
      <name val="Calibri"/>
      <family val="2"/>
      <charset val="1"/>
    </font>
    <font>
      <sz val="10"/>
      <color theme="1"/>
      <name val="Calibri"/>
      <family val="2"/>
      <charset val="1"/>
    </font>
    <font>
      <sz val="9"/>
      <color theme="1"/>
      <name val="Calibri"/>
      <family val="2"/>
      <charset val="1"/>
    </font>
    <font>
      <b val="true"/>
      <sz val="11"/>
      <color rgb="FF0000FF"/>
      <name val="Arial"/>
      <family val="0"/>
      <charset val="1"/>
    </font>
    <font>
      <i val="true"/>
      <sz val="10"/>
      <name val="Arial"/>
      <family val="0"/>
      <charset val="1"/>
    </font>
    <font>
      <b val="true"/>
      <sz val="9"/>
      <color rgb="FFC00000"/>
      <name val="Arial"/>
      <family val="0"/>
      <charset val="1"/>
    </font>
  </fonts>
  <fills count="5">
    <fill>
      <patternFill patternType="none"/>
    </fill>
    <fill>
      <patternFill patternType="gray125"/>
    </fill>
    <fill>
      <patternFill patternType="solid">
        <fgColor rgb="FF1F3864"/>
        <bgColor rgb="FF333399"/>
      </patternFill>
    </fill>
    <fill>
      <patternFill patternType="solid">
        <fgColor rgb="FFFFFF00"/>
        <bgColor rgb="FFFFFF00"/>
      </patternFill>
    </fill>
    <fill>
      <patternFill patternType="solid">
        <fgColor rgb="FFD9E1F2"/>
        <bgColor rgb="FFD9D9D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center" vertical="center"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true">
      <alignment horizontal="general" vertical="bottom" textRotation="0" wrapText="false" indent="0" shrinkToFit="false"/>
      <protection locked="true" hidden="false"/>
    </xf>
    <xf numFmtId="166" fontId="5" fillId="0" borderId="0" xfId="0" applyFont="true" applyBorder="false" applyAlignment="true" applyProtection="true">
      <alignment horizontal="general" vertical="bottom" textRotation="0" wrapText="false" indent="0" shrinkToFit="false"/>
      <protection locked="true" hidden="false"/>
    </xf>
    <xf numFmtId="167" fontId="5" fillId="0" borderId="0" xfId="0" applyFont="true" applyBorder="false" applyAlignment="true" applyProtection="true">
      <alignment horizontal="general" vertical="bottom" textRotation="0" wrapText="false" indent="0" shrinkToFit="false"/>
      <protection locked="true" hidden="false"/>
    </xf>
    <xf numFmtId="168" fontId="5" fillId="0" borderId="0" xfId="0" applyFont="true" applyBorder="false" applyAlignment="true" applyProtection="true">
      <alignment horizontal="general" vertical="bottom" textRotation="0" wrapText="false" indent="0" shrinkToFit="false"/>
      <protection locked="true" hidden="false"/>
    </xf>
    <xf numFmtId="165" fontId="8" fillId="0" borderId="0" xfId="0" applyFont="true" applyBorder="false" applyAlignment="true" applyProtection="true">
      <alignment horizontal="general" vertical="bottom" textRotation="0" wrapText="false" indent="0" shrinkToFit="false"/>
      <protection locked="true" hidden="false"/>
    </xf>
    <xf numFmtId="166" fontId="8" fillId="0" borderId="0" xfId="0" applyFont="true" applyBorder="false" applyAlignment="true" applyProtection="true">
      <alignment horizontal="general" vertical="bottom" textRotation="0" wrapText="false" indent="0" shrinkToFit="false"/>
      <protection locked="true" hidden="false"/>
    </xf>
    <xf numFmtId="167" fontId="8" fillId="0" borderId="0" xfId="0" applyFont="true" applyBorder="false" applyAlignment="true" applyProtection="true">
      <alignment horizontal="general" vertical="bottom" textRotation="0" wrapText="false" indent="0" shrinkToFit="false"/>
      <protection locked="true" hidden="false"/>
    </xf>
    <xf numFmtId="169" fontId="8" fillId="0"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center"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6" fontId="10" fillId="0" borderId="0" xfId="0" applyFont="true" applyBorder="false" applyAlignment="true" applyProtection="true">
      <alignment horizontal="right" vertical="bottom" textRotation="0" wrapText="false" indent="0" shrinkToFit="false"/>
      <protection locked="true" hidden="false"/>
    </xf>
    <xf numFmtId="170" fontId="10" fillId="0" borderId="0" xfId="0" applyFont="true" applyBorder="false" applyAlignment="true" applyProtection="true">
      <alignment horizontal="right"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15" fillId="3" borderId="0" xfId="0" applyFont="true" applyBorder="false" applyAlignment="true" applyProtection="true">
      <alignment horizontal="general" vertical="bottom" textRotation="0" wrapText="false" indent="0" shrinkToFit="false"/>
      <protection locked="true" hidden="false"/>
    </xf>
    <xf numFmtId="164" fontId="5" fillId="4" borderId="0" xfId="0" applyFont="true" applyBorder="false" applyAlignment="true" applyProtection="true">
      <alignment horizontal="general"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72" fontId="15" fillId="0" borderId="0" xfId="0" applyFont="true" applyBorder="false" applyAlignment="true" applyProtection="true">
      <alignment horizontal="general" vertical="bottom" textRotation="0" wrapText="false" indent="0" shrinkToFit="false"/>
      <protection locked="true" hidden="false"/>
    </xf>
    <xf numFmtId="166" fontId="15" fillId="0" borderId="0" xfId="0" applyFont="true" applyBorder="false" applyAlignment="true" applyProtection="true">
      <alignment horizontal="general" vertical="bottom" textRotation="0" wrapText="false" indent="0" shrinkToFit="false"/>
      <protection locked="true" hidden="false"/>
    </xf>
    <xf numFmtId="173" fontId="15" fillId="0" borderId="0" xfId="0" applyFont="true" applyBorder="false" applyAlignment="true" applyProtection="true">
      <alignment horizontal="general" vertical="bottom" textRotation="0" wrapText="false" indent="0" shrinkToFit="false"/>
      <protection locked="true" hidden="false"/>
    </xf>
    <xf numFmtId="169" fontId="15" fillId="0" borderId="0" xfId="0" applyFont="true" applyBorder="false" applyAlignment="true" applyProtection="true">
      <alignment horizontal="general" vertical="bottom" textRotation="0" wrapText="false" indent="0" shrinkToFit="false"/>
      <protection locked="true" hidden="false"/>
    </xf>
    <xf numFmtId="165" fontId="15" fillId="0" borderId="0" xfId="0" applyFont="true" applyBorder="false" applyAlignment="true" applyProtection="true">
      <alignment horizontal="general" vertical="bottom" textRotation="0" wrapText="false" indent="0" shrinkToFit="false"/>
      <protection locked="true" hidden="false"/>
    </xf>
    <xf numFmtId="167" fontId="15" fillId="0" borderId="0" xfId="0" applyFont="true" applyBorder="false" applyAlignment="true" applyProtection="true">
      <alignment horizontal="general" vertical="bottom" textRotation="0" wrapText="false" indent="0" shrinkToFit="false"/>
      <protection locked="true" hidden="false"/>
    </xf>
    <xf numFmtId="169" fontId="5" fillId="0" borderId="0" xfId="0" applyFont="true" applyBorder="false" applyAlignment="true" applyProtection="true">
      <alignment horizontal="general" vertical="bottom" textRotation="0" wrapText="false" indent="0" shrinkToFit="false"/>
      <protection locked="true" hidden="false"/>
    </xf>
    <xf numFmtId="164" fontId="16" fillId="2" borderId="0" xfId="0" applyFont="true" applyBorder="false" applyAlignment="true" applyProtection="true">
      <alignment horizontal="general" vertical="bottom" textRotation="0" wrapText="true" indent="0" shrinkToFit="false"/>
      <protection locked="true" hidden="false"/>
    </xf>
    <xf numFmtId="166" fontId="15" fillId="3" borderId="0" xfId="0" applyFont="true" applyBorder="false" applyAlignment="true" applyProtection="true">
      <alignment horizontal="general" vertical="bottom" textRotation="0" wrapText="false" indent="0" shrinkToFit="false"/>
      <protection locked="true" hidden="false"/>
    </xf>
    <xf numFmtId="167" fontId="15" fillId="3" borderId="0" xfId="0" applyFont="true" applyBorder="false" applyAlignment="true" applyProtection="true">
      <alignment horizontal="general" vertical="bottom" textRotation="0" wrapText="false" indent="0" shrinkToFit="false"/>
      <protection locked="true" hidden="false"/>
    </xf>
    <xf numFmtId="169" fontId="15" fillId="3" borderId="0" xfId="0" applyFont="true" applyBorder="false" applyAlignment="true" applyProtection="true">
      <alignment horizontal="general" vertical="bottom" textRotation="0" wrapText="false" indent="0" shrinkToFit="false"/>
      <protection locked="true" hidden="false"/>
    </xf>
    <xf numFmtId="169" fontId="17" fillId="3" borderId="0" xfId="0" applyFont="true" applyBorder="false" applyAlignment="true" applyProtection="true">
      <alignment horizontal="general" vertical="bottom" textRotation="0" wrapText="false" indent="0" shrinkToFit="false"/>
      <protection locked="true" hidden="false"/>
    </xf>
    <xf numFmtId="173" fontId="5" fillId="0" borderId="0" xfId="0" applyFont="true" applyBorder="false" applyAlignment="true" applyProtection="true">
      <alignment horizontal="general" vertical="bottom" textRotation="0" wrapText="false" indent="0" shrinkToFit="false"/>
      <protection locked="true" hidden="false"/>
    </xf>
    <xf numFmtId="168" fontId="15" fillId="0"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center" textRotation="0" wrapText="true" indent="0" shrinkToFit="false"/>
      <protection locked="true" hidden="false"/>
    </xf>
    <xf numFmtId="167" fontId="9" fillId="0" borderId="0" xfId="0" applyFont="true" applyBorder="false" applyAlignment="true" applyProtection="true">
      <alignment horizontal="general" vertical="bottom" textRotation="0" wrapText="false" indent="0" shrinkToFit="false"/>
      <protection locked="true" hidden="false"/>
    </xf>
    <xf numFmtId="174" fontId="15" fillId="0" borderId="0" xfId="0" applyFont="true" applyBorder="false" applyAlignment="true" applyProtection="true">
      <alignment horizontal="general" vertical="bottom" textRotation="0" wrapText="false" indent="0" shrinkToFit="false"/>
      <protection locked="true" hidden="false"/>
    </xf>
    <xf numFmtId="175" fontId="15" fillId="0" borderId="0" xfId="0" applyFont="true" applyBorder="false" applyAlignment="true" applyProtection="true">
      <alignment horizontal="general" vertical="bottom" textRotation="0" wrapText="false" indent="0" shrinkToFit="false"/>
      <protection locked="true" hidden="false"/>
    </xf>
    <xf numFmtId="174" fontId="9" fillId="0" borderId="0" xfId="0" applyFont="true" applyBorder="false" applyAlignment="true" applyProtection="true">
      <alignment horizontal="general" vertical="bottom" textRotation="0" wrapText="false" indent="0" shrinkToFit="false"/>
      <protection locked="true" hidden="false"/>
    </xf>
    <xf numFmtId="170" fontId="15" fillId="0" borderId="0" xfId="0" applyFont="true" applyBorder="false" applyAlignment="true" applyProtection="true">
      <alignment horizontal="general" vertical="bottom" textRotation="0" wrapText="false" indent="0" shrinkToFit="false"/>
      <protection locked="true" hidden="false"/>
    </xf>
    <xf numFmtId="175" fontId="9" fillId="0" borderId="0" xfId="0" applyFont="true" applyBorder="false" applyAlignment="true" applyProtection="true">
      <alignment horizontal="general" vertical="bottom" textRotation="0" wrapText="false" indent="0" shrinkToFit="false"/>
      <protection locked="true" hidden="false"/>
    </xf>
    <xf numFmtId="166" fontId="9" fillId="0" borderId="0" xfId="0" applyFont="true" applyBorder="false" applyAlignment="true" applyProtection="true">
      <alignment horizontal="general" vertical="bottom" textRotation="0" wrapText="false" indent="0" shrinkToFit="false"/>
      <protection locked="true" hidden="false"/>
    </xf>
    <xf numFmtId="169" fontId="9" fillId="0" borderId="0" xfId="0" applyFont="true" applyBorder="false" applyAlignment="true" applyProtection="true">
      <alignment horizontal="general" vertical="bottom" textRotation="0" wrapText="false" indent="0" shrinkToFit="false"/>
      <protection locked="true" hidden="false"/>
    </xf>
    <xf numFmtId="176" fontId="15" fillId="0" borderId="0" xfId="0" applyFont="true" applyBorder="false" applyAlignment="true" applyProtection="true">
      <alignment horizontal="general" vertical="bottom" textRotation="0" wrapText="false" indent="0" shrinkToFit="false"/>
      <protection locked="true" hidden="false"/>
    </xf>
    <xf numFmtId="170" fontId="9" fillId="0" borderId="0" xfId="0" applyFont="true" applyBorder="false" applyAlignment="true" applyProtection="true">
      <alignment horizontal="general" vertical="bottom" textRotation="0" wrapText="false" indent="0" shrinkToFit="false"/>
      <protection locked="true" hidden="false"/>
    </xf>
    <xf numFmtId="165" fontId="9" fillId="0" borderId="0" xfId="0" applyFont="true" applyBorder="false" applyAlignment="true" applyProtection="true">
      <alignment horizontal="general" vertical="bottom" textRotation="0" wrapText="false" indent="0" shrinkToFit="false"/>
      <protection locked="true" hidden="false"/>
    </xf>
    <xf numFmtId="164" fontId="16" fillId="4"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9" fontId="17"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9" fillId="3" borderId="0" xfId="0" applyFont="true" applyBorder="false" applyAlignment="true" applyProtection="true">
      <alignment horizontal="general" vertical="bottom" textRotation="0" wrapText="false" indent="0" shrinkToFit="false"/>
      <protection locked="true" hidden="false"/>
    </xf>
    <xf numFmtId="168" fontId="8" fillId="0" borderId="0" xfId="0" applyFont="true" applyBorder="false" applyAlignment="true" applyProtection="true">
      <alignment horizontal="general" vertical="bottom" textRotation="0" wrapText="false" indent="0" shrinkToFit="false"/>
      <protection locked="true" hidden="false"/>
    </xf>
    <xf numFmtId="170" fontId="15" fillId="3" borderId="0" xfId="0" applyFont="true" applyBorder="false" applyAlignment="true" applyProtection="true">
      <alignment horizontal="general" vertical="bottom" textRotation="0" wrapText="false" indent="0" shrinkToFit="false"/>
      <protection locked="true" hidden="false"/>
    </xf>
    <xf numFmtId="166" fontId="10" fillId="0" borderId="0" xfId="0" applyFont="true" applyBorder="false" applyAlignment="true" applyProtection="true">
      <alignment horizontal="general" vertical="bottom" textRotation="0" wrapText="false" indent="0" shrinkToFit="false"/>
      <protection locked="true" hidden="false"/>
    </xf>
    <xf numFmtId="170" fontId="10" fillId="0" borderId="0" xfId="0" applyFont="true" applyBorder="false" applyAlignment="true" applyProtection="true">
      <alignment horizontal="general" vertical="bottom" textRotation="0" wrapText="false" indent="0" shrinkToFit="false"/>
      <protection locked="true" hidden="false"/>
    </xf>
    <xf numFmtId="164" fontId="20" fillId="0"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right"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true" indent="0" shrinkToFit="false"/>
      <protection locked="true" hidden="false"/>
    </xf>
    <xf numFmtId="176" fontId="9" fillId="0" borderId="0" xfId="0" applyFont="true" applyBorder="false" applyAlignment="true" applyProtection="true">
      <alignment horizontal="general" vertical="bottom" textRotation="0" wrapText="false" indent="0" shrinkToFit="false"/>
      <protection locked="true" hidden="false"/>
    </xf>
    <xf numFmtId="177" fontId="9" fillId="0" borderId="0" xfId="0" applyFont="true" applyBorder="false" applyAlignment="true" applyProtection="true">
      <alignment horizontal="general" vertical="bottom" textRotation="0" wrapText="false" indent="0" shrinkToFit="false"/>
      <protection locked="true" hidden="false"/>
    </xf>
    <xf numFmtId="174" fontId="5" fillId="0" borderId="0" xfId="0" applyFont="true" applyBorder="false" applyAlignment="true" applyProtection="true">
      <alignment horizontal="general" vertical="bottom" textRotation="0" wrapText="false" indent="0" shrinkToFit="false"/>
      <protection locked="true" hidden="false"/>
    </xf>
    <xf numFmtId="178" fontId="9" fillId="0" borderId="0" xfId="0" applyFont="true" applyBorder="false" applyAlignment="true" applyProtection="true">
      <alignment horizontal="general" vertical="bottom" textRotation="0" wrapText="false" indent="0" shrinkToFit="false"/>
      <protection locked="true" hidden="false"/>
    </xf>
    <xf numFmtId="179" fontId="8" fillId="0" borderId="0" xfId="0" applyFont="true" applyBorder="false" applyAlignment="true" applyProtection="true">
      <alignment horizontal="general" vertical="bottom" textRotation="0" wrapText="false" indent="0" shrinkToFit="false"/>
      <protection locked="true" hidden="false"/>
    </xf>
    <xf numFmtId="173" fontId="8" fillId="0" borderId="0" xfId="0" applyFont="true" applyBorder="false" applyAlignment="true" applyProtection="true">
      <alignment horizontal="general" vertical="bottom" textRotation="0" wrapText="false" indent="0" shrinkToFit="false"/>
      <protection locked="true" hidden="false"/>
    </xf>
    <xf numFmtId="175" fontId="8" fillId="0" borderId="0" xfId="0" applyFont="true" applyBorder="false" applyAlignment="true" applyProtection="true">
      <alignment horizontal="general" vertical="bottom" textRotation="0" wrapText="false" indent="0" shrinkToFit="false"/>
      <protection locked="true" hidden="false"/>
    </xf>
    <xf numFmtId="180" fontId="8" fillId="0" borderId="0" xfId="0" applyFont="true" applyBorder="false" applyAlignment="true" applyProtection="true">
      <alignment horizontal="general" vertical="bottom" textRotation="0" wrapText="false" indent="0" shrinkToFit="false"/>
      <protection locked="true" hidden="false"/>
    </xf>
    <xf numFmtId="167" fontId="17" fillId="0" borderId="0" xfId="0" applyFont="true" applyBorder="false" applyAlignment="true" applyProtection="true">
      <alignment horizontal="general" vertical="bottom" textRotation="0" wrapText="false" indent="0" shrinkToFit="false"/>
      <protection locked="true" hidden="false"/>
    </xf>
    <xf numFmtId="164" fontId="21" fillId="0" borderId="0" xfId="0" applyFont="true" applyBorder="false" applyAlignment="true" applyProtection="true">
      <alignment horizontal="general" vertical="bottom" textRotation="0" wrapText="false" indent="0" shrinkToFit="false"/>
      <protection locked="true" hidden="false"/>
    </xf>
    <xf numFmtId="181" fontId="15" fillId="0" borderId="0" xfId="0" applyFont="true" applyBorder="false" applyAlignment="true" applyProtection="true">
      <alignment horizontal="general" vertical="bottom" textRotation="0" wrapText="false" indent="0" shrinkToFit="false"/>
      <protection locked="true" hidden="false"/>
    </xf>
    <xf numFmtId="181" fontId="15" fillId="3" borderId="0" xfId="0" applyFont="true" applyBorder="false" applyAlignment="true" applyProtection="true">
      <alignment horizontal="general" vertical="bottom" textRotation="0" wrapText="false" indent="0" shrinkToFit="false"/>
      <protection locked="true" hidden="false"/>
    </xf>
    <xf numFmtId="181" fontId="8" fillId="0" borderId="0" xfId="0" applyFont="true" applyBorder="false" applyAlignment="true" applyProtection="true">
      <alignment horizontal="general" vertical="bottom" textRotation="0" wrapText="false" indent="0" shrinkToFit="false"/>
      <protection locked="true" hidden="false"/>
    </xf>
    <xf numFmtId="181" fontId="5" fillId="0"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center" vertical="bottom" textRotation="0" wrapText="false" indent="0" shrinkToFit="false"/>
      <protection locked="true" hidden="false"/>
    </xf>
    <xf numFmtId="182" fontId="8" fillId="0" borderId="0" xfId="0" applyFont="true" applyBorder="false" applyAlignment="true" applyProtection="true">
      <alignment horizontal="general" vertical="bottom" textRotation="0" wrapText="false" indent="0" shrinkToFit="false"/>
      <protection locked="true" hidden="false"/>
    </xf>
    <xf numFmtId="165" fontId="16" fillId="0" borderId="0" xfId="0" applyFont="true" applyBorder="false" applyAlignment="true" applyProtection="true">
      <alignment horizontal="general" vertical="bottom" textRotation="0" wrapText="false" indent="0" shrinkToFit="false"/>
      <protection locked="true" hidden="false"/>
    </xf>
    <xf numFmtId="166" fontId="17"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70AD47"/>
      <rgbColor rgb="FF800080"/>
      <rgbColor rgb="FF008080"/>
      <rgbColor rgb="FFC0C0C0"/>
      <rgbColor rgb="FF878787"/>
      <rgbColor rgb="FF9999FF"/>
      <rgbColor rgb="FFBE4B48"/>
      <rgbColor rgb="FFFFFF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4A7EBB"/>
      <rgbColor rgb="FF33CCCC"/>
      <rgbColor rgb="FF98B855"/>
      <rgbColor rgb="FFFFCC00"/>
      <rgbColor rgb="FFFF9900"/>
      <rgbColor rgb="FFED7D31"/>
      <rgbColor rgb="FF7D5FA0"/>
      <rgbColor rgb="FF9BBB59"/>
      <rgbColor rgb="FF1F3864"/>
      <rgbColor rgb="FF4F81BD"/>
      <rgbColor rgb="FF003300"/>
      <rgbColor rgb="FF333300"/>
      <rgbColor rgb="FFC0504D"/>
      <rgbColor rgb="FF7030A0"/>
      <rgbColor rgb="FF333399"/>
      <rgbColor rgb="FF59595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Net revenue and net income ($/month)</a:t>
            </a:r>
          </a:p>
        </c:rich>
      </c:tx>
      <c:overlay val="0"/>
      <c:spPr>
        <a:noFill/>
        <a:ln w="0">
          <a:noFill/>
        </a:ln>
      </c:spPr>
    </c:title>
    <c:autoTitleDeleted val="0"/>
    <c:plotArea>
      <c:lineChart>
        <c:grouping val="standard"/>
        <c:varyColors val="0"/>
        <c:ser>
          <c:idx val="0"/>
          <c:order val="0"/>
          <c:tx>
            <c:strRef>
              <c:f>"Net revenue"</c:f>
              <c:strCache>
                <c:ptCount val="1"/>
                <c:pt idx="0">
                  <c:v>Net revenue</c:v>
                </c:pt>
              </c:strCache>
            </c:strRef>
          </c:tx>
          <c:spPr>
            <a:solidFill>
              <a:srgbClr val="4A7EBB"/>
            </a:solidFill>
            <a:ln w="12600">
              <a:solidFill>
                <a:srgbClr val="4A7EBB"/>
              </a:solidFill>
              <a:round/>
            </a:ln>
          </c:spPr>
          <c:marker>
            <c:symbol val="none"/>
          </c:marker>
          <c:dLbls>
            <c:txPr>
              <a:bodyPr wrap="none"/>
              <a:lstStyle/>
              <a:p>
                <a:pPr>
                  <a:defRPr sz="1000" b="0" u="none" strike="noStrike">
                    <a:solidFill>
                      <a:srgbClr val="000000"/>
                    </a:solidFill>
                    <a:uFillTx/>
                    <a:latin typeface="Arial"/>
                  </a:defRPr>
                </a:pPr>
              </a:p>
            </c:txPr>
            <c:dLblPos val="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Forecast!$D$7:$AM$7</c:f>
              <c:multiLvlStrCache>
                <c:ptCount val="1"/>
                <c:lvl>
                  <c:pt idx="0">
                    <c:v>Oct-29</c:v>
                  </c:pt>
                </c:lvl>
                <c:lvl>
                  <c:pt idx="0">
                    <c:v>Sep-29</c:v>
                  </c:pt>
                </c:lvl>
                <c:lvl>
                  <c:pt idx="0">
                    <c:v>Aug-29</c:v>
                  </c:pt>
                </c:lvl>
                <c:lvl>
                  <c:pt idx="0">
                    <c:v>Jul-29</c:v>
                  </c:pt>
                </c:lvl>
                <c:lvl>
                  <c:pt idx="0">
                    <c:v>Jun-29</c:v>
                  </c:pt>
                </c:lvl>
                <c:lvl>
                  <c:pt idx="0">
                    <c:v>May-29</c:v>
                  </c:pt>
                </c:lvl>
                <c:lvl>
                  <c:pt idx="0">
                    <c:v>Apr-29</c:v>
                  </c:pt>
                </c:lvl>
                <c:lvl>
                  <c:pt idx="0">
                    <c:v>Mar-29</c:v>
                  </c:pt>
                </c:lvl>
                <c:lvl>
                  <c:pt idx="0">
                    <c:v>Feb-29</c:v>
                  </c:pt>
                </c:lvl>
                <c:lvl>
                  <c:pt idx="0">
                    <c:v>Jan-29</c:v>
                  </c:pt>
                </c:lvl>
                <c:lvl>
                  <c:pt idx="0">
                    <c:v>Dec-28</c:v>
                  </c:pt>
                </c:lvl>
                <c:lvl>
                  <c:pt idx="0">
                    <c:v>Nov-28</c:v>
                  </c:pt>
                </c:lvl>
                <c:lvl>
                  <c:pt idx="0">
                    <c:v>Oct-28</c:v>
                  </c:pt>
                </c:lvl>
                <c:lvl>
                  <c:pt idx="0">
                    <c:v>Sep-28</c:v>
                  </c:pt>
                </c:lvl>
                <c:lvl>
                  <c:pt idx="0">
                    <c:v>Aug-28</c:v>
                  </c:pt>
                </c:lvl>
                <c:lvl>
                  <c:pt idx="0">
                    <c:v>Jul-28</c:v>
                  </c:pt>
                </c:lvl>
                <c:lvl>
                  <c:pt idx="0">
                    <c:v>Jun-28</c:v>
                  </c:pt>
                </c:lvl>
                <c:lvl>
                  <c:pt idx="0">
                    <c:v>May-28</c:v>
                  </c:pt>
                </c:lvl>
                <c:lvl>
                  <c:pt idx="0">
                    <c:v>Apr-28</c:v>
                  </c:pt>
                </c:lvl>
                <c:lvl>
                  <c:pt idx="0">
                    <c:v>Mar-28</c:v>
                  </c:pt>
                </c:lvl>
                <c:lvl>
                  <c:pt idx="0">
                    <c:v>Feb-28</c:v>
                  </c:pt>
                </c:lvl>
                <c:lvl>
                  <c:pt idx="0">
                    <c:v>Jan-28</c:v>
                  </c:pt>
                </c:lvl>
                <c:lvl>
                  <c:pt idx="0">
                    <c:v>Dec-27</c:v>
                  </c:pt>
                </c:lvl>
                <c:lvl>
                  <c:pt idx="0">
                    <c:v>Nov-27</c:v>
                  </c:pt>
                </c:lvl>
                <c:lvl>
                  <c:pt idx="0">
                    <c:v>Oct-27</c:v>
                  </c:pt>
                </c:lvl>
                <c:lvl>
                  <c:pt idx="0">
                    <c:v>Sep-27</c:v>
                  </c:pt>
                </c:lvl>
                <c:lvl>
                  <c:pt idx="0">
                    <c:v>Aug-27</c:v>
                  </c:pt>
                </c:lvl>
                <c:lvl>
                  <c:pt idx="0">
                    <c:v>Jul-27</c:v>
                  </c:pt>
                </c:lvl>
                <c:lvl>
                  <c:pt idx="0">
                    <c:v>Jun-27</c:v>
                  </c:pt>
                </c:lvl>
                <c:lvl>
                  <c:pt idx="0">
                    <c:v>May-27</c:v>
                  </c:pt>
                </c:lvl>
                <c:lvl>
                  <c:pt idx="0">
                    <c:v>Apr-27</c:v>
                  </c:pt>
                </c:lvl>
                <c:lvl>
                  <c:pt idx="0">
                    <c:v>Mar-27</c:v>
                  </c:pt>
                </c:lvl>
                <c:lvl>
                  <c:pt idx="0">
                    <c:v>Feb-27</c:v>
                  </c:pt>
                </c:lvl>
                <c:lvl>
                  <c:pt idx="0">
                    <c:v>Jan-27</c:v>
                  </c:pt>
                </c:lvl>
                <c:lvl>
                  <c:pt idx="0">
                    <c:v>Dec-26</c:v>
                  </c:pt>
                </c:lvl>
                <c:lvl>
                  <c:pt idx="0">
                    <c:v>Nov-26</c:v>
                  </c:pt>
                </c:lvl>
              </c:multiLvlStrCache>
            </c:multiLvlStrRef>
          </c:cat>
          <c:val>
            <c:numRef>
              <c:f>Forecast!$D$60:$AM$60</c:f>
              <c:numCache>
                <c:formatCode>\$#,##0;"($"#,##0\);\-</c:formatCode>
                <c:ptCount val="36"/>
                <c:pt idx="0">
                  <c:v>4384.48363576755</c:v>
                </c:pt>
                <c:pt idx="1">
                  <c:v>7647.62186167164</c:v>
                </c:pt>
                <c:pt idx="2">
                  <c:v>2607.56086244527</c:v>
                </c:pt>
                <c:pt idx="3">
                  <c:v>5241.7463750078</c:v>
                </c:pt>
                <c:pt idx="4">
                  <c:v>3433.08069189939</c:v>
                </c:pt>
                <c:pt idx="5">
                  <c:v>3779.51151119081</c:v>
                </c:pt>
                <c:pt idx="6">
                  <c:v>6561.13210604812</c:v>
                </c:pt>
                <c:pt idx="7">
                  <c:v>4916.18716389055</c:v>
                </c:pt>
                <c:pt idx="8">
                  <c:v>4053.24605995856</c:v>
                </c:pt>
                <c:pt idx="9">
                  <c:v>4452.12175631855</c:v>
                </c:pt>
                <c:pt idx="10">
                  <c:v>4887.82839580072</c:v>
                </c:pt>
                <c:pt idx="11">
                  <c:v>5358.08971234426</c:v>
                </c:pt>
                <c:pt idx="12">
                  <c:v>7553.51374890954</c:v>
                </c:pt>
                <c:pt idx="13">
                  <c:v>12831.0425948766</c:v>
                </c:pt>
                <c:pt idx="14">
                  <c:v>4211.74512007268</c:v>
                </c:pt>
                <c:pt idx="15">
                  <c:v>8543.91893637153</c:v>
                </c:pt>
                <c:pt idx="16">
                  <c:v>5459.48742033488</c:v>
                </c:pt>
                <c:pt idx="17">
                  <c:v>5945.81561820053</c:v>
                </c:pt>
                <c:pt idx="18">
                  <c:v>10222.7598732923</c:v>
                </c:pt>
                <c:pt idx="19">
                  <c:v>7541.54041019195</c:v>
                </c:pt>
                <c:pt idx="20">
                  <c:v>6114.02639561054</c:v>
                </c:pt>
                <c:pt idx="21">
                  <c:v>6646.48215821416</c:v>
                </c:pt>
                <c:pt idx="22">
                  <c:v>7218.24333786766</c:v>
                </c:pt>
                <c:pt idx="23">
                  <c:v>7824.65694979059</c:v>
                </c:pt>
                <c:pt idx="24">
                  <c:v>10885.2070418445</c:v>
                </c:pt>
                <c:pt idx="25">
                  <c:v>18073.9258743673</c:v>
                </c:pt>
                <c:pt idx="26">
                  <c:v>5900.10728688944</c:v>
                </c:pt>
                <c:pt idx="27">
                  <c:v>11875.0152817109</c:v>
                </c:pt>
                <c:pt idx="28">
                  <c:v>7530.79878726843</c:v>
                </c:pt>
                <c:pt idx="29">
                  <c:v>8136.46048061297</c:v>
                </c:pt>
                <c:pt idx="30">
                  <c:v>13794.8864448696</c:v>
                </c:pt>
                <c:pt idx="31">
                  <c:v>10130.6241566736</c:v>
                </c:pt>
                <c:pt idx="32">
                  <c:v>8159.64119887299</c:v>
                </c:pt>
                <c:pt idx="33">
                  <c:v>8809.73047342889</c:v>
                </c:pt>
                <c:pt idx="34">
                  <c:v>9501.09221001362</c:v>
                </c:pt>
                <c:pt idx="35">
                  <c:v>10226.9593609953</c:v>
                </c:pt>
              </c:numCache>
            </c:numRef>
          </c:val>
          <c:smooth val="1"/>
        </c:ser>
        <c:ser>
          <c:idx val="1"/>
          <c:order val="1"/>
          <c:tx>
            <c:strRef>
              <c:f>"Net income"</c:f>
              <c:strCache>
                <c:ptCount val="1"/>
                <c:pt idx="0">
                  <c:v>Net income</c:v>
                </c:pt>
              </c:strCache>
            </c:strRef>
          </c:tx>
          <c:spPr>
            <a:solidFill>
              <a:srgbClr val="BE4B48"/>
            </a:solidFill>
            <a:ln w="12600">
              <a:solidFill>
                <a:srgbClr val="BE4B48"/>
              </a:solidFill>
              <a:round/>
            </a:ln>
          </c:spPr>
          <c:marker>
            <c:symbol val="none"/>
          </c:marker>
          <c:dLbls>
            <c:txPr>
              <a:bodyPr wrap="none"/>
              <a:lstStyle/>
              <a:p>
                <a:pPr>
                  <a:defRPr sz="1000" b="0" u="none" strike="noStrike">
                    <a:solidFill>
                      <a:srgbClr val="000000"/>
                    </a:solidFill>
                    <a:uFillTx/>
                    <a:latin typeface="Arial"/>
                  </a:defRPr>
                </a:pPr>
              </a:p>
            </c:txPr>
            <c:dLblPos val="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Forecast!$D$7:$AM$7</c:f>
              <c:multiLvlStrCache>
                <c:ptCount val="1"/>
                <c:lvl>
                  <c:pt idx="0">
                    <c:v>Oct-29</c:v>
                  </c:pt>
                </c:lvl>
                <c:lvl>
                  <c:pt idx="0">
                    <c:v>Sep-29</c:v>
                  </c:pt>
                </c:lvl>
                <c:lvl>
                  <c:pt idx="0">
                    <c:v>Aug-29</c:v>
                  </c:pt>
                </c:lvl>
                <c:lvl>
                  <c:pt idx="0">
                    <c:v>Jul-29</c:v>
                  </c:pt>
                </c:lvl>
                <c:lvl>
                  <c:pt idx="0">
                    <c:v>Jun-29</c:v>
                  </c:pt>
                </c:lvl>
                <c:lvl>
                  <c:pt idx="0">
                    <c:v>May-29</c:v>
                  </c:pt>
                </c:lvl>
                <c:lvl>
                  <c:pt idx="0">
                    <c:v>Apr-29</c:v>
                  </c:pt>
                </c:lvl>
                <c:lvl>
                  <c:pt idx="0">
                    <c:v>Mar-29</c:v>
                  </c:pt>
                </c:lvl>
                <c:lvl>
                  <c:pt idx="0">
                    <c:v>Feb-29</c:v>
                  </c:pt>
                </c:lvl>
                <c:lvl>
                  <c:pt idx="0">
                    <c:v>Jan-29</c:v>
                  </c:pt>
                </c:lvl>
                <c:lvl>
                  <c:pt idx="0">
                    <c:v>Dec-28</c:v>
                  </c:pt>
                </c:lvl>
                <c:lvl>
                  <c:pt idx="0">
                    <c:v>Nov-28</c:v>
                  </c:pt>
                </c:lvl>
                <c:lvl>
                  <c:pt idx="0">
                    <c:v>Oct-28</c:v>
                  </c:pt>
                </c:lvl>
                <c:lvl>
                  <c:pt idx="0">
                    <c:v>Sep-28</c:v>
                  </c:pt>
                </c:lvl>
                <c:lvl>
                  <c:pt idx="0">
                    <c:v>Aug-28</c:v>
                  </c:pt>
                </c:lvl>
                <c:lvl>
                  <c:pt idx="0">
                    <c:v>Jul-28</c:v>
                  </c:pt>
                </c:lvl>
                <c:lvl>
                  <c:pt idx="0">
                    <c:v>Jun-28</c:v>
                  </c:pt>
                </c:lvl>
                <c:lvl>
                  <c:pt idx="0">
                    <c:v>May-28</c:v>
                  </c:pt>
                </c:lvl>
                <c:lvl>
                  <c:pt idx="0">
                    <c:v>Apr-28</c:v>
                  </c:pt>
                </c:lvl>
                <c:lvl>
                  <c:pt idx="0">
                    <c:v>Mar-28</c:v>
                  </c:pt>
                </c:lvl>
                <c:lvl>
                  <c:pt idx="0">
                    <c:v>Feb-28</c:v>
                  </c:pt>
                </c:lvl>
                <c:lvl>
                  <c:pt idx="0">
                    <c:v>Jan-28</c:v>
                  </c:pt>
                </c:lvl>
                <c:lvl>
                  <c:pt idx="0">
                    <c:v>Dec-27</c:v>
                  </c:pt>
                </c:lvl>
                <c:lvl>
                  <c:pt idx="0">
                    <c:v>Nov-27</c:v>
                  </c:pt>
                </c:lvl>
                <c:lvl>
                  <c:pt idx="0">
                    <c:v>Oct-27</c:v>
                  </c:pt>
                </c:lvl>
                <c:lvl>
                  <c:pt idx="0">
                    <c:v>Sep-27</c:v>
                  </c:pt>
                </c:lvl>
                <c:lvl>
                  <c:pt idx="0">
                    <c:v>Aug-27</c:v>
                  </c:pt>
                </c:lvl>
                <c:lvl>
                  <c:pt idx="0">
                    <c:v>Jul-27</c:v>
                  </c:pt>
                </c:lvl>
                <c:lvl>
                  <c:pt idx="0">
                    <c:v>Jun-27</c:v>
                  </c:pt>
                </c:lvl>
                <c:lvl>
                  <c:pt idx="0">
                    <c:v>May-27</c:v>
                  </c:pt>
                </c:lvl>
                <c:lvl>
                  <c:pt idx="0">
                    <c:v>Apr-27</c:v>
                  </c:pt>
                </c:lvl>
                <c:lvl>
                  <c:pt idx="0">
                    <c:v>Mar-27</c:v>
                  </c:pt>
                </c:lvl>
                <c:lvl>
                  <c:pt idx="0">
                    <c:v>Feb-27</c:v>
                  </c:pt>
                </c:lvl>
                <c:lvl>
                  <c:pt idx="0">
                    <c:v>Jan-27</c:v>
                  </c:pt>
                </c:lvl>
                <c:lvl>
                  <c:pt idx="0">
                    <c:v>Dec-26</c:v>
                  </c:pt>
                </c:lvl>
                <c:lvl>
                  <c:pt idx="0">
                    <c:v>Nov-26</c:v>
                  </c:pt>
                </c:lvl>
              </c:multiLvlStrCache>
            </c:multiLvlStrRef>
          </c:cat>
          <c:val>
            <c:numRef>
              <c:f>Forecast!$D$77:$AM$77</c:f>
              <c:numCache>
                <c:formatCode>\$#,##0;"($"#,##0\);\-</c:formatCode>
                <c:ptCount val="36"/>
                <c:pt idx="0">
                  <c:v>-62740.9101761515</c:v>
                </c:pt>
                <c:pt idx="1">
                  <c:v>-54192.5602021942</c:v>
                </c:pt>
                <c:pt idx="2">
                  <c:v>-24287.9909116936</c:v>
                </c:pt>
                <c:pt idx="3">
                  <c:v>-12698.506862611</c:v>
                </c:pt>
                <c:pt idx="4">
                  <c:v>-5564.12502209614</c:v>
                </c:pt>
                <c:pt idx="5">
                  <c:v>-5569.57017744458</c:v>
                </c:pt>
                <c:pt idx="6">
                  <c:v>-5989.71969100837</c:v>
                </c:pt>
                <c:pt idx="7">
                  <c:v>-5595.75543913615</c:v>
                </c:pt>
                <c:pt idx="8">
                  <c:v>-5332.52144065615</c:v>
                </c:pt>
                <c:pt idx="9">
                  <c:v>-5313.15662326534</c:v>
                </c:pt>
                <c:pt idx="10">
                  <c:v>-5276.28104292958</c:v>
                </c:pt>
                <c:pt idx="11">
                  <c:v>-5222.66066050349</c:v>
                </c:pt>
                <c:pt idx="12">
                  <c:v>-5397.14829682327</c:v>
                </c:pt>
                <c:pt idx="13">
                  <c:v>-5864.37213350708</c:v>
                </c:pt>
                <c:pt idx="14">
                  <c:v>-4963.28261382542</c:v>
                </c:pt>
                <c:pt idx="15">
                  <c:v>-4922.77907575852</c:v>
                </c:pt>
                <c:pt idx="16">
                  <c:v>-4876.92606849005</c:v>
                </c:pt>
                <c:pt idx="17">
                  <c:v>-4814.48764553072</c:v>
                </c:pt>
                <c:pt idx="18">
                  <c:v>-4483.5741780684</c:v>
                </c:pt>
                <c:pt idx="19">
                  <c:v>-4585.29496010681</c:v>
                </c:pt>
                <c:pt idx="20">
                  <c:v>-4590.3845535809</c:v>
                </c:pt>
                <c:pt idx="21">
                  <c:v>-4505.61863303539</c:v>
                </c:pt>
                <c:pt idx="22">
                  <c:v>-4402.02150029388</c:v>
                </c:pt>
                <c:pt idx="23">
                  <c:v>-4281.36320354265</c:v>
                </c:pt>
                <c:pt idx="24">
                  <c:v>-3828.84934518642</c:v>
                </c:pt>
                <c:pt idx="25">
                  <c:v>-3367.29127783804</c:v>
                </c:pt>
                <c:pt idx="26">
                  <c:v>-4182.6611661101</c:v>
                </c:pt>
                <c:pt idx="27">
                  <c:v>-3347.05182805415</c:v>
                </c:pt>
                <c:pt idx="28">
                  <c:v>-3908.48599422749</c:v>
                </c:pt>
                <c:pt idx="29">
                  <c:v>-3786.54806667532</c:v>
                </c:pt>
                <c:pt idx="30">
                  <c:v>-2758.93032195702</c:v>
                </c:pt>
                <c:pt idx="31">
                  <c:v>-3336.11819169362</c:v>
                </c:pt>
                <c:pt idx="32">
                  <c:v>-3602.94438176605</c:v>
                </c:pt>
                <c:pt idx="33">
                  <c:v>-3459.49709523783</c:v>
                </c:pt>
                <c:pt idx="34">
                  <c:v>-3296.28845914998</c:v>
                </c:pt>
                <c:pt idx="35">
                  <c:v>-3115.97592293962</c:v>
                </c:pt>
              </c:numCache>
            </c:numRef>
          </c:val>
          <c:smooth val="1"/>
        </c:ser>
        <c:hiLowLines>
          <c:spPr>
            <a:ln w="0">
              <a:noFill/>
            </a:ln>
          </c:spPr>
        </c:hiLowLines>
        <c:marker val="0"/>
        <c:axId val="70356976"/>
        <c:axId val="307125"/>
      </c:lineChart>
      <c:catAx>
        <c:axId val="70356976"/>
        <c:scaling>
          <c:orientation val="minMax"/>
        </c:scaling>
        <c:delete val="0"/>
        <c:axPos val="b"/>
        <c:numFmt formatCode="mmm\-yy"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07125"/>
        <c:crosses val="autoZero"/>
        <c:auto val="1"/>
        <c:lblAlgn val="ctr"/>
        <c:lblOffset val="100"/>
        <c:noMultiLvlLbl val="0"/>
      </c:catAx>
      <c:valAx>
        <c:axId val="307125"/>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a:t>
                </a:r>
              </a:p>
            </c:rich>
          </c:tx>
          <c:overlay val="0"/>
          <c:spPr>
            <a:noFill/>
            <a:ln w="0">
              <a:noFill/>
            </a:ln>
          </c:spPr>
        </c:title>
        <c:numFmt formatCode="\$#,##0;&quot;($&quot;#,##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70356976"/>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Cumulative cash balance ($)</a:t>
            </a:r>
          </a:p>
        </c:rich>
      </c:tx>
      <c:overlay val="0"/>
      <c:spPr>
        <a:noFill/>
        <a:ln w="0">
          <a:noFill/>
        </a:ln>
      </c:spPr>
    </c:title>
    <c:autoTitleDeleted val="0"/>
    <c:plotArea>
      <c:lineChart>
        <c:grouping val="standard"/>
        <c:varyColors val="0"/>
        <c:ser>
          <c:idx val="0"/>
          <c:order val="0"/>
          <c:tx>
            <c:strRef>
              <c:f>"Cash"</c:f>
              <c:strCache>
                <c:ptCount val="1"/>
                <c:pt idx="0">
                  <c:v>Cash</c:v>
                </c:pt>
              </c:strCache>
            </c:strRef>
          </c:tx>
          <c:spPr>
            <a:solidFill>
              <a:srgbClr val="4A7EBB"/>
            </a:solidFill>
            <a:ln w="12600">
              <a:solidFill>
                <a:srgbClr val="4A7EBB"/>
              </a:solidFill>
              <a:round/>
            </a:ln>
          </c:spPr>
          <c:marker>
            <c:symbol val="none"/>
          </c:marker>
          <c:dLbls>
            <c:txPr>
              <a:bodyPr wrap="none"/>
              <a:lstStyle/>
              <a:p>
                <a:pPr>
                  <a:defRPr sz="1000" b="0" u="none" strike="noStrike">
                    <a:solidFill>
                      <a:srgbClr val="000000"/>
                    </a:solidFill>
                    <a:uFillTx/>
                    <a:latin typeface="Arial"/>
                  </a:defRPr>
                </a:pPr>
              </a:p>
            </c:txPr>
            <c:dLblPos val="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Forecast!$D$7:$AM$7</c:f>
              <c:multiLvlStrCache>
                <c:ptCount val="1"/>
                <c:lvl>
                  <c:pt idx="0">
                    <c:v>Oct-29</c:v>
                  </c:pt>
                </c:lvl>
                <c:lvl>
                  <c:pt idx="0">
                    <c:v>Sep-29</c:v>
                  </c:pt>
                </c:lvl>
                <c:lvl>
                  <c:pt idx="0">
                    <c:v>Aug-29</c:v>
                  </c:pt>
                </c:lvl>
                <c:lvl>
                  <c:pt idx="0">
                    <c:v>Jul-29</c:v>
                  </c:pt>
                </c:lvl>
                <c:lvl>
                  <c:pt idx="0">
                    <c:v>Jun-29</c:v>
                  </c:pt>
                </c:lvl>
                <c:lvl>
                  <c:pt idx="0">
                    <c:v>May-29</c:v>
                  </c:pt>
                </c:lvl>
                <c:lvl>
                  <c:pt idx="0">
                    <c:v>Apr-29</c:v>
                  </c:pt>
                </c:lvl>
                <c:lvl>
                  <c:pt idx="0">
                    <c:v>Mar-29</c:v>
                  </c:pt>
                </c:lvl>
                <c:lvl>
                  <c:pt idx="0">
                    <c:v>Feb-29</c:v>
                  </c:pt>
                </c:lvl>
                <c:lvl>
                  <c:pt idx="0">
                    <c:v>Jan-29</c:v>
                  </c:pt>
                </c:lvl>
                <c:lvl>
                  <c:pt idx="0">
                    <c:v>Dec-28</c:v>
                  </c:pt>
                </c:lvl>
                <c:lvl>
                  <c:pt idx="0">
                    <c:v>Nov-28</c:v>
                  </c:pt>
                </c:lvl>
                <c:lvl>
                  <c:pt idx="0">
                    <c:v>Oct-28</c:v>
                  </c:pt>
                </c:lvl>
                <c:lvl>
                  <c:pt idx="0">
                    <c:v>Sep-28</c:v>
                  </c:pt>
                </c:lvl>
                <c:lvl>
                  <c:pt idx="0">
                    <c:v>Aug-28</c:v>
                  </c:pt>
                </c:lvl>
                <c:lvl>
                  <c:pt idx="0">
                    <c:v>Jul-28</c:v>
                  </c:pt>
                </c:lvl>
                <c:lvl>
                  <c:pt idx="0">
                    <c:v>Jun-28</c:v>
                  </c:pt>
                </c:lvl>
                <c:lvl>
                  <c:pt idx="0">
                    <c:v>May-28</c:v>
                  </c:pt>
                </c:lvl>
                <c:lvl>
                  <c:pt idx="0">
                    <c:v>Apr-28</c:v>
                  </c:pt>
                </c:lvl>
                <c:lvl>
                  <c:pt idx="0">
                    <c:v>Mar-28</c:v>
                  </c:pt>
                </c:lvl>
                <c:lvl>
                  <c:pt idx="0">
                    <c:v>Feb-28</c:v>
                  </c:pt>
                </c:lvl>
                <c:lvl>
                  <c:pt idx="0">
                    <c:v>Jan-28</c:v>
                  </c:pt>
                </c:lvl>
                <c:lvl>
                  <c:pt idx="0">
                    <c:v>Dec-27</c:v>
                  </c:pt>
                </c:lvl>
                <c:lvl>
                  <c:pt idx="0">
                    <c:v>Nov-27</c:v>
                  </c:pt>
                </c:lvl>
                <c:lvl>
                  <c:pt idx="0">
                    <c:v>Oct-27</c:v>
                  </c:pt>
                </c:lvl>
                <c:lvl>
                  <c:pt idx="0">
                    <c:v>Sep-27</c:v>
                  </c:pt>
                </c:lvl>
                <c:lvl>
                  <c:pt idx="0">
                    <c:v>Aug-27</c:v>
                  </c:pt>
                </c:lvl>
                <c:lvl>
                  <c:pt idx="0">
                    <c:v>Jul-27</c:v>
                  </c:pt>
                </c:lvl>
                <c:lvl>
                  <c:pt idx="0">
                    <c:v>Jun-27</c:v>
                  </c:pt>
                </c:lvl>
                <c:lvl>
                  <c:pt idx="0">
                    <c:v>May-27</c:v>
                  </c:pt>
                </c:lvl>
                <c:lvl>
                  <c:pt idx="0">
                    <c:v>Apr-27</c:v>
                  </c:pt>
                </c:lvl>
                <c:lvl>
                  <c:pt idx="0">
                    <c:v>Mar-27</c:v>
                  </c:pt>
                </c:lvl>
                <c:lvl>
                  <c:pt idx="0">
                    <c:v>Feb-27</c:v>
                  </c:pt>
                </c:lvl>
                <c:lvl>
                  <c:pt idx="0">
                    <c:v>Jan-27</c:v>
                  </c:pt>
                </c:lvl>
                <c:lvl>
                  <c:pt idx="0">
                    <c:v>Dec-26</c:v>
                  </c:pt>
                </c:lvl>
                <c:lvl>
                  <c:pt idx="0">
                    <c:v>Nov-26</c:v>
                  </c:pt>
                </c:lvl>
              </c:multiLvlStrCache>
            </c:multiLvlStrRef>
          </c:cat>
          <c:val>
            <c:numRef>
              <c:f>Forecast!$D$80:$AM$80</c:f>
              <c:numCache>
                <c:formatCode>\$#,##0;"($"#,##0\);\-</c:formatCode>
                <c:ptCount val="36"/>
                <c:pt idx="0">
                  <c:v>-32740.9101761515</c:v>
                </c:pt>
                <c:pt idx="1">
                  <c:v>-86933.4703783457</c:v>
                </c:pt>
                <c:pt idx="2">
                  <c:v>-111221.461290039</c:v>
                </c:pt>
                <c:pt idx="3">
                  <c:v>-123919.96815265</c:v>
                </c:pt>
                <c:pt idx="4">
                  <c:v>-129484.093174746</c:v>
                </c:pt>
                <c:pt idx="5">
                  <c:v>-135053.663352191</c:v>
                </c:pt>
                <c:pt idx="6">
                  <c:v>-141043.383043199</c:v>
                </c:pt>
                <c:pt idx="7">
                  <c:v>-146639.138482336</c:v>
                </c:pt>
                <c:pt idx="8">
                  <c:v>-151971.659922992</c:v>
                </c:pt>
                <c:pt idx="9">
                  <c:v>-157284.816546257</c:v>
                </c:pt>
                <c:pt idx="10">
                  <c:v>-162561.097589187</c:v>
                </c:pt>
                <c:pt idx="11">
                  <c:v>-167783.75824969</c:v>
                </c:pt>
                <c:pt idx="12">
                  <c:v>-173180.906546513</c:v>
                </c:pt>
                <c:pt idx="13">
                  <c:v>-179045.27868002</c:v>
                </c:pt>
                <c:pt idx="14">
                  <c:v>-184008.561293846</c:v>
                </c:pt>
                <c:pt idx="15">
                  <c:v>-188931.340369604</c:v>
                </c:pt>
                <c:pt idx="16">
                  <c:v>-193808.266438094</c:v>
                </c:pt>
                <c:pt idx="17">
                  <c:v>-198622.754083625</c:v>
                </c:pt>
                <c:pt idx="18">
                  <c:v>-203106.328261694</c:v>
                </c:pt>
                <c:pt idx="19">
                  <c:v>-207691.6232218</c:v>
                </c:pt>
                <c:pt idx="20">
                  <c:v>-212282.007775381</c:v>
                </c:pt>
                <c:pt idx="21">
                  <c:v>-216787.626408417</c:v>
                </c:pt>
                <c:pt idx="22">
                  <c:v>-221189.647908711</c:v>
                </c:pt>
                <c:pt idx="23">
                  <c:v>-225471.011112253</c:v>
                </c:pt>
                <c:pt idx="24">
                  <c:v>-229299.86045744</c:v>
                </c:pt>
                <c:pt idx="25">
                  <c:v>-232667.151735278</c:v>
                </c:pt>
                <c:pt idx="26">
                  <c:v>-236849.812901388</c:v>
                </c:pt>
                <c:pt idx="27">
                  <c:v>-240196.864729442</c:v>
                </c:pt>
                <c:pt idx="28">
                  <c:v>-244105.350723669</c:v>
                </c:pt>
                <c:pt idx="29">
                  <c:v>-247891.898790345</c:v>
                </c:pt>
                <c:pt idx="30">
                  <c:v>-250650.829112302</c:v>
                </c:pt>
                <c:pt idx="31">
                  <c:v>-253986.947303995</c:v>
                </c:pt>
                <c:pt idx="32">
                  <c:v>-257589.891685761</c:v>
                </c:pt>
                <c:pt idx="33">
                  <c:v>-261049.388780999</c:v>
                </c:pt>
                <c:pt idx="34">
                  <c:v>-264345.677240149</c:v>
                </c:pt>
                <c:pt idx="35">
                  <c:v>-267461.653163089</c:v>
                </c:pt>
              </c:numCache>
            </c:numRef>
          </c:val>
          <c:smooth val="1"/>
        </c:ser>
        <c:hiLowLines>
          <c:spPr>
            <a:ln w="0">
              <a:noFill/>
            </a:ln>
          </c:spPr>
        </c:hiLowLines>
        <c:marker val="0"/>
        <c:axId val="55460549"/>
        <c:axId val="65922940"/>
      </c:lineChart>
      <c:catAx>
        <c:axId val="55460549"/>
        <c:scaling>
          <c:orientation val="minMax"/>
        </c:scaling>
        <c:delete val="0"/>
        <c:axPos val="b"/>
        <c:numFmt formatCode="mmm\-yy"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5922940"/>
        <c:crosses val="autoZero"/>
        <c:auto val="1"/>
        <c:lblAlgn val="ctr"/>
        <c:lblOffset val="100"/>
        <c:noMultiLvlLbl val="0"/>
      </c:catAx>
      <c:valAx>
        <c:axId val="65922940"/>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a:t>
                </a:r>
              </a:p>
            </c:rich>
          </c:tx>
          <c:overlay val="0"/>
          <c:spPr>
            <a:noFill/>
            <a:ln w="0">
              <a:noFill/>
            </a:ln>
          </c:spPr>
        </c:title>
        <c:numFmt formatCode="\$#,##0;&quot;($&quot;#,##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5460549"/>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Orders per month (new vs repeat)</a:t>
            </a:r>
          </a:p>
        </c:rich>
      </c:tx>
      <c:overlay val="0"/>
      <c:spPr>
        <a:noFill/>
        <a:ln w="0">
          <a:noFill/>
        </a:ln>
      </c:spPr>
    </c:title>
    <c:autoTitleDeleted val="0"/>
    <c:plotArea>
      <c:barChart>
        <c:barDir val="col"/>
        <c:grouping val="stacked"/>
        <c:varyColors val="0"/>
        <c:ser>
          <c:idx val="0"/>
          <c:order val="0"/>
          <c:tx>
            <c:strRef>
              <c:f>"New-customer orders"</c:f>
              <c:strCache>
                <c:ptCount val="1"/>
                <c:pt idx="0">
                  <c:v>New-customer orders</c:v>
                </c:pt>
              </c:strCache>
            </c:strRef>
          </c:tx>
          <c:spPr>
            <a:ln w="12600">
              <a:noFill/>
            </a:ln>
          </c:spPr>
          <c:invertIfNegative val="0"/>
          <c:dLbls>
            <c:txPr>
              <a:bodyPr wrap="none"/>
              <a:lstStyle/>
              <a:p>
                <a:pPr>
                  <a:defRPr sz="1000" b="0" u="none" strike="noStrike">
                    <a:solidFill>
                      <a:srgbClr val="000000"/>
                    </a:solidFill>
                    <a:uFillTx/>
                    <a:latin typeface="Arial"/>
                  </a:defRPr>
                </a:pPr>
              </a:p>
            </c:txPr>
            <c:dLblPos val="ct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Forecast!$D$7:$AM$7</c:f>
              <c:multiLvlStrCache>
                <c:ptCount val="1"/>
                <c:lvl>
                  <c:pt idx="0">
                    <c:v>Oct-29</c:v>
                  </c:pt>
                </c:lvl>
                <c:lvl>
                  <c:pt idx="0">
                    <c:v>Sep-29</c:v>
                  </c:pt>
                </c:lvl>
                <c:lvl>
                  <c:pt idx="0">
                    <c:v>Aug-29</c:v>
                  </c:pt>
                </c:lvl>
                <c:lvl>
                  <c:pt idx="0">
                    <c:v>Jul-29</c:v>
                  </c:pt>
                </c:lvl>
                <c:lvl>
                  <c:pt idx="0">
                    <c:v>Jun-29</c:v>
                  </c:pt>
                </c:lvl>
                <c:lvl>
                  <c:pt idx="0">
                    <c:v>May-29</c:v>
                  </c:pt>
                </c:lvl>
                <c:lvl>
                  <c:pt idx="0">
                    <c:v>Apr-29</c:v>
                  </c:pt>
                </c:lvl>
                <c:lvl>
                  <c:pt idx="0">
                    <c:v>Mar-29</c:v>
                  </c:pt>
                </c:lvl>
                <c:lvl>
                  <c:pt idx="0">
                    <c:v>Feb-29</c:v>
                  </c:pt>
                </c:lvl>
                <c:lvl>
                  <c:pt idx="0">
                    <c:v>Jan-29</c:v>
                  </c:pt>
                </c:lvl>
                <c:lvl>
                  <c:pt idx="0">
                    <c:v>Dec-28</c:v>
                  </c:pt>
                </c:lvl>
                <c:lvl>
                  <c:pt idx="0">
                    <c:v>Nov-28</c:v>
                  </c:pt>
                </c:lvl>
                <c:lvl>
                  <c:pt idx="0">
                    <c:v>Oct-28</c:v>
                  </c:pt>
                </c:lvl>
                <c:lvl>
                  <c:pt idx="0">
                    <c:v>Sep-28</c:v>
                  </c:pt>
                </c:lvl>
                <c:lvl>
                  <c:pt idx="0">
                    <c:v>Aug-28</c:v>
                  </c:pt>
                </c:lvl>
                <c:lvl>
                  <c:pt idx="0">
                    <c:v>Jul-28</c:v>
                  </c:pt>
                </c:lvl>
                <c:lvl>
                  <c:pt idx="0">
                    <c:v>Jun-28</c:v>
                  </c:pt>
                </c:lvl>
                <c:lvl>
                  <c:pt idx="0">
                    <c:v>May-28</c:v>
                  </c:pt>
                </c:lvl>
                <c:lvl>
                  <c:pt idx="0">
                    <c:v>Apr-28</c:v>
                  </c:pt>
                </c:lvl>
                <c:lvl>
                  <c:pt idx="0">
                    <c:v>Mar-28</c:v>
                  </c:pt>
                </c:lvl>
                <c:lvl>
                  <c:pt idx="0">
                    <c:v>Feb-28</c:v>
                  </c:pt>
                </c:lvl>
                <c:lvl>
                  <c:pt idx="0">
                    <c:v>Jan-28</c:v>
                  </c:pt>
                </c:lvl>
                <c:lvl>
                  <c:pt idx="0">
                    <c:v>Dec-27</c:v>
                  </c:pt>
                </c:lvl>
                <c:lvl>
                  <c:pt idx="0">
                    <c:v>Nov-27</c:v>
                  </c:pt>
                </c:lvl>
                <c:lvl>
                  <c:pt idx="0">
                    <c:v>Oct-27</c:v>
                  </c:pt>
                </c:lvl>
                <c:lvl>
                  <c:pt idx="0">
                    <c:v>Sep-27</c:v>
                  </c:pt>
                </c:lvl>
                <c:lvl>
                  <c:pt idx="0">
                    <c:v>Aug-27</c:v>
                  </c:pt>
                </c:lvl>
                <c:lvl>
                  <c:pt idx="0">
                    <c:v>Jul-27</c:v>
                  </c:pt>
                </c:lvl>
                <c:lvl>
                  <c:pt idx="0">
                    <c:v>Jun-27</c:v>
                  </c:pt>
                </c:lvl>
                <c:lvl>
                  <c:pt idx="0">
                    <c:v>May-27</c:v>
                  </c:pt>
                </c:lvl>
                <c:lvl>
                  <c:pt idx="0">
                    <c:v>Apr-27</c:v>
                  </c:pt>
                </c:lvl>
                <c:lvl>
                  <c:pt idx="0">
                    <c:v>Mar-27</c:v>
                  </c:pt>
                </c:lvl>
                <c:lvl>
                  <c:pt idx="0">
                    <c:v>Feb-27</c:v>
                  </c:pt>
                </c:lvl>
                <c:lvl>
                  <c:pt idx="0">
                    <c:v>Jan-27</c:v>
                  </c:pt>
                </c:lvl>
                <c:lvl>
                  <c:pt idx="0">
                    <c:v>Dec-26</c:v>
                  </c:pt>
                </c:lvl>
                <c:lvl>
                  <c:pt idx="0">
                    <c:v>Nov-26</c:v>
                  </c:pt>
                </c:lvl>
              </c:multiLvlStrCache>
            </c:multiLvlStrRef>
          </c:cat>
          <c:val>
            <c:numRef>
              <c:f>Forecast!$D$40:$AM$40</c:f>
              <c:numCache>
                <c:formatCode>#,##0;\(#,##0\);\-</c:formatCode>
                <c:ptCount val="36"/>
                <c:pt idx="0">
                  <c:v>153.542854723708</c:v>
                </c:pt>
                <c:pt idx="1">
                  <c:v>259.307810683112</c:v>
                </c:pt>
                <c:pt idx="2">
                  <c:v>82.8866989596664</c:v>
                </c:pt>
                <c:pt idx="3">
                  <c:v>164.767142904075</c:v>
                </c:pt>
                <c:pt idx="4">
                  <c:v>103.850098438892</c:v>
                </c:pt>
                <c:pt idx="5">
                  <c:v>112.292665670064</c:v>
                </c:pt>
                <c:pt idx="6">
                  <c:v>193.97177907174</c:v>
                </c:pt>
                <c:pt idx="7">
                  <c:v>139.375190157532</c:v>
                </c:pt>
                <c:pt idx="8">
                  <c:v>111.945274067308</c:v>
                </c:pt>
                <c:pt idx="9">
                  <c:v>121.210602260209</c:v>
                </c:pt>
                <c:pt idx="10">
                  <c:v>131.182501426872</c:v>
                </c:pt>
                <c:pt idx="11">
                  <c:v>141.720113513806</c:v>
                </c:pt>
                <c:pt idx="12">
                  <c:v>199.454016180154</c:v>
                </c:pt>
                <c:pt idx="13">
                  <c:v>343.186955696683</c:v>
                </c:pt>
                <c:pt idx="14">
                  <c:v>101.378624879072</c:v>
                </c:pt>
                <c:pt idx="15">
                  <c:v>209.718531406863</c:v>
                </c:pt>
                <c:pt idx="16">
                  <c:v>127.479656791228</c:v>
                </c:pt>
                <c:pt idx="17">
                  <c:v>137.416722154989</c:v>
                </c:pt>
                <c:pt idx="18">
                  <c:v>242.247213130947</c:v>
                </c:pt>
                <c:pt idx="19">
                  <c:v>169.870596491481</c:v>
                </c:pt>
                <c:pt idx="20">
                  <c:v>133.61703854309</c:v>
                </c:pt>
                <c:pt idx="21">
                  <c:v>144.021054055182</c:v>
                </c:pt>
                <c:pt idx="22">
                  <c:v>155.123535182593</c:v>
                </c:pt>
                <c:pt idx="23">
                  <c:v>166.695646786783</c:v>
                </c:pt>
                <c:pt idx="24">
                  <c:v>235.358129229346</c:v>
                </c:pt>
                <c:pt idx="25">
                  <c:v>406.75181982174</c:v>
                </c:pt>
                <c:pt idx="26">
                  <c:v>114.981785272298</c:v>
                </c:pt>
                <c:pt idx="27">
                  <c:v>241.314421041746</c:v>
                </c:pt>
                <c:pt idx="28">
                  <c:v>143.618140739526</c:v>
                </c:pt>
                <c:pt idx="29">
                  <c:v>153.993052088776</c:v>
                </c:pt>
                <c:pt idx="30">
                  <c:v>273.114958978272</c:v>
                </c:pt>
                <c:pt idx="31">
                  <c:v>188.923925736781</c:v>
                </c:pt>
                <c:pt idx="32">
                  <c:v>146.806957745361</c:v>
                </c:pt>
                <c:pt idx="33">
                  <c:v>157.546175656255</c:v>
                </c:pt>
                <c:pt idx="34">
                  <c:v>169.004985809567</c:v>
                </c:pt>
                <c:pt idx="35">
                  <c:v>180.878436731593</c:v>
                </c:pt>
              </c:numCache>
            </c:numRef>
          </c:val>
        </c:ser>
        <c:ser>
          <c:idx val="1"/>
          <c:order val="1"/>
          <c:tx>
            <c:strRef>
              <c:f>"Repeat orders"</c:f>
              <c:strCache>
                <c:ptCount val="1"/>
                <c:pt idx="0">
                  <c:v>Repeat orders</c:v>
                </c:pt>
              </c:strCache>
            </c:strRef>
          </c:tx>
          <c:spPr>
            <a:ln w="12600">
              <a:noFill/>
            </a:ln>
          </c:spPr>
          <c:invertIfNegative val="0"/>
          <c:dLbls>
            <c:txPr>
              <a:bodyPr wrap="none"/>
              <a:lstStyle/>
              <a:p>
                <a:pPr>
                  <a:defRPr sz="1000" b="0" u="none" strike="noStrike">
                    <a:solidFill>
                      <a:srgbClr val="000000"/>
                    </a:solidFill>
                    <a:uFillTx/>
                    <a:latin typeface="Arial"/>
                  </a:defRPr>
                </a:pPr>
              </a:p>
            </c:txPr>
            <c:dLblPos val="ct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Forecast!$D$7:$AM$7</c:f>
              <c:multiLvlStrCache>
                <c:ptCount val="1"/>
                <c:lvl>
                  <c:pt idx="0">
                    <c:v>Oct-29</c:v>
                  </c:pt>
                </c:lvl>
                <c:lvl>
                  <c:pt idx="0">
                    <c:v>Sep-29</c:v>
                  </c:pt>
                </c:lvl>
                <c:lvl>
                  <c:pt idx="0">
                    <c:v>Aug-29</c:v>
                  </c:pt>
                </c:lvl>
                <c:lvl>
                  <c:pt idx="0">
                    <c:v>Jul-29</c:v>
                  </c:pt>
                </c:lvl>
                <c:lvl>
                  <c:pt idx="0">
                    <c:v>Jun-29</c:v>
                  </c:pt>
                </c:lvl>
                <c:lvl>
                  <c:pt idx="0">
                    <c:v>May-29</c:v>
                  </c:pt>
                </c:lvl>
                <c:lvl>
                  <c:pt idx="0">
                    <c:v>Apr-29</c:v>
                  </c:pt>
                </c:lvl>
                <c:lvl>
                  <c:pt idx="0">
                    <c:v>Mar-29</c:v>
                  </c:pt>
                </c:lvl>
                <c:lvl>
                  <c:pt idx="0">
                    <c:v>Feb-29</c:v>
                  </c:pt>
                </c:lvl>
                <c:lvl>
                  <c:pt idx="0">
                    <c:v>Jan-29</c:v>
                  </c:pt>
                </c:lvl>
                <c:lvl>
                  <c:pt idx="0">
                    <c:v>Dec-28</c:v>
                  </c:pt>
                </c:lvl>
                <c:lvl>
                  <c:pt idx="0">
                    <c:v>Nov-28</c:v>
                  </c:pt>
                </c:lvl>
                <c:lvl>
                  <c:pt idx="0">
                    <c:v>Oct-28</c:v>
                  </c:pt>
                </c:lvl>
                <c:lvl>
                  <c:pt idx="0">
                    <c:v>Sep-28</c:v>
                  </c:pt>
                </c:lvl>
                <c:lvl>
                  <c:pt idx="0">
                    <c:v>Aug-28</c:v>
                  </c:pt>
                </c:lvl>
                <c:lvl>
                  <c:pt idx="0">
                    <c:v>Jul-28</c:v>
                  </c:pt>
                </c:lvl>
                <c:lvl>
                  <c:pt idx="0">
                    <c:v>Jun-28</c:v>
                  </c:pt>
                </c:lvl>
                <c:lvl>
                  <c:pt idx="0">
                    <c:v>May-28</c:v>
                  </c:pt>
                </c:lvl>
                <c:lvl>
                  <c:pt idx="0">
                    <c:v>Apr-28</c:v>
                  </c:pt>
                </c:lvl>
                <c:lvl>
                  <c:pt idx="0">
                    <c:v>Mar-28</c:v>
                  </c:pt>
                </c:lvl>
                <c:lvl>
                  <c:pt idx="0">
                    <c:v>Feb-28</c:v>
                  </c:pt>
                </c:lvl>
                <c:lvl>
                  <c:pt idx="0">
                    <c:v>Jan-28</c:v>
                  </c:pt>
                </c:lvl>
                <c:lvl>
                  <c:pt idx="0">
                    <c:v>Dec-27</c:v>
                  </c:pt>
                </c:lvl>
                <c:lvl>
                  <c:pt idx="0">
                    <c:v>Nov-27</c:v>
                  </c:pt>
                </c:lvl>
                <c:lvl>
                  <c:pt idx="0">
                    <c:v>Oct-27</c:v>
                  </c:pt>
                </c:lvl>
                <c:lvl>
                  <c:pt idx="0">
                    <c:v>Sep-27</c:v>
                  </c:pt>
                </c:lvl>
                <c:lvl>
                  <c:pt idx="0">
                    <c:v>Aug-27</c:v>
                  </c:pt>
                </c:lvl>
                <c:lvl>
                  <c:pt idx="0">
                    <c:v>Jul-27</c:v>
                  </c:pt>
                </c:lvl>
                <c:lvl>
                  <c:pt idx="0">
                    <c:v>Jun-27</c:v>
                  </c:pt>
                </c:lvl>
                <c:lvl>
                  <c:pt idx="0">
                    <c:v>May-27</c:v>
                  </c:pt>
                </c:lvl>
                <c:lvl>
                  <c:pt idx="0">
                    <c:v>Apr-27</c:v>
                  </c:pt>
                </c:lvl>
                <c:lvl>
                  <c:pt idx="0">
                    <c:v>Mar-27</c:v>
                  </c:pt>
                </c:lvl>
                <c:lvl>
                  <c:pt idx="0">
                    <c:v>Feb-27</c:v>
                  </c:pt>
                </c:lvl>
                <c:lvl>
                  <c:pt idx="0">
                    <c:v>Jan-27</c:v>
                  </c:pt>
                </c:lvl>
                <c:lvl>
                  <c:pt idx="0">
                    <c:v>Dec-26</c:v>
                  </c:pt>
                </c:lvl>
                <c:lvl>
                  <c:pt idx="0">
                    <c:v>Nov-26</c:v>
                  </c:pt>
                </c:lvl>
              </c:multiLvlStrCache>
            </c:multiLvlStrRef>
          </c:cat>
          <c:val>
            <c:numRef>
              <c:f>Forecast!$D$42:$AM$42</c:f>
              <c:numCache>
                <c:formatCode>#,##0;\(#,##0\);\-</c:formatCode>
                <c:ptCount val="36"/>
                <c:pt idx="0">
                  <c:v>0</c:v>
                </c:pt>
                <c:pt idx="1">
                  <c:v>8.50883319927213</c:v>
                </c:pt>
                <c:pt idx="2">
                  <c:v>8.42903441872257</c:v>
                </c:pt>
                <c:pt idx="3">
                  <c:v>18.7967083988959</c:v>
                </c:pt>
                <c:pt idx="4">
                  <c:v>16.3750075760827</c:v>
                </c:pt>
                <c:pt idx="5">
                  <c:v>20.0643083998731</c:v>
                </c:pt>
                <c:pt idx="6">
                  <c:v>35.7964302479969</c:v>
                </c:pt>
                <c:pt idx="7">
                  <c:v>32.7877084200698</c:v>
                </c:pt>
                <c:pt idx="8">
                  <c:v>29.9977738817595</c:v>
                </c:pt>
                <c:pt idx="9">
                  <c:v>34.7009122602475</c:v>
                </c:pt>
                <c:pt idx="10">
                  <c:v>39.9872844901101</c:v>
                </c:pt>
                <c:pt idx="11">
                  <c:v>45.9180347022594</c:v>
                </c:pt>
                <c:pt idx="12">
                  <c:v>65.0669994170023</c:v>
                </c:pt>
                <c:pt idx="13">
                  <c:v>106.150998954833</c:v>
                </c:pt>
                <c:pt idx="14">
                  <c:v>46.1149964516405</c:v>
                </c:pt>
                <c:pt idx="15">
                  <c:v>89.4860757939972</c:v>
                </c:pt>
                <c:pt idx="16">
                  <c:v>63.7093984051523</c:v>
                </c:pt>
                <c:pt idx="17">
                  <c:v>70.8033510668133</c:v>
                </c:pt>
                <c:pt idx="18">
                  <c:v>115.749728925261</c:v>
                </c:pt>
                <c:pt idx="19">
                  <c:v>94.2311175960807</c:v>
                </c:pt>
                <c:pt idx="20">
                  <c:v>80.4937084967499</c:v>
                </c:pt>
                <c:pt idx="21">
                  <c:v>88.7360797877266</c:v>
                </c:pt>
                <c:pt idx="22">
                  <c:v>97.6564453709349</c:v>
                </c:pt>
                <c:pt idx="23">
                  <c:v>107.32069472802</c:v>
                </c:pt>
                <c:pt idx="24">
                  <c:v>145.837446420425</c:v>
                </c:pt>
                <c:pt idx="25">
                  <c:v>226.189800070799</c:v>
                </c:pt>
                <c:pt idx="26">
                  <c:v>91.6376005579706</c:v>
                </c:pt>
                <c:pt idx="27">
                  <c:v>174.543841346854</c:v>
                </c:pt>
                <c:pt idx="28">
                  <c:v>120.1074060305</c:v>
                </c:pt>
                <c:pt idx="29">
                  <c:v>130.942523756119</c:v>
                </c:pt>
                <c:pt idx="30">
                  <c:v>209.976419914254</c:v>
                </c:pt>
                <c:pt idx="31">
                  <c:v>165.8464605544</c:v>
                </c:pt>
                <c:pt idx="32">
                  <c:v>138.940397536262</c:v>
                </c:pt>
                <c:pt idx="33">
                  <c:v>150.967044738035</c:v>
                </c:pt>
                <c:pt idx="34">
                  <c:v>163.719444729512</c:v>
                </c:pt>
                <c:pt idx="35">
                  <c:v>177.265569696125</c:v>
                </c:pt>
              </c:numCache>
            </c:numRef>
          </c:val>
        </c:ser>
        <c:gapWidth val="150"/>
        <c:overlap val="100"/>
        <c:axId val="91791809"/>
        <c:axId val="63846084"/>
      </c:barChart>
      <c:catAx>
        <c:axId val="91791809"/>
        <c:scaling>
          <c:orientation val="minMax"/>
        </c:scaling>
        <c:delete val="0"/>
        <c:axPos val="b"/>
        <c:numFmt formatCode="mmm\-yy"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3846084"/>
        <c:crosses val="autoZero"/>
        <c:auto val="1"/>
        <c:lblAlgn val="ctr"/>
        <c:lblOffset val="100"/>
        <c:noMultiLvlLbl val="0"/>
      </c:catAx>
      <c:valAx>
        <c:axId val="63846084"/>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orders</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1791809"/>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Visits by source (paid = budget / CPC)</a:t>
            </a:r>
          </a:p>
        </c:rich>
      </c:tx>
      <c:overlay val="0"/>
      <c:spPr>
        <a:noFill/>
        <a:ln w="0">
          <a:noFill/>
        </a:ln>
      </c:spPr>
    </c:title>
    <c:autoTitleDeleted val="0"/>
    <c:plotArea>
      <c:barChart>
        <c:barDir val="col"/>
        <c:grouping val="stacked"/>
        <c:varyColors val="0"/>
        <c:ser>
          <c:idx val="0"/>
          <c:order val="0"/>
          <c:tx>
            <c:strRef>
              <c:f>"Paid"</c:f>
              <c:strCache>
                <c:ptCount val="1"/>
                <c:pt idx="0">
                  <c:v>Paid</c:v>
                </c:pt>
              </c:strCache>
            </c:strRef>
          </c:tx>
          <c:spPr>
            <a:ln w="12600">
              <a:noFill/>
            </a:ln>
          </c:spPr>
          <c:invertIfNegative val="0"/>
          <c:dLbls>
            <c:txPr>
              <a:bodyPr wrap="none"/>
              <a:lstStyle/>
              <a:p>
                <a:pPr>
                  <a:defRPr sz="1000" b="0" u="none" strike="noStrike">
                    <a:solidFill>
                      <a:srgbClr val="000000"/>
                    </a:solidFill>
                    <a:uFillTx/>
                    <a:latin typeface="Arial"/>
                  </a:defRPr>
                </a:pPr>
              </a:p>
            </c:txPr>
            <c:dLblPos val="ct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Forecast!$D$7:$AM$7</c:f>
              <c:multiLvlStrCache>
                <c:ptCount val="1"/>
                <c:lvl>
                  <c:pt idx="0">
                    <c:v>Oct-29</c:v>
                  </c:pt>
                </c:lvl>
                <c:lvl>
                  <c:pt idx="0">
                    <c:v>Sep-29</c:v>
                  </c:pt>
                </c:lvl>
                <c:lvl>
                  <c:pt idx="0">
                    <c:v>Aug-29</c:v>
                  </c:pt>
                </c:lvl>
                <c:lvl>
                  <c:pt idx="0">
                    <c:v>Jul-29</c:v>
                  </c:pt>
                </c:lvl>
                <c:lvl>
                  <c:pt idx="0">
                    <c:v>Jun-29</c:v>
                  </c:pt>
                </c:lvl>
                <c:lvl>
                  <c:pt idx="0">
                    <c:v>May-29</c:v>
                  </c:pt>
                </c:lvl>
                <c:lvl>
                  <c:pt idx="0">
                    <c:v>Apr-29</c:v>
                  </c:pt>
                </c:lvl>
                <c:lvl>
                  <c:pt idx="0">
                    <c:v>Mar-29</c:v>
                  </c:pt>
                </c:lvl>
                <c:lvl>
                  <c:pt idx="0">
                    <c:v>Feb-29</c:v>
                  </c:pt>
                </c:lvl>
                <c:lvl>
                  <c:pt idx="0">
                    <c:v>Jan-29</c:v>
                  </c:pt>
                </c:lvl>
                <c:lvl>
                  <c:pt idx="0">
                    <c:v>Dec-28</c:v>
                  </c:pt>
                </c:lvl>
                <c:lvl>
                  <c:pt idx="0">
                    <c:v>Nov-28</c:v>
                  </c:pt>
                </c:lvl>
                <c:lvl>
                  <c:pt idx="0">
                    <c:v>Oct-28</c:v>
                  </c:pt>
                </c:lvl>
                <c:lvl>
                  <c:pt idx="0">
                    <c:v>Sep-28</c:v>
                  </c:pt>
                </c:lvl>
                <c:lvl>
                  <c:pt idx="0">
                    <c:v>Aug-28</c:v>
                  </c:pt>
                </c:lvl>
                <c:lvl>
                  <c:pt idx="0">
                    <c:v>Jul-28</c:v>
                  </c:pt>
                </c:lvl>
                <c:lvl>
                  <c:pt idx="0">
                    <c:v>Jun-28</c:v>
                  </c:pt>
                </c:lvl>
                <c:lvl>
                  <c:pt idx="0">
                    <c:v>May-28</c:v>
                  </c:pt>
                </c:lvl>
                <c:lvl>
                  <c:pt idx="0">
                    <c:v>Apr-28</c:v>
                  </c:pt>
                </c:lvl>
                <c:lvl>
                  <c:pt idx="0">
                    <c:v>Mar-28</c:v>
                  </c:pt>
                </c:lvl>
                <c:lvl>
                  <c:pt idx="0">
                    <c:v>Feb-28</c:v>
                  </c:pt>
                </c:lvl>
                <c:lvl>
                  <c:pt idx="0">
                    <c:v>Jan-28</c:v>
                  </c:pt>
                </c:lvl>
                <c:lvl>
                  <c:pt idx="0">
                    <c:v>Dec-27</c:v>
                  </c:pt>
                </c:lvl>
                <c:lvl>
                  <c:pt idx="0">
                    <c:v>Nov-27</c:v>
                  </c:pt>
                </c:lvl>
                <c:lvl>
                  <c:pt idx="0">
                    <c:v>Oct-27</c:v>
                  </c:pt>
                </c:lvl>
                <c:lvl>
                  <c:pt idx="0">
                    <c:v>Sep-27</c:v>
                  </c:pt>
                </c:lvl>
                <c:lvl>
                  <c:pt idx="0">
                    <c:v>Aug-27</c:v>
                  </c:pt>
                </c:lvl>
                <c:lvl>
                  <c:pt idx="0">
                    <c:v>Jul-27</c:v>
                  </c:pt>
                </c:lvl>
                <c:lvl>
                  <c:pt idx="0">
                    <c:v>Jun-27</c:v>
                  </c:pt>
                </c:lvl>
                <c:lvl>
                  <c:pt idx="0">
                    <c:v>May-27</c:v>
                  </c:pt>
                </c:lvl>
                <c:lvl>
                  <c:pt idx="0">
                    <c:v>Apr-27</c:v>
                  </c:pt>
                </c:lvl>
                <c:lvl>
                  <c:pt idx="0">
                    <c:v>Mar-27</c:v>
                  </c:pt>
                </c:lvl>
                <c:lvl>
                  <c:pt idx="0">
                    <c:v>Feb-27</c:v>
                  </c:pt>
                </c:lvl>
                <c:lvl>
                  <c:pt idx="0">
                    <c:v>Jan-27</c:v>
                  </c:pt>
                </c:lvl>
                <c:lvl>
                  <c:pt idx="0">
                    <c:v>Dec-26</c:v>
                  </c:pt>
                </c:lvl>
                <c:lvl>
                  <c:pt idx="0">
                    <c:v>Nov-26</c:v>
                  </c:pt>
                </c:lvl>
              </c:multiLvlStrCache>
            </c:multiLvlStrRef>
          </c:cat>
          <c:val>
            <c:numRef>
              <c:f>Forecast!$D$26:$AM$26</c:f>
              <c:numCache>
                <c:formatCode>#,##0;\(#,##0\);\-</c:formatCode>
                <c:ptCount val="36"/>
                <c:pt idx="0">
                  <c:v>10460.3556574145</c:v>
                </c:pt>
                <c:pt idx="1">
                  <c:v>13189.1440897835</c:v>
                </c:pt>
                <c:pt idx="2">
                  <c:v>7731.56722504549</c:v>
                </c:pt>
                <c:pt idx="3">
                  <c:v>10460.3556574145</c:v>
                </c:pt>
                <c:pt idx="4">
                  <c:v>8413.76433313774</c:v>
                </c:pt>
                <c:pt idx="5">
                  <c:v>8641.16336916849</c:v>
                </c:pt>
                <c:pt idx="6">
                  <c:v>10915.153729476</c:v>
                </c:pt>
                <c:pt idx="7">
                  <c:v>9323.36047726073</c:v>
                </c:pt>
                <c:pt idx="8">
                  <c:v>8413.76433313774</c:v>
                </c:pt>
                <c:pt idx="9">
                  <c:v>8641.16336916849</c:v>
                </c:pt>
                <c:pt idx="10">
                  <c:v>8868.56240519923</c:v>
                </c:pt>
                <c:pt idx="11">
                  <c:v>9095.96144122998</c:v>
                </c:pt>
                <c:pt idx="12">
                  <c:v>10460.3556574145</c:v>
                </c:pt>
                <c:pt idx="13">
                  <c:v>13189.1440897835</c:v>
                </c:pt>
                <c:pt idx="14">
                  <c:v>7731.56722504549</c:v>
                </c:pt>
                <c:pt idx="15">
                  <c:v>10460.3556574145</c:v>
                </c:pt>
                <c:pt idx="16">
                  <c:v>8413.76433313774</c:v>
                </c:pt>
                <c:pt idx="17">
                  <c:v>8641.16336916849</c:v>
                </c:pt>
                <c:pt idx="18">
                  <c:v>10915.153729476</c:v>
                </c:pt>
                <c:pt idx="19">
                  <c:v>9323.36047726073</c:v>
                </c:pt>
                <c:pt idx="20">
                  <c:v>8413.76433313774</c:v>
                </c:pt>
                <c:pt idx="21">
                  <c:v>8641.16336916849</c:v>
                </c:pt>
                <c:pt idx="22">
                  <c:v>8868.56240519923</c:v>
                </c:pt>
                <c:pt idx="23">
                  <c:v>9095.96144122998</c:v>
                </c:pt>
                <c:pt idx="24">
                  <c:v>10460.3556574145</c:v>
                </c:pt>
                <c:pt idx="25">
                  <c:v>13189.1440897835</c:v>
                </c:pt>
                <c:pt idx="26">
                  <c:v>7731.56722504549</c:v>
                </c:pt>
                <c:pt idx="27">
                  <c:v>10460.3556574145</c:v>
                </c:pt>
                <c:pt idx="28">
                  <c:v>8413.76433313774</c:v>
                </c:pt>
                <c:pt idx="29">
                  <c:v>8641.16336916849</c:v>
                </c:pt>
                <c:pt idx="30">
                  <c:v>10915.153729476</c:v>
                </c:pt>
                <c:pt idx="31">
                  <c:v>9323.36047726073</c:v>
                </c:pt>
                <c:pt idx="32">
                  <c:v>8413.76433313774</c:v>
                </c:pt>
                <c:pt idx="33">
                  <c:v>8641.16336916849</c:v>
                </c:pt>
                <c:pt idx="34">
                  <c:v>8868.56240519923</c:v>
                </c:pt>
                <c:pt idx="35">
                  <c:v>9095.96144122998</c:v>
                </c:pt>
              </c:numCache>
            </c:numRef>
          </c:val>
        </c:ser>
        <c:ser>
          <c:idx val="1"/>
          <c:order val="1"/>
          <c:tx>
            <c:strRef>
              <c:f>"Organic"</c:f>
              <c:strCache>
                <c:ptCount val="1"/>
                <c:pt idx="0">
                  <c:v>Organic</c:v>
                </c:pt>
              </c:strCache>
            </c:strRef>
          </c:tx>
          <c:spPr>
            <a:ln w="12600">
              <a:noFill/>
            </a:ln>
          </c:spPr>
          <c:invertIfNegative val="0"/>
          <c:dLbls>
            <c:txPr>
              <a:bodyPr wrap="none"/>
              <a:lstStyle/>
              <a:p>
                <a:pPr>
                  <a:defRPr sz="1000" b="0" u="none" strike="noStrike">
                    <a:solidFill>
                      <a:srgbClr val="000000"/>
                    </a:solidFill>
                    <a:uFillTx/>
                    <a:latin typeface="Arial"/>
                  </a:defRPr>
                </a:pPr>
              </a:p>
            </c:txPr>
            <c:dLblPos val="ct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Forecast!$D$7:$AM$7</c:f>
              <c:multiLvlStrCache>
                <c:ptCount val="1"/>
                <c:lvl>
                  <c:pt idx="0">
                    <c:v>Oct-29</c:v>
                  </c:pt>
                </c:lvl>
                <c:lvl>
                  <c:pt idx="0">
                    <c:v>Sep-29</c:v>
                  </c:pt>
                </c:lvl>
                <c:lvl>
                  <c:pt idx="0">
                    <c:v>Aug-29</c:v>
                  </c:pt>
                </c:lvl>
                <c:lvl>
                  <c:pt idx="0">
                    <c:v>Jul-29</c:v>
                  </c:pt>
                </c:lvl>
                <c:lvl>
                  <c:pt idx="0">
                    <c:v>Jun-29</c:v>
                  </c:pt>
                </c:lvl>
                <c:lvl>
                  <c:pt idx="0">
                    <c:v>May-29</c:v>
                  </c:pt>
                </c:lvl>
                <c:lvl>
                  <c:pt idx="0">
                    <c:v>Apr-29</c:v>
                  </c:pt>
                </c:lvl>
                <c:lvl>
                  <c:pt idx="0">
                    <c:v>Mar-29</c:v>
                  </c:pt>
                </c:lvl>
                <c:lvl>
                  <c:pt idx="0">
                    <c:v>Feb-29</c:v>
                  </c:pt>
                </c:lvl>
                <c:lvl>
                  <c:pt idx="0">
                    <c:v>Jan-29</c:v>
                  </c:pt>
                </c:lvl>
                <c:lvl>
                  <c:pt idx="0">
                    <c:v>Dec-28</c:v>
                  </c:pt>
                </c:lvl>
                <c:lvl>
                  <c:pt idx="0">
                    <c:v>Nov-28</c:v>
                  </c:pt>
                </c:lvl>
                <c:lvl>
                  <c:pt idx="0">
                    <c:v>Oct-28</c:v>
                  </c:pt>
                </c:lvl>
                <c:lvl>
                  <c:pt idx="0">
                    <c:v>Sep-28</c:v>
                  </c:pt>
                </c:lvl>
                <c:lvl>
                  <c:pt idx="0">
                    <c:v>Aug-28</c:v>
                  </c:pt>
                </c:lvl>
                <c:lvl>
                  <c:pt idx="0">
                    <c:v>Jul-28</c:v>
                  </c:pt>
                </c:lvl>
                <c:lvl>
                  <c:pt idx="0">
                    <c:v>Jun-28</c:v>
                  </c:pt>
                </c:lvl>
                <c:lvl>
                  <c:pt idx="0">
                    <c:v>May-28</c:v>
                  </c:pt>
                </c:lvl>
                <c:lvl>
                  <c:pt idx="0">
                    <c:v>Apr-28</c:v>
                  </c:pt>
                </c:lvl>
                <c:lvl>
                  <c:pt idx="0">
                    <c:v>Mar-28</c:v>
                  </c:pt>
                </c:lvl>
                <c:lvl>
                  <c:pt idx="0">
                    <c:v>Feb-28</c:v>
                  </c:pt>
                </c:lvl>
                <c:lvl>
                  <c:pt idx="0">
                    <c:v>Jan-28</c:v>
                  </c:pt>
                </c:lvl>
                <c:lvl>
                  <c:pt idx="0">
                    <c:v>Dec-27</c:v>
                  </c:pt>
                </c:lvl>
                <c:lvl>
                  <c:pt idx="0">
                    <c:v>Nov-27</c:v>
                  </c:pt>
                </c:lvl>
                <c:lvl>
                  <c:pt idx="0">
                    <c:v>Oct-27</c:v>
                  </c:pt>
                </c:lvl>
                <c:lvl>
                  <c:pt idx="0">
                    <c:v>Sep-27</c:v>
                  </c:pt>
                </c:lvl>
                <c:lvl>
                  <c:pt idx="0">
                    <c:v>Aug-27</c:v>
                  </c:pt>
                </c:lvl>
                <c:lvl>
                  <c:pt idx="0">
                    <c:v>Jul-27</c:v>
                  </c:pt>
                </c:lvl>
                <c:lvl>
                  <c:pt idx="0">
                    <c:v>Jun-27</c:v>
                  </c:pt>
                </c:lvl>
                <c:lvl>
                  <c:pt idx="0">
                    <c:v>May-27</c:v>
                  </c:pt>
                </c:lvl>
                <c:lvl>
                  <c:pt idx="0">
                    <c:v>Apr-27</c:v>
                  </c:pt>
                </c:lvl>
                <c:lvl>
                  <c:pt idx="0">
                    <c:v>Mar-27</c:v>
                  </c:pt>
                </c:lvl>
                <c:lvl>
                  <c:pt idx="0">
                    <c:v>Feb-27</c:v>
                  </c:pt>
                </c:lvl>
                <c:lvl>
                  <c:pt idx="0">
                    <c:v>Jan-27</c:v>
                  </c:pt>
                </c:lvl>
                <c:lvl>
                  <c:pt idx="0">
                    <c:v>Dec-26</c:v>
                  </c:pt>
                </c:lvl>
                <c:lvl>
                  <c:pt idx="0">
                    <c:v>Nov-26</c:v>
                  </c:pt>
                </c:lvl>
              </c:multiLvlStrCache>
            </c:multiLvlStrRef>
          </c:cat>
          <c:val>
            <c:numRef>
              <c:f>Forecast!$D$28:$AM$28</c:f>
              <c:numCache>
                <c:formatCode>#,##0;\(#,##0\);\-</c:formatCode>
                <c:ptCount val="36"/>
                <c:pt idx="0">
                  <c:v>2600</c:v>
                </c:pt>
                <c:pt idx="1">
                  <c:v>4224.08</c:v>
                </c:pt>
                <c:pt idx="2">
                  <c:v>1717.75903712</c:v>
                </c:pt>
                <c:pt idx="3">
                  <c:v>3498.04374737719</c:v>
                </c:pt>
                <c:pt idx="4">
                  <c:v>2492.49422170196</c:v>
                </c:pt>
                <c:pt idx="5">
                  <c:v>2859.43143237058</c:v>
                </c:pt>
                <c:pt idx="6">
                  <c:v>4793.34227619224</c:v>
                </c:pt>
                <c:pt idx="7">
                  <c:v>3854.58094700762</c:v>
                </c:pt>
                <c:pt idx="8">
                  <c:v>3329.90766657412</c:v>
                </c:pt>
                <c:pt idx="9">
                  <c:v>3745.9674732449</c:v>
                </c:pt>
                <c:pt idx="10">
                  <c:v>4183.72116148788</c:v>
                </c:pt>
                <c:pt idx="11">
                  <c:v>4641.78325153359</c:v>
                </c:pt>
                <c:pt idx="12">
                  <c:v>6337.43141910948</c:v>
                </c:pt>
                <c:pt idx="13">
                  <c:v>9695.0959836659</c:v>
                </c:pt>
                <c:pt idx="14">
                  <c:v>3727.05865766716</c:v>
                </c:pt>
                <c:pt idx="15">
                  <c:v>7201.34465369722</c:v>
                </c:pt>
                <c:pt idx="16">
                  <c:v>4885.4999217755</c:v>
                </c:pt>
                <c:pt idx="17">
                  <c:v>5353.65127440676</c:v>
                </c:pt>
                <c:pt idx="18">
                  <c:v>8598.55316247743</c:v>
                </c:pt>
                <c:pt idx="19">
                  <c:v>6643.82926617162</c:v>
                </c:pt>
                <c:pt idx="20">
                  <c:v>5529.51587697673</c:v>
                </c:pt>
                <c:pt idx="21">
                  <c:v>6007.83170176765</c:v>
                </c:pt>
                <c:pt idx="22">
                  <c:v>6495.77193864303</c:v>
                </c:pt>
                <c:pt idx="23">
                  <c:v>6992.24995085793</c:v>
                </c:pt>
                <c:pt idx="24">
                  <c:v>9281.05645374163</c:v>
                </c:pt>
                <c:pt idx="25">
                  <c:v>13829.8753868883</c:v>
                </c:pt>
                <c:pt idx="26">
                  <c:v>5187.87902265211</c:v>
                </c:pt>
                <c:pt idx="27">
                  <c:v>9797.58308770957</c:v>
                </c:pt>
                <c:pt idx="28">
                  <c:v>6506.87437967249</c:v>
                </c:pt>
                <c:pt idx="29">
                  <c:v>6990.41364684763</c:v>
                </c:pt>
                <c:pt idx="30">
                  <c:v>11021.9074130666</c:v>
                </c:pt>
                <c:pt idx="31">
                  <c:v>8371.01586621106</c:v>
                </c:pt>
                <c:pt idx="32">
                  <c:v>6856.27062416778</c:v>
                </c:pt>
                <c:pt idx="33">
                  <c:v>7339.01898681878</c:v>
                </c:pt>
                <c:pt idx="34">
                  <c:v>7825.57754196709</c:v>
                </c:pt>
                <c:pt idx="35">
                  <c:v>8315.41101511867</c:v>
                </c:pt>
              </c:numCache>
            </c:numRef>
          </c:val>
        </c:ser>
        <c:ser>
          <c:idx val="2"/>
          <c:order val="2"/>
          <c:tx>
            <c:strRef>
              <c:f>"Referral"</c:f>
              <c:strCache>
                <c:ptCount val="1"/>
                <c:pt idx="0">
                  <c:v>Referral</c:v>
                </c:pt>
              </c:strCache>
            </c:strRef>
          </c:tx>
          <c:spPr>
            <a:ln w="12600">
              <a:noFill/>
            </a:ln>
          </c:spPr>
          <c:invertIfNegative val="0"/>
          <c:dLbls>
            <c:txPr>
              <a:bodyPr wrap="none"/>
              <a:lstStyle/>
              <a:p>
                <a:pPr>
                  <a:defRPr sz="1000" b="0" u="none" strike="noStrike">
                    <a:solidFill>
                      <a:srgbClr val="000000"/>
                    </a:solidFill>
                    <a:uFillTx/>
                    <a:latin typeface="Arial"/>
                  </a:defRPr>
                </a:pPr>
              </a:p>
            </c:txPr>
            <c:dLblPos val="ct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Forecast!$D$7:$AM$7</c:f>
              <c:multiLvlStrCache>
                <c:ptCount val="1"/>
                <c:lvl>
                  <c:pt idx="0">
                    <c:v>Oct-29</c:v>
                  </c:pt>
                </c:lvl>
                <c:lvl>
                  <c:pt idx="0">
                    <c:v>Sep-29</c:v>
                  </c:pt>
                </c:lvl>
                <c:lvl>
                  <c:pt idx="0">
                    <c:v>Aug-29</c:v>
                  </c:pt>
                </c:lvl>
                <c:lvl>
                  <c:pt idx="0">
                    <c:v>Jul-29</c:v>
                  </c:pt>
                </c:lvl>
                <c:lvl>
                  <c:pt idx="0">
                    <c:v>Jun-29</c:v>
                  </c:pt>
                </c:lvl>
                <c:lvl>
                  <c:pt idx="0">
                    <c:v>May-29</c:v>
                  </c:pt>
                </c:lvl>
                <c:lvl>
                  <c:pt idx="0">
                    <c:v>Apr-29</c:v>
                  </c:pt>
                </c:lvl>
                <c:lvl>
                  <c:pt idx="0">
                    <c:v>Mar-29</c:v>
                  </c:pt>
                </c:lvl>
                <c:lvl>
                  <c:pt idx="0">
                    <c:v>Feb-29</c:v>
                  </c:pt>
                </c:lvl>
                <c:lvl>
                  <c:pt idx="0">
                    <c:v>Jan-29</c:v>
                  </c:pt>
                </c:lvl>
                <c:lvl>
                  <c:pt idx="0">
                    <c:v>Dec-28</c:v>
                  </c:pt>
                </c:lvl>
                <c:lvl>
                  <c:pt idx="0">
                    <c:v>Nov-28</c:v>
                  </c:pt>
                </c:lvl>
                <c:lvl>
                  <c:pt idx="0">
                    <c:v>Oct-28</c:v>
                  </c:pt>
                </c:lvl>
                <c:lvl>
                  <c:pt idx="0">
                    <c:v>Sep-28</c:v>
                  </c:pt>
                </c:lvl>
                <c:lvl>
                  <c:pt idx="0">
                    <c:v>Aug-28</c:v>
                  </c:pt>
                </c:lvl>
                <c:lvl>
                  <c:pt idx="0">
                    <c:v>Jul-28</c:v>
                  </c:pt>
                </c:lvl>
                <c:lvl>
                  <c:pt idx="0">
                    <c:v>Jun-28</c:v>
                  </c:pt>
                </c:lvl>
                <c:lvl>
                  <c:pt idx="0">
                    <c:v>May-28</c:v>
                  </c:pt>
                </c:lvl>
                <c:lvl>
                  <c:pt idx="0">
                    <c:v>Apr-28</c:v>
                  </c:pt>
                </c:lvl>
                <c:lvl>
                  <c:pt idx="0">
                    <c:v>Mar-28</c:v>
                  </c:pt>
                </c:lvl>
                <c:lvl>
                  <c:pt idx="0">
                    <c:v>Feb-28</c:v>
                  </c:pt>
                </c:lvl>
                <c:lvl>
                  <c:pt idx="0">
                    <c:v>Jan-28</c:v>
                  </c:pt>
                </c:lvl>
                <c:lvl>
                  <c:pt idx="0">
                    <c:v>Dec-27</c:v>
                  </c:pt>
                </c:lvl>
                <c:lvl>
                  <c:pt idx="0">
                    <c:v>Nov-27</c:v>
                  </c:pt>
                </c:lvl>
                <c:lvl>
                  <c:pt idx="0">
                    <c:v>Oct-27</c:v>
                  </c:pt>
                </c:lvl>
                <c:lvl>
                  <c:pt idx="0">
                    <c:v>Sep-27</c:v>
                  </c:pt>
                </c:lvl>
                <c:lvl>
                  <c:pt idx="0">
                    <c:v>Aug-27</c:v>
                  </c:pt>
                </c:lvl>
                <c:lvl>
                  <c:pt idx="0">
                    <c:v>Jul-27</c:v>
                  </c:pt>
                </c:lvl>
                <c:lvl>
                  <c:pt idx="0">
                    <c:v>Jun-27</c:v>
                  </c:pt>
                </c:lvl>
                <c:lvl>
                  <c:pt idx="0">
                    <c:v>May-27</c:v>
                  </c:pt>
                </c:lvl>
                <c:lvl>
                  <c:pt idx="0">
                    <c:v>Apr-27</c:v>
                  </c:pt>
                </c:lvl>
                <c:lvl>
                  <c:pt idx="0">
                    <c:v>Mar-27</c:v>
                  </c:pt>
                </c:lvl>
                <c:lvl>
                  <c:pt idx="0">
                    <c:v>Feb-27</c:v>
                  </c:pt>
                </c:lvl>
                <c:lvl>
                  <c:pt idx="0">
                    <c:v>Jan-27</c:v>
                  </c:pt>
                </c:lvl>
                <c:lvl>
                  <c:pt idx="0">
                    <c:v>Dec-26</c:v>
                  </c:pt>
                </c:lvl>
                <c:lvl>
                  <c:pt idx="0">
                    <c:v>Nov-26</c:v>
                  </c:pt>
                </c:lvl>
              </c:multiLvlStrCache>
            </c:multiLvlStrRef>
          </c:cat>
          <c:val>
            <c:numRef>
              <c:f>Forecast!$D$29:$AM$29</c:f>
              <c:numCache>
                <c:formatCode>#,##0;\(#,##0\);\-</c:formatCode>
                <c:ptCount val="36"/>
                <c:pt idx="0">
                  <c:v>0</c:v>
                </c:pt>
                <c:pt idx="1">
                  <c:v>52.9722848796791</c:v>
                </c:pt>
                <c:pt idx="2">
                  <c:v>92.3967421394225</c:v>
                </c:pt>
                <c:pt idx="3">
                  <c:v>31.5039280155442</c:v>
                </c:pt>
                <c:pt idx="4">
                  <c:v>63.3295286995249</c:v>
                </c:pt>
                <c:pt idx="5">
                  <c:v>41.4776615751661</c:v>
                </c:pt>
                <c:pt idx="6">
                  <c:v>45.6631560541284</c:v>
                </c:pt>
                <c:pt idx="7">
                  <c:v>79.2700322153093</c:v>
                </c:pt>
                <c:pt idx="8">
                  <c:v>59.3962000092725</c:v>
                </c:pt>
                <c:pt idx="9">
                  <c:v>48.9703515424284</c:v>
                </c:pt>
                <c:pt idx="10">
                  <c:v>53.7894725095576</c:v>
                </c:pt>
                <c:pt idx="11">
                  <c:v>59.0535761413588</c:v>
                </c:pt>
                <c:pt idx="12">
                  <c:v>64.7351611345427</c:v>
                </c:pt>
                <c:pt idx="13">
                  <c:v>91.259750381019</c:v>
                </c:pt>
                <c:pt idx="14">
                  <c:v>155.021594354773</c:v>
                </c:pt>
                <c:pt idx="15">
                  <c:v>50.8852993590957</c:v>
                </c:pt>
                <c:pt idx="16">
                  <c:v>103.225589484297</c:v>
                </c:pt>
                <c:pt idx="17">
                  <c:v>65.9602240427511</c:v>
                </c:pt>
                <c:pt idx="18">
                  <c:v>71.8359252615219</c:v>
                </c:pt>
                <c:pt idx="19">
                  <c:v>123.508945009391</c:v>
                </c:pt>
                <c:pt idx="20">
                  <c:v>91.1150913602086</c:v>
                </c:pt>
                <c:pt idx="21">
                  <c:v>73.8682077287446</c:v>
                </c:pt>
                <c:pt idx="22">
                  <c:v>80.3012111758035</c:v>
                </c:pt>
                <c:pt idx="23">
                  <c:v>87.2090932909672</c:v>
                </c:pt>
                <c:pt idx="24">
                  <c:v>94.535637822607</c:v>
                </c:pt>
                <c:pt idx="25">
                  <c:v>131.512473599171</c:v>
                </c:pt>
                <c:pt idx="26">
                  <c:v>218.364858862926</c:v>
                </c:pt>
                <c:pt idx="27">
                  <c:v>71.2836881114426</c:v>
                </c:pt>
                <c:pt idx="28">
                  <c:v>143.471100524067</c:v>
                </c:pt>
                <c:pt idx="29">
                  <c:v>90.985313635659</c:v>
                </c:pt>
                <c:pt idx="30">
                  <c:v>98.3027736664887</c:v>
                </c:pt>
                <c:pt idx="31">
                  <c:v>166.666525717921</c:v>
                </c:pt>
                <c:pt idx="32">
                  <c:v>122.395783270457</c:v>
                </c:pt>
                <c:pt idx="33">
                  <c:v>98.5828375721601</c:v>
                </c:pt>
                <c:pt idx="34">
                  <c:v>106.43706103603</c:v>
                </c:pt>
                <c:pt idx="35">
                  <c:v>114.789928535982</c:v>
                </c:pt>
              </c:numCache>
            </c:numRef>
          </c:val>
        </c:ser>
        <c:gapWidth val="150"/>
        <c:overlap val="100"/>
        <c:axId val="58968981"/>
        <c:axId val="69378220"/>
      </c:barChart>
      <c:catAx>
        <c:axId val="58968981"/>
        <c:scaling>
          <c:orientation val="minMax"/>
        </c:scaling>
        <c:delete val="0"/>
        <c:axPos val="b"/>
        <c:numFmt formatCode="mmm\-yy"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9378220"/>
        <c:crosses val="autoZero"/>
        <c:auto val="1"/>
        <c:lblAlgn val="ctr"/>
        <c:lblOffset val="100"/>
        <c:noMultiLvlLbl val="0"/>
      </c:catAx>
      <c:valAx>
        <c:axId val="69378220"/>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visits</a:t>
                </a:r>
              </a:p>
            </c:rich>
          </c:tx>
          <c:overlay val="0"/>
          <c:spPr>
            <a:noFill/>
            <a:ln w="0">
              <a:noFill/>
            </a:ln>
          </c:spPr>
        </c:title>
        <c:numFmt formatCode="#,##0;\(#,##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8968981"/>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Marketing budget ($/month)</a:t>
            </a:r>
          </a:p>
        </c:rich>
      </c:tx>
      <c:overlay val="0"/>
      <c:spPr>
        <a:noFill/>
        <a:ln w="0">
          <a:noFill/>
        </a:ln>
      </c:spPr>
    </c:title>
    <c:autoTitleDeleted val="0"/>
    <c:plotArea>
      <c:lineChart>
        <c:grouping val="standard"/>
        <c:varyColors val="0"/>
        <c:ser>
          <c:idx val="0"/>
          <c:order val="0"/>
          <c:tx>
            <c:strRef>
              <c:f>"Marketing budget"</c:f>
              <c:strCache>
                <c:ptCount val="1"/>
                <c:pt idx="0">
                  <c:v>Marketing budget</c:v>
                </c:pt>
              </c:strCache>
            </c:strRef>
          </c:tx>
          <c:spPr>
            <a:solidFill>
              <a:srgbClr val="4A7EBB"/>
            </a:solidFill>
            <a:ln w="12600">
              <a:solidFill>
                <a:srgbClr val="4A7EBB"/>
              </a:solidFill>
              <a:round/>
            </a:ln>
          </c:spPr>
          <c:marker>
            <c:symbol val="none"/>
          </c:marker>
          <c:dLbls>
            <c:txPr>
              <a:bodyPr wrap="none"/>
              <a:lstStyle/>
              <a:p>
                <a:pPr>
                  <a:defRPr sz="1000" b="0" u="none" strike="noStrike">
                    <a:solidFill>
                      <a:srgbClr val="000000"/>
                    </a:solidFill>
                    <a:uFillTx/>
                    <a:latin typeface="Arial"/>
                  </a:defRPr>
                </a:pPr>
              </a:p>
            </c:txPr>
            <c:dLblPos val="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Forecast!$D$7:$AM$7</c:f>
              <c:multiLvlStrCache>
                <c:ptCount val="1"/>
                <c:lvl>
                  <c:pt idx="0">
                    <c:v>Oct-29</c:v>
                  </c:pt>
                </c:lvl>
                <c:lvl>
                  <c:pt idx="0">
                    <c:v>Sep-29</c:v>
                  </c:pt>
                </c:lvl>
                <c:lvl>
                  <c:pt idx="0">
                    <c:v>Aug-29</c:v>
                  </c:pt>
                </c:lvl>
                <c:lvl>
                  <c:pt idx="0">
                    <c:v>Jul-29</c:v>
                  </c:pt>
                </c:lvl>
                <c:lvl>
                  <c:pt idx="0">
                    <c:v>Jun-29</c:v>
                  </c:pt>
                </c:lvl>
                <c:lvl>
                  <c:pt idx="0">
                    <c:v>May-29</c:v>
                  </c:pt>
                </c:lvl>
                <c:lvl>
                  <c:pt idx="0">
                    <c:v>Apr-29</c:v>
                  </c:pt>
                </c:lvl>
                <c:lvl>
                  <c:pt idx="0">
                    <c:v>Mar-29</c:v>
                  </c:pt>
                </c:lvl>
                <c:lvl>
                  <c:pt idx="0">
                    <c:v>Feb-29</c:v>
                  </c:pt>
                </c:lvl>
                <c:lvl>
                  <c:pt idx="0">
                    <c:v>Jan-29</c:v>
                  </c:pt>
                </c:lvl>
                <c:lvl>
                  <c:pt idx="0">
                    <c:v>Dec-28</c:v>
                  </c:pt>
                </c:lvl>
                <c:lvl>
                  <c:pt idx="0">
                    <c:v>Nov-28</c:v>
                  </c:pt>
                </c:lvl>
                <c:lvl>
                  <c:pt idx="0">
                    <c:v>Oct-28</c:v>
                  </c:pt>
                </c:lvl>
                <c:lvl>
                  <c:pt idx="0">
                    <c:v>Sep-28</c:v>
                  </c:pt>
                </c:lvl>
                <c:lvl>
                  <c:pt idx="0">
                    <c:v>Aug-28</c:v>
                  </c:pt>
                </c:lvl>
                <c:lvl>
                  <c:pt idx="0">
                    <c:v>Jul-28</c:v>
                  </c:pt>
                </c:lvl>
                <c:lvl>
                  <c:pt idx="0">
                    <c:v>Jun-28</c:v>
                  </c:pt>
                </c:lvl>
                <c:lvl>
                  <c:pt idx="0">
                    <c:v>May-28</c:v>
                  </c:pt>
                </c:lvl>
                <c:lvl>
                  <c:pt idx="0">
                    <c:v>Apr-28</c:v>
                  </c:pt>
                </c:lvl>
                <c:lvl>
                  <c:pt idx="0">
                    <c:v>Mar-28</c:v>
                  </c:pt>
                </c:lvl>
                <c:lvl>
                  <c:pt idx="0">
                    <c:v>Feb-28</c:v>
                  </c:pt>
                </c:lvl>
                <c:lvl>
                  <c:pt idx="0">
                    <c:v>Jan-28</c:v>
                  </c:pt>
                </c:lvl>
                <c:lvl>
                  <c:pt idx="0">
                    <c:v>Dec-27</c:v>
                  </c:pt>
                </c:lvl>
                <c:lvl>
                  <c:pt idx="0">
                    <c:v>Nov-27</c:v>
                  </c:pt>
                </c:lvl>
                <c:lvl>
                  <c:pt idx="0">
                    <c:v>Oct-27</c:v>
                  </c:pt>
                </c:lvl>
                <c:lvl>
                  <c:pt idx="0">
                    <c:v>Sep-27</c:v>
                  </c:pt>
                </c:lvl>
                <c:lvl>
                  <c:pt idx="0">
                    <c:v>Aug-27</c:v>
                  </c:pt>
                </c:lvl>
                <c:lvl>
                  <c:pt idx="0">
                    <c:v>Jul-27</c:v>
                  </c:pt>
                </c:lvl>
                <c:lvl>
                  <c:pt idx="0">
                    <c:v>Jun-27</c:v>
                  </c:pt>
                </c:lvl>
                <c:lvl>
                  <c:pt idx="0">
                    <c:v>May-27</c:v>
                  </c:pt>
                </c:lvl>
                <c:lvl>
                  <c:pt idx="0">
                    <c:v>Apr-27</c:v>
                  </c:pt>
                </c:lvl>
                <c:lvl>
                  <c:pt idx="0">
                    <c:v>Mar-27</c:v>
                  </c:pt>
                </c:lvl>
                <c:lvl>
                  <c:pt idx="0">
                    <c:v>Feb-27</c:v>
                  </c:pt>
                </c:lvl>
                <c:lvl>
                  <c:pt idx="0">
                    <c:v>Jan-27</c:v>
                  </c:pt>
                </c:lvl>
                <c:lvl>
                  <c:pt idx="0">
                    <c:v>Dec-26</c:v>
                  </c:pt>
                </c:lvl>
                <c:lvl>
                  <c:pt idx="0">
                    <c:v>Nov-26</c:v>
                  </c:pt>
                </c:lvl>
              </c:multiLvlStrCache>
            </c:multiLvlStrRef>
          </c:cat>
          <c:val>
            <c:numRef>
              <c:f>Forecast!$D$74:$AM$74</c:f>
              <c:numCache>
                <c:formatCode>\$#,##0;"($"#,##0\);\-</c:formatCode>
                <c:ptCount val="36"/>
                <c:pt idx="0">
                  <c:v>7571.97960099147</c:v>
                </c:pt>
                <c:pt idx="1">
                  <c:v>9579.17739968587</c:v>
                </c:pt>
                <c:pt idx="2">
                  <c:v>5577.98129430347</c:v>
                </c:pt>
                <c:pt idx="3">
                  <c:v>7571.97960099147</c:v>
                </c:pt>
                <c:pt idx="4">
                  <c:v>6075.24341859987</c:v>
                </c:pt>
                <c:pt idx="5">
                  <c:v>6241.18078630987</c:v>
                </c:pt>
                <c:pt idx="6">
                  <c:v>7905.5959360512</c:v>
                </c:pt>
                <c:pt idx="7">
                  <c:v>6739.54286827347</c:v>
                </c:pt>
                <c:pt idx="8">
                  <c:v>6075.24341859987</c:v>
                </c:pt>
                <c:pt idx="9">
                  <c:v>6241.18078630987</c:v>
                </c:pt>
                <c:pt idx="10">
                  <c:v>6407.2098171588</c:v>
                </c:pt>
                <c:pt idx="11">
                  <c:v>6573.33051114667</c:v>
                </c:pt>
                <c:pt idx="12">
                  <c:v>7571.97960099147</c:v>
                </c:pt>
                <c:pt idx="13">
                  <c:v>9579.17739968587</c:v>
                </c:pt>
                <c:pt idx="14">
                  <c:v>5577.98129430347</c:v>
                </c:pt>
                <c:pt idx="15">
                  <c:v>7571.97960099147</c:v>
                </c:pt>
                <c:pt idx="16">
                  <c:v>6075.24341859987</c:v>
                </c:pt>
                <c:pt idx="17">
                  <c:v>6241.18078630987</c:v>
                </c:pt>
                <c:pt idx="18">
                  <c:v>7905.5959360512</c:v>
                </c:pt>
                <c:pt idx="19">
                  <c:v>6739.54286827347</c:v>
                </c:pt>
                <c:pt idx="20">
                  <c:v>6075.24341859987</c:v>
                </c:pt>
                <c:pt idx="21">
                  <c:v>6241.18078630987</c:v>
                </c:pt>
                <c:pt idx="22">
                  <c:v>6407.2098171588</c:v>
                </c:pt>
                <c:pt idx="23">
                  <c:v>6573.33051114667</c:v>
                </c:pt>
                <c:pt idx="24">
                  <c:v>7571.97960099147</c:v>
                </c:pt>
                <c:pt idx="25">
                  <c:v>9579.17739968587</c:v>
                </c:pt>
                <c:pt idx="26">
                  <c:v>5577.98129430347</c:v>
                </c:pt>
                <c:pt idx="27">
                  <c:v>7571.97960099147</c:v>
                </c:pt>
                <c:pt idx="28">
                  <c:v>6075.24341859987</c:v>
                </c:pt>
                <c:pt idx="29">
                  <c:v>6241.18078630987</c:v>
                </c:pt>
                <c:pt idx="30">
                  <c:v>7905.5959360512</c:v>
                </c:pt>
                <c:pt idx="31">
                  <c:v>6739.54286827347</c:v>
                </c:pt>
                <c:pt idx="32">
                  <c:v>6075.24341859987</c:v>
                </c:pt>
                <c:pt idx="33">
                  <c:v>6241.18078630987</c:v>
                </c:pt>
                <c:pt idx="34">
                  <c:v>6407.2098171588</c:v>
                </c:pt>
                <c:pt idx="35">
                  <c:v>6573.33051114667</c:v>
                </c:pt>
              </c:numCache>
            </c:numRef>
          </c:val>
          <c:smooth val="1"/>
        </c:ser>
        <c:hiLowLines>
          <c:spPr>
            <a:ln w="0">
              <a:noFill/>
            </a:ln>
          </c:spPr>
        </c:hiLowLines>
        <c:marker val="0"/>
        <c:axId val="63128968"/>
        <c:axId val="52289297"/>
      </c:lineChart>
      <c:catAx>
        <c:axId val="63128968"/>
        <c:scaling>
          <c:orientation val="minMax"/>
        </c:scaling>
        <c:delete val="0"/>
        <c:axPos val="b"/>
        <c:numFmt formatCode="mmm\-yy"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2289297"/>
        <c:crosses val="autoZero"/>
        <c:auto val="1"/>
        <c:lblAlgn val="ctr"/>
        <c:lblOffset val="100"/>
        <c:noMultiLvlLbl val="0"/>
      </c:catAx>
      <c:valAx>
        <c:axId val="52289297"/>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sz="1000" b="1" u="none" strike="noStrike">
                    <a:solidFill>
                      <a:srgbClr val="000000"/>
                    </a:solidFill>
                    <a:uFillTx/>
                    <a:latin typeface="Calibri"/>
                  </a:rPr>
                  <a:t>$</a:t>
                </a:r>
              </a:p>
            </c:rich>
          </c:tx>
          <c:overlay val="0"/>
          <c:spPr>
            <a:noFill/>
            <a:ln w="0">
              <a:noFill/>
            </a:ln>
          </c:spPr>
        </c:title>
        <c:numFmt formatCode="\$#,##0;&quot;($&quot;#,##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3128968"/>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Contribution margin per item by SKU ($)</a:t>
            </a:r>
          </a:p>
        </c:rich>
      </c:tx>
      <c:overlay val="0"/>
      <c:spPr>
        <a:noFill/>
        <a:ln w="0">
          <a:noFill/>
        </a:ln>
      </c:spPr>
    </c:title>
    <c:autoTitleDeleted val="0"/>
    <c:plotArea>
      <c:barChart>
        <c:barDir val="col"/>
        <c:grouping val="clustered"/>
        <c:varyColors val="0"/>
        <c:ser>
          <c:idx val="0"/>
          <c:order val="0"/>
          <c:tx>
            <c:strRef>
              <c:f>Dashboard!B29</c:f>
              <c:strCache>
                <c:ptCount val="1"/>
                <c:pt idx="0">
                  <c:v>CM $</c:v>
                </c:pt>
              </c:strCache>
            </c:strRef>
          </c:tx>
          <c:spPr>
            <a:ln w="12600">
              <a:noFill/>
            </a:ln>
          </c:spPr>
          <c:invertIfNegative val="0"/>
          <c:dLbls>
            <c:txPr>
              <a:bodyPr wrap="none"/>
              <a:lstStyle/>
              <a:p>
                <a:pPr>
                  <a:defRPr sz="1000" b="0" u="none" strike="noStrike">
                    <a:solidFill>
                      <a:srgbClr val="000000"/>
                    </a:solidFill>
                    <a:uFillTx/>
                    <a:latin typeface="Arial"/>
                  </a:defRPr>
                </a:pPr>
              </a:p>
            </c:txPr>
            <c:dLblPos val="outEnd"/>
            <c:showLegendKey val="0"/>
            <c:showVal val="0"/>
            <c:showCatName val="0"/>
            <c:showSerName val="0"/>
            <c:showPercent val="0"/>
            <c:separator> </c:separator>
            <c:extLst>
              <c:ext xmlns:c15="http://schemas.microsoft.com/office/drawing/2012/chart" uri="{CE6537A1-D6FC-4f65-9D91-7224C49458BB}">
                <c15:showLeaderLines val="1"/>
              </c:ext>
            </c:extLst>
          </c:dLbls>
          <c:cat>
            <c:strRef>
              <c:f>Dashboard!$A$30:$A$34</c:f>
              <c:strCache>
                <c:ptCount val="5"/>
                <c:pt idx="0">
                  <c:v>Card - Digital e-card/PDF</c:v>
                </c:pt>
                <c:pt idx="1">
                  <c:v>Card - Printed 5x7 folded</c:v>
                </c:pt>
                <c:pt idx="2">
                  <c:v>Book - Digital flipbook/PDF</c:v>
                </c:pt>
                <c:pt idx="3">
                  <c:v>Book - Hardcover 8.5x8.5, 24pp</c:v>
                </c:pt>
                <c:pt idx="4">
                  <c:v>Book - Hardcover 8.5x8.5, 32pp</c:v>
                </c:pt>
              </c:strCache>
            </c:strRef>
          </c:cat>
          <c:val>
            <c:numRef>
              <c:f>Dashboard!$B$30:$B$34</c:f>
              <c:numCache>
                <c:formatCode>\$#,##0.00;"($"#,##0.00\);\-</c:formatCode>
                <c:ptCount val="5"/>
                <c:pt idx="0">
                  <c:v>3.1930555</c:v>
                </c:pt>
                <c:pt idx="1">
                  <c:v>4.4452865</c:v>
                </c:pt>
                <c:pt idx="2">
                  <c:v>17.1769645</c:v>
                </c:pt>
                <c:pt idx="3">
                  <c:v>21.4183055</c:v>
                </c:pt>
                <c:pt idx="4">
                  <c:v>27.8362675</c:v>
                </c:pt>
              </c:numCache>
            </c:numRef>
          </c:val>
        </c:ser>
        <c:gapWidth val="150"/>
        <c:overlap val="0"/>
        <c:axId val="82179369"/>
        <c:axId val="58874378"/>
      </c:barChart>
      <c:catAx>
        <c:axId val="82179369"/>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8874378"/>
        <c:crosses val="autoZero"/>
        <c:auto val="1"/>
        <c:lblAlgn val="ctr"/>
        <c:lblOffset val="100"/>
        <c:noMultiLvlLbl val="0"/>
      </c:catAx>
      <c:valAx>
        <c:axId val="58874378"/>
        <c:scaling>
          <c:orientation val="minMax"/>
        </c:scaling>
        <c:delete val="0"/>
        <c:axPos val="l"/>
        <c:majorGridlines>
          <c:spPr>
            <a:ln w="9360">
              <a:solidFill>
                <a:srgbClr val="878787"/>
              </a:solidFill>
              <a:round/>
            </a:ln>
          </c:spPr>
        </c:majorGridlines>
        <c:numFmt formatCode="\$#,##0.00;&quot;($&quot;#,##0.0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82179369"/>
        <c:crosses val="autoZero"/>
        <c:crossBetween val="between"/>
      </c:valAx>
      <c:spPr>
        <a:ln w="0">
          <a:noFill/>
        </a:ln>
      </c:spPr>
    </c:plotArea>
    <c:plotVisOnly val="1"/>
    <c:dispBlanksAs val="gap"/>
  </c:chart>
  <c:spPr>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Cumulative cash by scenario ($)</a:t>
            </a:r>
          </a:p>
        </c:rich>
      </c:tx>
      <c:overlay val="0"/>
      <c:spPr>
        <a:noFill/>
        <a:ln w="0">
          <a:noFill/>
        </a:ln>
      </c:spPr>
    </c:title>
    <c:autoTitleDeleted val="0"/>
    <c:plotArea>
      <c:lineChart>
        <c:grouping val="standard"/>
        <c:varyColors val="0"/>
        <c:ser>
          <c:idx val="0"/>
          <c:order val="0"/>
          <c:tx>
            <c:strRef>
              <c:f>"Core only"</c:f>
              <c:strCache>
                <c:ptCount val="1"/>
                <c:pt idx="0">
                  <c:v>Core only</c:v>
                </c:pt>
              </c:strCache>
            </c:strRef>
          </c:tx>
          <c:spPr>
            <a:solidFill>
              <a:srgbClr val="4A7EBB"/>
            </a:solidFill>
            <a:ln w="12600">
              <a:solidFill>
                <a:srgbClr val="4A7EBB"/>
              </a:solidFill>
              <a:round/>
            </a:ln>
          </c:spPr>
          <c:marker>
            <c:symbol val="none"/>
          </c:marker>
          <c:dLbls>
            <c:txPr>
              <a:bodyPr wrap="none"/>
              <a:lstStyle/>
              <a:p>
                <a:pPr>
                  <a:defRPr sz="1000" b="0" u="none" strike="noStrike">
                    <a:solidFill>
                      <a:srgbClr val="000000"/>
                    </a:solidFill>
                    <a:uFillTx/>
                    <a:latin typeface="Arial"/>
                  </a:defRPr>
                </a:pPr>
              </a:p>
            </c:txPr>
            <c:dLblPos val="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Compare!$D$5:$AM$5</c:f>
              <c:multiLvlStrCache>
                <c:ptCount val="1"/>
                <c:lvl>
                  <c:pt idx="0">
                    <c:v>36</c:v>
                  </c:pt>
                </c:lvl>
                <c:lvl>
                  <c:pt idx="0">
                    <c:v>35</c:v>
                  </c:pt>
                </c:lvl>
                <c:lvl>
                  <c:pt idx="0">
                    <c:v>34</c:v>
                  </c:pt>
                </c:lvl>
                <c:lvl>
                  <c:pt idx="0">
                    <c:v>33</c:v>
                  </c:pt>
                </c:lvl>
                <c:lvl>
                  <c:pt idx="0">
                    <c:v>32</c:v>
                  </c:pt>
                </c:lvl>
                <c:lvl>
                  <c:pt idx="0">
                    <c:v>31</c:v>
                  </c:pt>
                </c:lvl>
                <c:lvl>
                  <c:pt idx="0">
                    <c:v>30</c:v>
                  </c:pt>
                </c:lvl>
                <c:lvl>
                  <c:pt idx="0">
                    <c:v>29</c:v>
                  </c:pt>
                </c:lvl>
                <c:lvl>
                  <c:pt idx="0">
                    <c:v>28</c:v>
                  </c:pt>
                </c:lvl>
                <c:lvl>
                  <c:pt idx="0">
                    <c:v>27</c:v>
                  </c:pt>
                </c:lvl>
                <c:lvl>
                  <c:pt idx="0">
                    <c:v>26</c:v>
                  </c:pt>
                </c:lvl>
                <c:lvl>
                  <c:pt idx="0">
                    <c:v>25</c:v>
                  </c:pt>
                </c:lvl>
                <c:lvl>
                  <c:pt idx="0">
                    <c:v>24</c:v>
                  </c:pt>
                </c:lvl>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multiLvlStrCache>
            </c:multiLvlStrRef>
          </c:cat>
          <c:val>
            <c:numRef>
              <c:f>Compare!$D$17:$AM$17</c:f>
              <c:numCache>
                <c:formatCode>\$#,##0;"($"#,##0\);\-</c:formatCode>
                <c:ptCount val="36"/>
                <c:pt idx="0">
                  <c:v>-32740.9101761515</c:v>
                </c:pt>
                <c:pt idx="1">
                  <c:v>-86933.4703783457</c:v>
                </c:pt>
                <c:pt idx="2">
                  <c:v>-111221.461290039</c:v>
                </c:pt>
                <c:pt idx="3">
                  <c:v>-123919.96815265</c:v>
                </c:pt>
                <c:pt idx="4">
                  <c:v>-129484.093174746</c:v>
                </c:pt>
                <c:pt idx="5">
                  <c:v>-135053.663352191</c:v>
                </c:pt>
                <c:pt idx="6">
                  <c:v>-141043.383043199</c:v>
                </c:pt>
                <c:pt idx="7">
                  <c:v>-146639.138482336</c:v>
                </c:pt>
                <c:pt idx="8">
                  <c:v>-151971.659922992</c:v>
                </c:pt>
                <c:pt idx="9">
                  <c:v>-157284.816546257</c:v>
                </c:pt>
                <c:pt idx="10">
                  <c:v>-162561.097589187</c:v>
                </c:pt>
                <c:pt idx="11">
                  <c:v>-167783.75824969</c:v>
                </c:pt>
                <c:pt idx="12">
                  <c:v>-173180.906546513</c:v>
                </c:pt>
                <c:pt idx="13">
                  <c:v>-179045.27868002</c:v>
                </c:pt>
                <c:pt idx="14">
                  <c:v>-184008.561293846</c:v>
                </c:pt>
                <c:pt idx="15">
                  <c:v>-188931.340369604</c:v>
                </c:pt>
                <c:pt idx="16">
                  <c:v>-193808.266438094</c:v>
                </c:pt>
                <c:pt idx="17">
                  <c:v>-198622.754083625</c:v>
                </c:pt>
                <c:pt idx="18">
                  <c:v>-203106.328261694</c:v>
                </c:pt>
                <c:pt idx="19">
                  <c:v>-207691.6232218</c:v>
                </c:pt>
                <c:pt idx="20">
                  <c:v>-212282.007775381</c:v>
                </c:pt>
                <c:pt idx="21">
                  <c:v>-216787.626408417</c:v>
                </c:pt>
                <c:pt idx="22">
                  <c:v>-221189.647908711</c:v>
                </c:pt>
                <c:pt idx="23">
                  <c:v>-225471.011112253</c:v>
                </c:pt>
                <c:pt idx="24">
                  <c:v>-229299.86045744</c:v>
                </c:pt>
                <c:pt idx="25">
                  <c:v>-232667.151735278</c:v>
                </c:pt>
                <c:pt idx="26">
                  <c:v>-236849.812901388</c:v>
                </c:pt>
                <c:pt idx="27">
                  <c:v>-240196.864729442</c:v>
                </c:pt>
                <c:pt idx="28">
                  <c:v>-244105.350723669</c:v>
                </c:pt>
                <c:pt idx="29">
                  <c:v>-247891.898790345</c:v>
                </c:pt>
                <c:pt idx="30">
                  <c:v>-250650.829112302</c:v>
                </c:pt>
                <c:pt idx="31">
                  <c:v>-253986.947303995</c:v>
                </c:pt>
                <c:pt idx="32">
                  <c:v>-257589.891685761</c:v>
                </c:pt>
                <c:pt idx="33">
                  <c:v>-261049.388780999</c:v>
                </c:pt>
                <c:pt idx="34">
                  <c:v>-264345.677240149</c:v>
                </c:pt>
                <c:pt idx="35">
                  <c:v>-267461.653163089</c:v>
                </c:pt>
              </c:numCache>
            </c:numRef>
          </c:val>
          <c:smooth val="0"/>
        </c:ser>
        <c:ser>
          <c:idx val="1"/>
          <c:order val="1"/>
          <c:tx>
            <c:strRef>
              <c:f>"Core + Agent Channel"</c:f>
              <c:strCache>
                <c:ptCount val="1"/>
                <c:pt idx="0">
                  <c:v>Core + Agent Channel</c:v>
                </c:pt>
              </c:strCache>
            </c:strRef>
          </c:tx>
          <c:spPr>
            <a:solidFill>
              <a:srgbClr val="BE4B48"/>
            </a:solidFill>
            <a:ln w="12600">
              <a:solidFill>
                <a:srgbClr val="BE4B48"/>
              </a:solidFill>
              <a:round/>
            </a:ln>
          </c:spPr>
          <c:marker>
            <c:symbol val="none"/>
          </c:marker>
          <c:dLbls>
            <c:txPr>
              <a:bodyPr wrap="none"/>
              <a:lstStyle/>
              <a:p>
                <a:pPr>
                  <a:defRPr sz="1000" b="0" u="none" strike="noStrike">
                    <a:solidFill>
                      <a:srgbClr val="000000"/>
                    </a:solidFill>
                    <a:uFillTx/>
                    <a:latin typeface="Arial"/>
                  </a:defRPr>
                </a:pPr>
              </a:p>
            </c:txPr>
            <c:dLblPos val="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Compare!$D$5:$AM$5</c:f>
              <c:multiLvlStrCache>
                <c:ptCount val="1"/>
                <c:lvl>
                  <c:pt idx="0">
                    <c:v>36</c:v>
                  </c:pt>
                </c:lvl>
                <c:lvl>
                  <c:pt idx="0">
                    <c:v>35</c:v>
                  </c:pt>
                </c:lvl>
                <c:lvl>
                  <c:pt idx="0">
                    <c:v>34</c:v>
                  </c:pt>
                </c:lvl>
                <c:lvl>
                  <c:pt idx="0">
                    <c:v>33</c:v>
                  </c:pt>
                </c:lvl>
                <c:lvl>
                  <c:pt idx="0">
                    <c:v>32</c:v>
                  </c:pt>
                </c:lvl>
                <c:lvl>
                  <c:pt idx="0">
                    <c:v>31</c:v>
                  </c:pt>
                </c:lvl>
                <c:lvl>
                  <c:pt idx="0">
                    <c:v>30</c:v>
                  </c:pt>
                </c:lvl>
                <c:lvl>
                  <c:pt idx="0">
                    <c:v>29</c:v>
                  </c:pt>
                </c:lvl>
                <c:lvl>
                  <c:pt idx="0">
                    <c:v>28</c:v>
                  </c:pt>
                </c:lvl>
                <c:lvl>
                  <c:pt idx="0">
                    <c:v>27</c:v>
                  </c:pt>
                </c:lvl>
                <c:lvl>
                  <c:pt idx="0">
                    <c:v>26</c:v>
                  </c:pt>
                </c:lvl>
                <c:lvl>
                  <c:pt idx="0">
                    <c:v>25</c:v>
                  </c:pt>
                </c:lvl>
                <c:lvl>
                  <c:pt idx="0">
                    <c:v>24</c:v>
                  </c:pt>
                </c:lvl>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multiLvlStrCache>
            </c:multiLvlStrRef>
          </c:cat>
          <c:val>
            <c:numRef>
              <c:f>Compare!$D$24:$AM$24</c:f>
              <c:numCache>
                <c:formatCode>\$#,##0;"($"#,##0\);\-</c:formatCode>
                <c:ptCount val="36"/>
                <c:pt idx="0">
                  <c:v>-50740.9101761515</c:v>
                </c:pt>
                <c:pt idx="1">
                  <c:v>-116183.470378346</c:v>
                </c:pt>
                <c:pt idx="2">
                  <c:v>-151721.461290039</c:v>
                </c:pt>
                <c:pt idx="3">
                  <c:v>-173119.96815265</c:v>
                </c:pt>
                <c:pt idx="4">
                  <c:v>-187384.093174747</c:v>
                </c:pt>
                <c:pt idx="5">
                  <c:v>-192953.663352191</c:v>
                </c:pt>
                <c:pt idx="6">
                  <c:v>-198943.383043199</c:v>
                </c:pt>
                <c:pt idx="7">
                  <c:v>-204833.091607336</c:v>
                </c:pt>
                <c:pt idx="8">
                  <c:v>-216153.771304358</c:v>
                </c:pt>
                <c:pt idx="9">
                  <c:v>-227449.532819237</c:v>
                </c:pt>
                <c:pt idx="10">
                  <c:v>-233003.096828122</c:v>
                </c:pt>
                <c:pt idx="11">
                  <c:v>-243297.940322683</c:v>
                </c:pt>
                <c:pt idx="12">
                  <c:v>-253762.383872066</c:v>
                </c:pt>
                <c:pt idx="13">
                  <c:v>-264689.367368899</c:v>
                </c:pt>
                <c:pt idx="14">
                  <c:v>-269910.772660108</c:v>
                </c:pt>
                <c:pt idx="15">
                  <c:v>-275087.37279541</c:v>
                </c:pt>
                <c:pt idx="16">
                  <c:v>-280213.997577554</c:v>
                </c:pt>
                <c:pt idx="17">
                  <c:v>-285274.233391558</c:v>
                </c:pt>
                <c:pt idx="18">
                  <c:v>-289999.769833752</c:v>
                </c:pt>
                <c:pt idx="19">
                  <c:v>-294807.623945318</c:v>
                </c:pt>
                <c:pt idx="20">
                  <c:v>-299616.201284225</c:v>
                </c:pt>
                <c:pt idx="21">
                  <c:v>-304335.828306819</c:v>
                </c:pt>
                <c:pt idx="22">
                  <c:v>-308947.848187571</c:v>
                </c:pt>
                <c:pt idx="23">
                  <c:v>-313435.366881491</c:v>
                </c:pt>
                <c:pt idx="24">
                  <c:v>-317466.688981229</c:v>
                </c:pt>
                <c:pt idx="25">
                  <c:v>-321032.923757544</c:v>
                </c:pt>
                <c:pt idx="26">
                  <c:v>-325411.146249467</c:v>
                </c:pt>
                <c:pt idx="27">
                  <c:v>-328950.518184311</c:v>
                </c:pt>
                <c:pt idx="28">
                  <c:v>-333048.218145635</c:v>
                </c:pt>
                <c:pt idx="29">
                  <c:v>-337021.00348955</c:v>
                </c:pt>
                <c:pt idx="30">
                  <c:v>-339963.318453842</c:v>
                </c:pt>
                <c:pt idx="31">
                  <c:v>-343480.087537871</c:v>
                </c:pt>
                <c:pt idx="32">
                  <c:v>-347261.062992292</c:v>
                </c:pt>
                <c:pt idx="33">
                  <c:v>-350896.080522724</c:v>
                </c:pt>
                <c:pt idx="34">
                  <c:v>-354365.483411609</c:v>
                </c:pt>
                <c:pt idx="35">
                  <c:v>-357652.268030234</c:v>
                </c:pt>
              </c:numCache>
            </c:numRef>
          </c:val>
          <c:smooth val="0"/>
        </c:ser>
        <c:ser>
          <c:idx val="2"/>
          <c:order val="2"/>
          <c:tx>
            <c:strRef>
              <c:f>"Core + Kiosk"</c:f>
              <c:strCache>
                <c:ptCount val="1"/>
                <c:pt idx="0">
                  <c:v>Core + Kiosk</c:v>
                </c:pt>
              </c:strCache>
            </c:strRef>
          </c:tx>
          <c:spPr>
            <a:solidFill>
              <a:srgbClr val="98B855"/>
            </a:solidFill>
            <a:ln w="12600">
              <a:solidFill>
                <a:srgbClr val="98B855"/>
              </a:solidFill>
              <a:round/>
            </a:ln>
          </c:spPr>
          <c:marker>
            <c:symbol val="none"/>
          </c:marker>
          <c:dLbls>
            <c:txPr>
              <a:bodyPr wrap="none"/>
              <a:lstStyle/>
              <a:p>
                <a:pPr>
                  <a:defRPr sz="1000" b="0" u="none" strike="noStrike">
                    <a:solidFill>
                      <a:srgbClr val="000000"/>
                    </a:solidFill>
                    <a:uFillTx/>
                    <a:latin typeface="Arial"/>
                  </a:defRPr>
                </a:pPr>
              </a:p>
            </c:txPr>
            <c:dLblPos val="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Compare!$D$5:$AM$5</c:f>
              <c:multiLvlStrCache>
                <c:ptCount val="1"/>
                <c:lvl>
                  <c:pt idx="0">
                    <c:v>36</c:v>
                  </c:pt>
                </c:lvl>
                <c:lvl>
                  <c:pt idx="0">
                    <c:v>35</c:v>
                  </c:pt>
                </c:lvl>
                <c:lvl>
                  <c:pt idx="0">
                    <c:v>34</c:v>
                  </c:pt>
                </c:lvl>
                <c:lvl>
                  <c:pt idx="0">
                    <c:v>33</c:v>
                  </c:pt>
                </c:lvl>
                <c:lvl>
                  <c:pt idx="0">
                    <c:v>32</c:v>
                  </c:pt>
                </c:lvl>
                <c:lvl>
                  <c:pt idx="0">
                    <c:v>31</c:v>
                  </c:pt>
                </c:lvl>
                <c:lvl>
                  <c:pt idx="0">
                    <c:v>30</c:v>
                  </c:pt>
                </c:lvl>
                <c:lvl>
                  <c:pt idx="0">
                    <c:v>29</c:v>
                  </c:pt>
                </c:lvl>
                <c:lvl>
                  <c:pt idx="0">
                    <c:v>28</c:v>
                  </c:pt>
                </c:lvl>
                <c:lvl>
                  <c:pt idx="0">
                    <c:v>27</c:v>
                  </c:pt>
                </c:lvl>
                <c:lvl>
                  <c:pt idx="0">
                    <c:v>26</c:v>
                  </c:pt>
                </c:lvl>
                <c:lvl>
                  <c:pt idx="0">
                    <c:v>25</c:v>
                  </c:pt>
                </c:lvl>
                <c:lvl>
                  <c:pt idx="0">
                    <c:v>24</c:v>
                  </c:pt>
                </c:lvl>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multiLvlStrCache>
            </c:multiLvlStrRef>
          </c:cat>
          <c:val>
            <c:numRef>
              <c:f>Compare!$D$31:$AM$31</c:f>
              <c:numCache>
                <c:formatCode>\$#,##0;"($"#,##0\);\-</c:formatCode>
                <c:ptCount val="36"/>
                <c:pt idx="0">
                  <c:v>-32740.9101761515</c:v>
                </c:pt>
                <c:pt idx="1">
                  <c:v>-86933.4703783457</c:v>
                </c:pt>
                <c:pt idx="2">
                  <c:v>-111221.461290039</c:v>
                </c:pt>
                <c:pt idx="3">
                  <c:v>-123919.96815265</c:v>
                </c:pt>
                <c:pt idx="4">
                  <c:v>-129484.093174746</c:v>
                </c:pt>
                <c:pt idx="5">
                  <c:v>-135053.663352191</c:v>
                </c:pt>
                <c:pt idx="6">
                  <c:v>-152581.716376533</c:v>
                </c:pt>
                <c:pt idx="7">
                  <c:v>-169715.805149002</c:v>
                </c:pt>
                <c:pt idx="8">
                  <c:v>-186586.659922992</c:v>
                </c:pt>
                <c:pt idx="9">
                  <c:v>-191899.816546257</c:v>
                </c:pt>
                <c:pt idx="10">
                  <c:v>-197176.097589187</c:v>
                </c:pt>
                <c:pt idx="11">
                  <c:v>-202398.75824969</c:v>
                </c:pt>
                <c:pt idx="12">
                  <c:v>-207795.906546513</c:v>
                </c:pt>
                <c:pt idx="13">
                  <c:v>-213660.278680021</c:v>
                </c:pt>
                <c:pt idx="14">
                  <c:v>-218623.561293846</c:v>
                </c:pt>
                <c:pt idx="15">
                  <c:v>-223546.340369604</c:v>
                </c:pt>
                <c:pt idx="16">
                  <c:v>-228423.266438095</c:v>
                </c:pt>
                <c:pt idx="17">
                  <c:v>-233237.754083625</c:v>
                </c:pt>
                <c:pt idx="18">
                  <c:v>-237721.328261694</c:v>
                </c:pt>
                <c:pt idx="19">
                  <c:v>-242306.6232218</c:v>
                </c:pt>
                <c:pt idx="20">
                  <c:v>-246897.007775381</c:v>
                </c:pt>
                <c:pt idx="21">
                  <c:v>-251402.626408417</c:v>
                </c:pt>
                <c:pt idx="22">
                  <c:v>-255804.647908711</c:v>
                </c:pt>
                <c:pt idx="23">
                  <c:v>-260086.011112253</c:v>
                </c:pt>
                <c:pt idx="24">
                  <c:v>-263914.86045744</c:v>
                </c:pt>
                <c:pt idx="25">
                  <c:v>-267282.151735278</c:v>
                </c:pt>
                <c:pt idx="26">
                  <c:v>-271464.812901388</c:v>
                </c:pt>
                <c:pt idx="27">
                  <c:v>-274811.864729442</c:v>
                </c:pt>
                <c:pt idx="28">
                  <c:v>-278720.350723669</c:v>
                </c:pt>
                <c:pt idx="29">
                  <c:v>-282506.898790345</c:v>
                </c:pt>
                <c:pt idx="30">
                  <c:v>-285265.829112302</c:v>
                </c:pt>
                <c:pt idx="31">
                  <c:v>-288601.947303995</c:v>
                </c:pt>
                <c:pt idx="32">
                  <c:v>-292204.891685761</c:v>
                </c:pt>
                <c:pt idx="33">
                  <c:v>-295664.388780999</c:v>
                </c:pt>
                <c:pt idx="34">
                  <c:v>-298960.677240149</c:v>
                </c:pt>
                <c:pt idx="35">
                  <c:v>-302076.653163089</c:v>
                </c:pt>
              </c:numCache>
            </c:numRef>
          </c:val>
          <c:smooth val="0"/>
        </c:ser>
        <c:ser>
          <c:idx val="3"/>
          <c:order val="3"/>
          <c:tx>
            <c:strRef>
              <c:f>"Everything"</c:f>
              <c:strCache>
                <c:ptCount val="1"/>
                <c:pt idx="0">
                  <c:v>Everything</c:v>
                </c:pt>
              </c:strCache>
            </c:strRef>
          </c:tx>
          <c:spPr>
            <a:solidFill>
              <a:srgbClr val="7D5FA0"/>
            </a:solidFill>
            <a:ln w="12600">
              <a:solidFill>
                <a:srgbClr val="7D5FA0"/>
              </a:solidFill>
              <a:round/>
            </a:ln>
          </c:spPr>
          <c:marker>
            <c:symbol val="none"/>
          </c:marker>
          <c:dLbls>
            <c:txPr>
              <a:bodyPr wrap="none"/>
              <a:lstStyle/>
              <a:p>
                <a:pPr>
                  <a:defRPr sz="1000" b="0" u="none" strike="noStrike">
                    <a:solidFill>
                      <a:srgbClr val="000000"/>
                    </a:solidFill>
                    <a:uFillTx/>
                    <a:latin typeface="Arial"/>
                  </a:defRPr>
                </a:pPr>
              </a:p>
            </c:txPr>
            <c:dLblPos val="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Compare!$D$5:$AM$5</c:f>
              <c:multiLvlStrCache>
                <c:ptCount val="1"/>
                <c:lvl>
                  <c:pt idx="0">
                    <c:v>36</c:v>
                  </c:pt>
                </c:lvl>
                <c:lvl>
                  <c:pt idx="0">
                    <c:v>35</c:v>
                  </c:pt>
                </c:lvl>
                <c:lvl>
                  <c:pt idx="0">
                    <c:v>34</c:v>
                  </c:pt>
                </c:lvl>
                <c:lvl>
                  <c:pt idx="0">
                    <c:v>33</c:v>
                  </c:pt>
                </c:lvl>
                <c:lvl>
                  <c:pt idx="0">
                    <c:v>32</c:v>
                  </c:pt>
                </c:lvl>
                <c:lvl>
                  <c:pt idx="0">
                    <c:v>31</c:v>
                  </c:pt>
                </c:lvl>
                <c:lvl>
                  <c:pt idx="0">
                    <c:v>30</c:v>
                  </c:pt>
                </c:lvl>
                <c:lvl>
                  <c:pt idx="0">
                    <c:v>29</c:v>
                  </c:pt>
                </c:lvl>
                <c:lvl>
                  <c:pt idx="0">
                    <c:v>28</c:v>
                  </c:pt>
                </c:lvl>
                <c:lvl>
                  <c:pt idx="0">
                    <c:v>27</c:v>
                  </c:pt>
                </c:lvl>
                <c:lvl>
                  <c:pt idx="0">
                    <c:v>26</c:v>
                  </c:pt>
                </c:lvl>
                <c:lvl>
                  <c:pt idx="0">
                    <c:v>25</c:v>
                  </c:pt>
                </c:lvl>
                <c:lvl>
                  <c:pt idx="0">
                    <c:v>24</c:v>
                  </c:pt>
                </c:lvl>
                <c:lvl>
                  <c:pt idx="0">
                    <c:v>23</c:v>
                  </c:pt>
                </c:lvl>
                <c:lvl>
                  <c:pt idx="0">
                    <c:v>22</c:v>
                  </c:pt>
                </c:lvl>
                <c:lvl>
                  <c:pt idx="0">
                    <c:v>21</c:v>
                  </c:pt>
                </c:lvl>
                <c:lvl>
                  <c:pt idx="0">
                    <c:v>20</c:v>
                  </c:pt>
                </c:lvl>
                <c:lvl>
                  <c:pt idx="0">
                    <c:v>19</c:v>
                  </c:pt>
                </c:lvl>
                <c:lvl>
                  <c:pt idx="0">
                    <c:v>18</c:v>
                  </c:pt>
                </c:lvl>
                <c:lvl>
                  <c:pt idx="0">
                    <c:v>17</c:v>
                  </c:pt>
                </c:lvl>
                <c:lvl>
                  <c:pt idx="0">
                    <c:v>16</c:v>
                  </c:pt>
                </c:lvl>
                <c:lvl>
                  <c:pt idx="0">
                    <c:v>15</c:v>
                  </c:pt>
                </c:lvl>
                <c:lvl>
                  <c:pt idx="0">
                    <c:v>14</c:v>
                  </c:pt>
                </c:lvl>
                <c:lvl>
                  <c:pt idx="0">
                    <c:v>13</c:v>
                  </c:pt>
                </c:lvl>
                <c:lvl>
                  <c:pt idx="0">
                    <c:v>12</c:v>
                  </c:pt>
                </c:lvl>
                <c:lvl>
                  <c:pt idx="0">
                    <c:v>11</c:v>
                  </c:pt>
                </c:lvl>
                <c:lvl>
                  <c:pt idx="0">
                    <c:v>10</c:v>
                  </c:pt>
                </c:lvl>
                <c:lvl>
                  <c:pt idx="0">
                    <c:v>9</c:v>
                  </c:pt>
                </c:lvl>
                <c:lvl>
                  <c:pt idx="0">
                    <c:v>8</c:v>
                  </c:pt>
                </c:lvl>
                <c:lvl>
                  <c:pt idx="0">
                    <c:v>7</c:v>
                  </c:pt>
                </c:lvl>
                <c:lvl>
                  <c:pt idx="0">
                    <c:v>6</c:v>
                  </c:pt>
                </c:lvl>
                <c:lvl>
                  <c:pt idx="0">
                    <c:v>5</c:v>
                  </c:pt>
                </c:lvl>
                <c:lvl>
                  <c:pt idx="0">
                    <c:v>4</c:v>
                  </c:pt>
                </c:lvl>
                <c:lvl>
                  <c:pt idx="0">
                    <c:v>3</c:v>
                  </c:pt>
                </c:lvl>
                <c:lvl>
                  <c:pt idx="0">
                    <c:v>2</c:v>
                  </c:pt>
                </c:lvl>
                <c:lvl>
                  <c:pt idx="0">
                    <c:v>1</c:v>
                  </c:pt>
                </c:lvl>
              </c:multiLvlStrCache>
            </c:multiLvlStrRef>
          </c:cat>
          <c:val>
            <c:numRef>
              <c:f>Compare!$D$38:$AM$38</c:f>
              <c:numCache>
                <c:formatCode>\$#,##0;"($"#,##0\);\-</c:formatCode>
                <c:ptCount val="36"/>
                <c:pt idx="0">
                  <c:v>-50740.9101761515</c:v>
                </c:pt>
                <c:pt idx="1">
                  <c:v>-116183.470378346</c:v>
                </c:pt>
                <c:pt idx="2">
                  <c:v>-151721.461290039</c:v>
                </c:pt>
                <c:pt idx="3">
                  <c:v>-173119.96815265</c:v>
                </c:pt>
                <c:pt idx="4">
                  <c:v>-187384.093174747</c:v>
                </c:pt>
                <c:pt idx="5">
                  <c:v>-192953.663352191</c:v>
                </c:pt>
                <c:pt idx="6">
                  <c:v>-210481.716376533</c:v>
                </c:pt>
                <c:pt idx="7">
                  <c:v>-227909.758274002</c:v>
                </c:pt>
                <c:pt idx="8">
                  <c:v>-250768.771304358</c:v>
                </c:pt>
                <c:pt idx="9">
                  <c:v>-262064.532819237</c:v>
                </c:pt>
                <c:pt idx="10">
                  <c:v>-267618.096828122</c:v>
                </c:pt>
                <c:pt idx="11">
                  <c:v>-277912.940322683</c:v>
                </c:pt>
                <c:pt idx="12">
                  <c:v>-288377.383872066</c:v>
                </c:pt>
                <c:pt idx="13">
                  <c:v>-299304.367368899</c:v>
                </c:pt>
                <c:pt idx="14">
                  <c:v>-304525.772660108</c:v>
                </c:pt>
                <c:pt idx="15">
                  <c:v>-309702.37279541</c:v>
                </c:pt>
                <c:pt idx="16">
                  <c:v>-314828.997577554</c:v>
                </c:pt>
                <c:pt idx="17">
                  <c:v>-319889.233391558</c:v>
                </c:pt>
                <c:pt idx="18">
                  <c:v>-324614.769833752</c:v>
                </c:pt>
                <c:pt idx="19">
                  <c:v>-329422.623945318</c:v>
                </c:pt>
                <c:pt idx="20">
                  <c:v>-334231.201284225</c:v>
                </c:pt>
                <c:pt idx="21">
                  <c:v>-338950.828306819</c:v>
                </c:pt>
                <c:pt idx="22">
                  <c:v>-343562.848187571</c:v>
                </c:pt>
                <c:pt idx="23">
                  <c:v>-348050.366881491</c:v>
                </c:pt>
                <c:pt idx="24">
                  <c:v>-352081.688981229</c:v>
                </c:pt>
                <c:pt idx="25">
                  <c:v>-355647.923757544</c:v>
                </c:pt>
                <c:pt idx="26">
                  <c:v>-360026.146249467</c:v>
                </c:pt>
                <c:pt idx="27">
                  <c:v>-363565.518184311</c:v>
                </c:pt>
                <c:pt idx="28">
                  <c:v>-367663.218145635</c:v>
                </c:pt>
                <c:pt idx="29">
                  <c:v>-371636.00348955</c:v>
                </c:pt>
                <c:pt idx="30">
                  <c:v>-374578.318453842</c:v>
                </c:pt>
                <c:pt idx="31">
                  <c:v>-378095.087537871</c:v>
                </c:pt>
                <c:pt idx="32">
                  <c:v>-381876.062992292</c:v>
                </c:pt>
                <c:pt idx="33">
                  <c:v>-385511.080522724</c:v>
                </c:pt>
                <c:pt idx="34">
                  <c:v>-388980.483411609</c:v>
                </c:pt>
                <c:pt idx="35">
                  <c:v>-392267.268030234</c:v>
                </c:pt>
              </c:numCache>
            </c:numRef>
          </c:val>
          <c:smooth val="0"/>
        </c:ser>
        <c:hiLowLines>
          <c:spPr>
            <a:ln w="0">
              <a:noFill/>
            </a:ln>
          </c:spPr>
        </c:hiLowLines>
        <c:marker val="0"/>
        <c:axId val="48920961"/>
        <c:axId val="62498211"/>
      </c:lineChart>
      <c:catAx>
        <c:axId val="48920961"/>
        <c:scaling>
          <c:orientation val="minMax"/>
        </c:scaling>
        <c:delete val="0"/>
        <c:axPos val="b"/>
        <c:title>
          <c:tx>
            <c:rich>
              <a:bodyPr rot="0"/>
              <a:lstStyle/>
              <a:p>
                <a:pPr>
                  <a:defRPr sz="1300" b="0" u="none" strike="noStrike">
                    <a:uFillTx/>
                    <a:latin typeface="Arial"/>
                  </a:defRPr>
                </a:pPr>
                <a:r>
                  <a:rPr sz="1000" b="1" u="none" strike="noStrike">
                    <a:solidFill>
                      <a:srgbClr val="000000"/>
                    </a:solidFill>
                    <a:uFillTx/>
                    <a:latin typeface="Calibri"/>
                  </a:rPr>
                  <a:t>Month</a:t>
                </a:r>
              </a:p>
            </c:rich>
          </c:tx>
          <c:overlay val="0"/>
          <c:spPr>
            <a:noFill/>
            <a:ln w="0">
              <a:noFill/>
            </a:ln>
          </c:spPr>
        </c:title>
        <c:numFmt formatCode="#,##0;\(#,##0\);\-" sourceLinked="0"/>
        <c:majorTickMark val="none"/>
        <c:minorTickMark val="none"/>
        <c:tickLblPos val="low"/>
        <c:spPr>
          <a:ln w="9360">
            <a:solidFill>
              <a:srgbClr val="878787"/>
            </a:solidFill>
            <a:round/>
          </a:ln>
        </c:spPr>
        <c:txPr>
          <a:bodyPr/>
          <a:lstStyle/>
          <a:p>
            <a:pPr>
              <a:defRPr sz="1000" b="0" u="none" strike="noStrike">
                <a:solidFill>
                  <a:srgbClr val="000000"/>
                </a:solidFill>
                <a:uFillTx/>
                <a:latin typeface="Calibri"/>
              </a:defRPr>
            </a:pPr>
          </a:p>
        </c:txPr>
        <c:crossAx val="62498211"/>
        <c:crosses val="autoZero"/>
        <c:auto val="1"/>
        <c:lblAlgn val="ctr"/>
        <c:lblOffset val="100"/>
        <c:noMultiLvlLbl val="0"/>
      </c:catAx>
      <c:valAx>
        <c:axId val="62498211"/>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8920961"/>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1</xdr:row>
      <xdr:rowOff>0</xdr:rowOff>
    </xdr:from>
    <xdr:to>
      <xdr:col>15</xdr:col>
      <xdr:colOff>98640</xdr:colOff>
      <xdr:row>15</xdr:row>
      <xdr:rowOff>31320</xdr:rowOff>
    </xdr:to>
    <xdr:graphicFrame>
      <xdr:nvGraphicFramePr>
        <xdr:cNvPr id="1" name="Chart 1"/>
        <xdr:cNvGraphicFramePr/>
      </xdr:nvGraphicFramePr>
      <xdr:xfrm>
        <a:off x="7612560" y="220320"/>
        <a:ext cx="6118200" cy="2698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17</xdr:row>
      <xdr:rowOff>0</xdr:rowOff>
    </xdr:from>
    <xdr:to>
      <xdr:col>15</xdr:col>
      <xdr:colOff>98640</xdr:colOff>
      <xdr:row>31</xdr:row>
      <xdr:rowOff>31320</xdr:rowOff>
    </xdr:to>
    <xdr:graphicFrame>
      <xdr:nvGraphicFramePr>
        <xdr:cNvPr id="2" name="Chart 2"/>
        <xdr:cNvGraphicFramePr/>
      </xdr:nvGraphicFramePr>
      <xdr:xfrm>
        <a:off x="7612560" y="3268440"/>
        <a:ext cx="6118200" cy="26982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0</xdr:colOff>
      <xdr:row>33</xdr:row>
      <xdr:rowOff>0</xdr:rowOff>
    </xdr:from>
    <xdr:to>
      <xdr:col>15</xdr:col>
      <xdr:colOff>98640</xdr:colOff>
      <xdr:row>47</xdr:row>
      <xdr:rowOff>30960</xdr:rowOff>
    </xdr:to>
    <xdr:graphicFrame>
      <xdr:nvGraphicFramePr>
        <xdr:cNvPr id="3" name="Chart 3"/>
        <xdr:cNvGraphicFramePr/>
      </xdr:nvGraphicFramePr>
      <xdr:xfrm>
        <a:off x="7612560" y="6316200"/>
        <a:ext cx="6118200" cy="26982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0</xdr:colOff>
      <xdr:row>49</xdr:row>
      <xdr:rowOff>0</xdr:rowOff>
    </xdr:from>
    <xdr:to>
      <xdr:col>15</xdr:col>
      <xdr:colOff>98640</xdr:colOff>
      <xdr:row>63</xdr:row>
      <xdr:rowOff>31320</xdr:rowOff>
    </xdr:to>
    <xdr:graphicFrame>
      <xdr:nvGraphicFramePr>
        <xdr:cNvPr id="4" name="Chart 4"/>
        <xdr:cNvGraphicFramePr/>
      </xdr:nvGraphicFramePr>
      <xdr:xfrm>
        <a:off x="7612560" y="9364320"/>
        <a:ext cx="6118200" cy="26982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0</xdr:colOff>
      <xdr:row>65</xdr:row>
      <xdr:rowOff>0</xdr:rowOff>
    </xdr:from>
    <xdr:to>
      <xdr:col>15</xdr:col>
      <xdr:colOff>98640</xdr:colOff>
      <xdr:row>79</xdr:row>
      <xdr:rowOff>31320</xdr:rowOff>
    </xdr:to>
    <xdr:graphicFrame>
      <xdr:nvGraphicFramePr>
        <xdr:cNvPr id="5" name="Chart 5"/>
        <xdr:cNvGraphicFramePr/>
      </xdr:nvGraphicFramePr>
      <xdr:xfrm>
        <a:off x="7612560" y="12412440"/>
        <a:ext cx="6118200" cy="26982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33</xdr:row>
      <xdr:rowOff>0</xdr:rowOff>
    </xdr:from>
    <xdr:to>
      <xdr:col>3</xdr:col>
      <xdr:colOff>1043280</xdr:colOff>
      <xdr:row>47</xdr:row>
      <xdr:rowOff>30960</xdr:rowOff>
    </xdr:to>
    <xdr:graphicFrame>
      <xdr:nvGraphicFramePr>
        <xdr:cNvPr id="6" name="Chart 6"/>
        <xdr:cNvGraphicFramePr/>
      </xdr:nvGraphicFramePr>
      <xdr:xfrm>
        <a:off x="0" y="6316200"/>
        <a:ext cx="6118200" cy="26982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61</xdr:row>
      <xdr:rowOff>0</xdr:rowOff>
    </xdr:from>
    <xdr:to>
      <xdr:col>3</xdr:col>
      <xdr:colOff>1043280</xdr:colOff>
      <xdr:row>77</xdr:row>
      <xdr:rowOff>10080</xdr:rowOff>
    </xdr:to>
    <xdr:graphicFrame>
      <xdr:nvGraphicFramePr>
        <xdr:cNvPr id="7" name="Chart 7"/>
        <xdr:cNvGraphicFramePr/>
      </xdr:nvGraphicFramePr>
      <xdr:xfrm>
        <a:off x="0" y="11650320"/>
        <a:ext cx="6118200" cy="305820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1" min="1" style="1" width="36"/>
    <col collapsed="false" customWidth="true" hidden="false" outlineLevel="0" max="5" min="2" style="1" width="18"/>
  </cols>
  <sheetData>
    <row r="1" customFormat="false" ht="17.35" hidden="false" customHeight="false" outlineLevel="0" collapsed="false">
      <c r="A1" s="2" t="s">
        <v>0</v>
      </c>
    </row>
    <row r="2" customFormat="false" ht="15" hidden="false" customHeight="false" outlineLevel="0" collapsed="false">
      <c r="A2" s="3" t="str">
        <f aca="false">"Scenario: "&amp;Scenarios!B3&amp;"   (change on Scenarios sheet)"</f>
        <v>Scenario: Base   (change on Scenarios sheet)</v>
      </c>
    </row>
    <row r="3" customFormat="false" ht="15" hidden="false" customHeight="false" outlineLevel="0" collapsed="false">
      <c r="A3" s="4" t="s">
        <v>1</v>
      </c>
    </row>
    <row r="4" customFormat="false" ht="15" hidden="false" customHeight="false" outlineLevel="0" collapsed="false">
      <c r="A4" s="5" t="s">
        <v>2</v>
      </c>
      <c r="B4" s="5" t="s">
        <v>3</v>
      </c>
    </row>
    <row r="5" customFormat="false" ht="15" hidden="false" customHeight="false" outlineLevel="0" collapsed="false">
      <c r="A5" s="6" t="s">
        <v>4</v>
      </c>
      <c r="B5" s="7" t="str">
        <f aca="false">Scenarios!$B$16</f>
        <v>Not within 36 mo</v>
      </c>
    </row>
    <row r="6" customFormat="false" ht="15" hidden="false" customHeight="false" outlineLevel="0" collapsed="false">
      <c r="A6" s="6" t="s">
        <v>5</v>
      </c>
      <c r="B6" s="7" t="str">
        <f aca="false">Scenarios!$B$18</f>
        <v>Not within 36 mo</v>
      </c>
    </row>
    <row r="7" customFormat="false" ht="15" hidden="false" customHeight="false" outlineLevel="0" collapsed="false">
      <c r="A7" s="6" t="s">
        <v>6</v>
      </c>
      <c r="B7" s="8" t="n">
        <f aca="false">Scenarios!$B$19</f>
        <v>5358.08971234426</v>
      </c>
    </row>
    <row r="8" customFormat="false" ht="15" hidden="false" customHeight="false" outlineLevel="0" collapsed="false">
      <c r="A8" s="6" t="s">
        <v>7</v>
      </c>
      <c r="B8" s="8" t="n">
        <f aca="false">Scenarios!$B$20</f>
        <v>-5222.66066050349</v>
      </c>
    </row>
    <row r="9" customFormat="false" ht="15" hidden="false" customHeight="false" outlineLevel="0" collapsed="false">
      <c r="A9" s="6" t="s">
        <v>8</v>
      </c>
      <c r="B9" s="8" t="n">
        <f aca="false">Scenarios!$B$21</f>
        <v>10226.9593609953</v>
      </c>
    </row>
    <row r="10" customFormat="false" ht="15" hidden="false" customHeight="false" outlineLevel="0" collapsed="false">
      <c r="A10" s="6" t="s">
        <v>9</v>
      </c>
      <c r="B10" s="8" t="n">
        <f aca="false">Scenarios!$B$22</f>
        <v>-3115.97592293962</v>
      </c>
    </row>
    <row r="11" customFormat="false" ht="15" hidden="false" customHeight="false" outlineLevel="0" collapsed="false">
      <c r="A11" s="6" t="s">
        <v>10</v>
      </c>
      <c r="B11" s="8" t="n">
        <f aca="false">Scenarios!$B$27</f>
        <v>-267461.653163089</v>
      </c>
    </row>
    <row r="12" customFormat="false" ht="15" hidden="false" customHeight="false" outlineLevel="0" collapsed="false">
      <c r="A12" s="6" t="s">
        <v>11</v>
      </c>
      <c r="B12" s="8" t="n">
        <f aca="false">Scenarios!$B$29</f>
        <v>297461.653163089</v>
      </c>
    </row>
    <row r="13" customFormat="false" ht="15" hidden="false" customHeight="false" outlineLevel="0" collapsed="false">
      <c r="A13" s="6" t="s">
        <v>12</v>
      </c>
      <c r="B13" s="9" t="n">
        <f aca="false">Scenarios!$B$31</f>
        <v>39.574459580821</v>
      </c>
    </row>
    <row r="14" customFormat="false" ht="15" hidden="false" customHeight="false" outlineLevel="0" collapsed="false">
      <c r="A14" s="6" t="s">
        <v>13</v>
      </c>
      <c r="B14" s="9" t="n">
        <f aca="false">Scenarios!$B$33</f>
        <v>25.8341263504</v>
      </c>
    </row>
    <row r="15" customFormat="false" ht="15" hidden="false" customHeight="false" outlineLevel="0" collapsed="false">
      <c r="A15" s="6" t="s">
        <v>14</v>
      </c>
      <c r="B15" s="10" t="n">
        <f aca="false">Scenarios!$B$34</f>
        <v>0.652797956662938</v>
      </c>
    </row>
    <row r="16" customFormat="false" ht="15" hidden="false" customHeight="false" outlineLevel="0" collapsed="false">
      <c r="A16" s="6" t="s">
        <v>15</v>
      </c>
      <c r="B16" s="7" t="n">
        <f aca="false">Scenarios!$B$30</f>
        <v>9471.41069836807</v>
      </c>
    </row>
    <row r="18" customFormat="false" ht="15" hidden="false" customHeight="false" outlineLevel="0" collapsed="false">
      <c r="A18" s="5" t="s">
        <v>16</v>
      </c>
      <c r="B18" s="5" t="s">
        <v>17</v>
      </c>
      <c r="C18" s="5" t="s">
        <v>18</v>
      </c>
      <c r="D18" s="5" t="s">
        <v>19</v>
      </c>
    </row>
    <row r="19" customFormat="false" ht="15" hidden="false" customHeight="false" outlineLevel="0" collapsed="false">
      <c r="A19" s="6" t="s">
        <v>20</v>
      </c>
      <c r="B19" s="11" t="n">
        <f aca="false">Forecast!AO30</f>
        <v>156723.250235828</v>
      </c>
      <c r="C19" s="11" t="n">
        <f aca="false">Forecast!AP30</f>
        <v>192681.075987236</v>
      </c>
      <c r="D19" s="11" t="n">
        <f aca="false">Forecast!AQ30</f>
        <v>216934.527494653</v>
      </c>
    </row>
    <row r="20" customFormat="false" ht="15" hidden="false" customHeight="false" outlineLevel="0" collapsed="false">
      <c r="A20" s="6" t="s">
        <v>21</v>
      </c>
      <c r="B20" s="11" t="n">
        <f aca="false">Forecast!AO40</f>
        <v>1716.05273187698</v>
      </c>
      <c r="C20" s="11" t="n">
        <f aca="false">Forecast!AP40</f>
        <v>2130.20959129906</v>
      </c>
      <c r="D20" s="11" t="n">
        <f aca="false">Forecast!AQ40</f>
        <v>2412.29278885126</v>
      </c>
    </row>
    <row r="21" customFormat="false" ht="15" hidden="false" customHeight="false" outlineLevel="0" collapsed="false">
      <c r="A21" s="6" t="s">
        <v>22</v>
      </c>
      <c r="B21" s="11" t="n">
        <f aca="false">Forecast!AO43</f>
        <v>2007.41476787227</v>
      </c>
      <c r="C21" s="11" t="n">
        <f aca="false">Forecast!AP43</f>
        <v>3155.72918629328</v>
      </c>
      <c r="D21" s="11" t="n">
        <f aca="false">Forecast!AQ43</f>
        <v>4308.26674420252</v>
      </c>
    </row>
    <row r="22" customFormat="false" ht="15" hidden="false" customHeight="false" outlineLevel="0" collapsed="false">
      <c r="A22" s="6" t="s">
        <v>23</v>
      </c>
      <c r="B22" s="12" t="n">
        <f aca="false">Forecast!AO60</f>
        <v>57322.6101323432</v>
      </c>
      <c r="C22" s="12" t="n">
        <f aca="false">Forecast!AP60</f>
        <v>90113.2325637329</v>
      </c>
      <c r="D22" s="12" t="n">
        <f aca="false">Forecast!AQ60</f>
        <v>123024.448597548</v>
      </c>
    </row>
    <row r="23" customFormat="false" ht="15" hidden="false" customHeight="false" outlineLevel="0" collapsed="false">
      <c r="A23" s="6" t="s">
        <v>24</v>
      </c>
      <c r="B23" s="12" t="n">
        <f aca="false">Forecast!AO71</f>
        <v>27389.1672582901</v>
      </c>
      <c r="C23" s="12" t="n">
        <f aca="false">Forecast!AP71</f>
        <v>44123.4039443125</v>
      </c>
      <c r="D23" s="12" t="n">
        <f aca="false">Forecast!AQ71</f>
        <v>61155.7436508853</v>
      </c>
    </row>
    <row r="24" customFormat="false" ht="15" hidden="false" customHeight="false" outlineLevel="0" collapsed="false">
      <c r="A24" s="6" t="s">
        <v>25</v>
      </c>
      <c r="B24" s="12" t="n">
        <f aca="false">Forecast!AO74</f>
        <v>82559.6454384219</v>
      </c>
      <c r="C24" s="12" t="n">
        <f aca="false">Forecast!AP74</f>
        <v>82559.6454384219</v>
      </c>
      <c r="D24" s="12" t="n">
        <f aca="false">Forecast!AQ74</f>
        <v>82559.6454384219</v>
      </c>
    </row>
    <row r="25" customFormat="false" ht="15" hidden="false" customHeight="false" outlineLevel="0" collapsed="false">
      <c r="A25" s="6" t="s">
        <v>26</v>
      </c>
      <c r="B25" s="12" t="n">
        <f aca="false">Forecast!AO75</f>
        <v>15007.2800695584</v>
      </c>
      <c r="C25" s="12" t="n">
        <f aca="false">Forecast!AP75</f>
        <v>19251.0113684537</v>
      </c>
      <c r="D25" s="12" t="n">
        <f aca="false">Forecast!AQ75</f>
        <v>20586.7402632991</v>
      </c>
    </row>
    <row r="26" customFormat="false" ht="15" hidden="false" customHeight="false" outlineLevel="0" collapsed="false">
      <c r="A26" s="6" t="s">
        <v>27</v>
      </c>
      <c r="B26" s="12" t="n">
        <f aca="false">Forecast!AO77</f>
        <v>-197783.75824969</v>
      </c>
      <c r="C26" s="12" t="n">
        <f aca="false">Forecast!AP77</f>
        <v>-57687.2528625631</v>
      </c>
      <c r="D26" s="12" t="n">
        <f aca="false">Forecast!AQ77</f>
        <v>-41990.6420508356</v>
      </c>
    </row>
    <row r="27" customFormat="false" ht="15" hidden="false" customHeight="false" outlineLevel="0" collapsed="false">
      <c r="A27" s="6" t="s">
        <v>28</v>
      </c>
      <c r="B27" s="12" t="n">
        <f aca="false">Forecast!AO80</f>
        <v>-167783.75824969</v>
      </c>
      <c r="C27" s="12" t="n">
        <f aca="false">Forecast!AP80</f>
        <v>-225471.011112253</v>
      </c>
      <c r="D27" s="12" t="n">
        <f aca="false">Forecast!AQ80</f>
        <v>-267461.653163089</v>
      </c>
    </row>
    <row r="29" customFormat="false" ht="15" hidden="false" customHeight="false" outlineLevel="0" collapsed="false">
      <c r="A29" s="5" t="s">
        <v>29</v>
      </c>
      <c r="B29" s="5" t="s">
        <v>30</v>
      </c>
      <c r="C29" s="5" t="s">
        <v>31</v>
      </c>
    </row>
    <row r="30" customFormat="false" ht="15" hidden="false" customHeight="false" outlineLevel="0" collapsed="false">
      <c r="A30" s="6" t="str">
        <f aca="false">'Unit Economics'!A5</f>
        <v>Card - Digital e-card/PDF</v>
      </c>
      <c r="B30" s="13" t="n">
        <f aca="false">'Unit Economics'!N5</f>
        <v>3.1930555</v>
      </c>
      <c r="C30" s="14" t="n">
        <f aca="false">'Unit Economics'!O5</f>
        <v>0.825014985918404</v>
      </c>
    </row>
    <row r="31" customFormat="false" ht="15" hidden="false" customHeight="false" outlineLevel="0" collapsed="false">
      <c r="A31" s="6" t="str">
        <f aca="false">'Unit Economics'!A6</f>
        <v>Card - Printed 5x7 folded</v>
      </c>
      <c r="B31" s="13" t="n">
        <f aca="false">'Unit Economics'!N6</f>
        <v>4.4452865</v>
      </c>
      <c r="C31" s="14" t="n">
        <f aca="false">'Unit Economics'!O6</f>
        <v>0.429058102015623</v>
      </c>
    </row>
    <row r="32" customFormat="false" ht="15" hidden="false" customHeight="false" outlineLevel="0" collapsed="false">
      <c r="A32" s="6" t="str">
        <f aca="false">'Unit Economics'!A7</f>
        <v>Book - Digital flipbook/PDF</v>
      </c>
      <c r="B32" s="13" t="n">
        <f aca="false">'Unit Economics'!N7</f>
        <v>17.1769645</v>
      </c>
      <c r="C32" s="14" t="n">
        <f aca="false">'Unit Economics'!O7</f>
        <v>0.885853467971099</v>
      </c>
    </row>
    <row r="33" customFormat="false" ht="15" hidden="false" customHeight="false" outlineLevel="0" collapsed="false">
      <c r="A33" s="6" t="str">
        <f aca="false">'Unit Economics'!A8</f>
        <v>Book - Hardcover 8.5x8.5, 24pp</v>
      </c>
      <c r="B33" s="13" t="n">
        <f aca="false">'Unit Economics'!N8</f>
        <v>21.4183055</v>
      </c>
      <c r="C33" s="14" t="n">
        <f aca="false">'Unit Economics'!O8</f>
        <v>0.497414505633746</v>
      </c>
    </row>
    <row r="34" customFormat="false" ht="15" hidden="false" customHeight="false" outlineLevel="0" collapsed="false">
      <c r="A34" s="6" t="str">
        <f aca="false">'Unit Economics'!A9</f>
        <v>Book - Hardcover 8.5x8.5, 32pp</v>
      </c>
      <c r="B34" s="13" t="n">
        <f aca="false">'Unit Economics'!N9</f>
        <v>27.8362675</v>
      </c>
      <c r="C34" s="14" t="n">
        <f aca="false">'Unit Economics'!O9</f>
        <v>0.527609034393387</v>
      </c>
    </row>
    <row r="52" customFormat="false" ht="15" hidden="false" customHeight="false" outlineLevel="0" collapsed="false">
      <c r="A52" s="15" t="s">
        <v>32</v>
      </c>
      <c r="B52" s="16" t="s">
        <v>33</v>
      </c>
      <c r="C52" s="16" t="s">
        <v>34</v>
      </c>
      <c r="D52" s="16" t="s">
        <v>35</v>
      </c>
      <c r="E52" s="16" t="s">
        <v>36</v>
      </c>
    </row>
    <row r="53" customFormat="false" ht="15" hidden="false" customHeight="false" outlineLevel="0" collapsed="false">
      <c r="A53" s="17" t="s">
        <v>37</v>
      </c>
      <c r="B53" s="18" t="n">
        <f aca="false">Compare!B52</f>
        <v>-167783.75824969</v>
      </c>
      <c r="C53" s="18" t="n">
        <f aca="false">Compare!C52</f>
        <v>-243297.940322683</v>
      </c>
      <c r="D53" s="18" t="n">
        <f aca="false">Compare!D52</f>
        <v>-202398.75824969</v>
      </c>
      <c r="E53" s="18" t="n">
        <f aca="false">Compare!E52</f>
        <v>-277912.940322683</v>
      </c>
    </row>
    <row r="54" customFormat="false" ht="15" hidden="false" customHeight="false" outlineLevel="0" collapsed="false">
      <c r="A54" s="17" t="s">
        <v>38</v>
      </c>
      <c r="B54" s="18" t="n">
        <f aca="false">Compare!B53</f>
        <v>-225471.011112253</v>
      </c>
      <c r="C54" s="18" t="n">
        <f aca="false">Compare!C53</f>
        <v>-313435.366881491</v>
      </c>
      <c r="D54" s="18" t="n">
        <f aca="false">Compare!D53</f>
        <v>-260086.011112253</v>
      </c>
      <c r="E54" s="18" t="n">
        <f aca="false">Compare!E53</f>
        <v>-348050.366881491</v>
      </c>
    </row>
    <row r="55" customFormat="false" ht="15" hidden="false" customHeight="false" outlineLevel="0" collapsed="false">
      <c r="A55" s="17" t="s">
        <v>39</v>
      </c>
      <c r="B55" s="18" t="n">
        <f aca="false">Compare!B54</f>
        <v>-267461.653163089</v>
      </c>
      <c r="C55" s="18" t="n">
        <f aca="false">Compare!C54</f>
        <v>-357652.268030234</v>
      </c>
      <c r="D55" s="18" t="n">
        <f aca="false">Compare!D54</f>
        <v>-302076.653163089</v>
      </c>
      <c r="E55" s="18" t="n">
        <f aca="false">Compare!E54</f>
        <v>-392267.268030234</v>
      </c>
    </row>
    <row r="56" customFormat="false" ht="15" hidden="false" customHeight="false" outlineLevel="0" collapsed="false">
      <c r="A56" s="17" t="s">
        <v>11</v>
      </c>
      <c r="B56" s="18" t="n">
        <f aca="false">Compare!B56</f>
        <v>297461.653163089</v>
      </c>
      <c r="C56" s="18" t="n">
        <f aca="false">Compare!C56</f>
        <v>387652.268030234</v>
      </c>
      <c r="D56" s="18" t="n">
        <f aca="false">Compare!D56</f>
        <v>332076.653163089</v>
      </c>
      <c r="E56" s="18" t="n">
        <f aca="false">Compare!E56</f>
        <v>422267.268030234</v>
      </c>
    </row>
    <row r="57" customFormat="false" ht="15" hidden="false" customHeight="false" outlineLevel="0" collapsed="false">
      <c r="A57" s="17" t="s">
        <v>40</v>
      </c>
      <c r="B57" s="19" t="str">
        <f aca="false">Compare!B57</f>
        <v>Not within 36 mo</v>
      </c>
      <c r="C57" s="19" t="str">
        <f aca="false">Compare!C57</f>
        <v>Not within 36 mo</v>
      </c>
      <c r="D57" s="19" t="str">
        <f aca="false">Compare!D57</f>
        <v>Not within 36 mo</v>
      </c>
      <c r="E57" s="19" t="str">
        <f aca="false">Compare!E57</f>
        <v>Not within 36 mo</v>
      </c>
    </row>
    <row r="58" customFormat="false" ht="15" hidden="false" customHeight="false" outlineLevel="0" collapsed="false">
      <c r="A58" s="17" t="s">
        <v>41</v>
      </c>
      <c r="B58" s="18" t="n">
        <f aca="false">Compare!B58</f>
        <v>107100</v>
      </c>
      <c r="C58" s="18" t="n">
        <f aca="false">Compare!C58</f>
        <v>190800</v>
      </c>
      <c r="D58" s="18" t="n">
        <f aca="false">Compare!D58</f>
        <v>141715</v>
      </c>
      <c r="E58" s="18" t="n">
        <f aca="false">Compare!E58</f>
        <v>225415</v>
      </c>
    </row>
    <row r="59" customFormat="false" ht="15" hidden="false" customHeight="false" outlineLevel="0" collapsed="false">
      <c r="A59" s="17" t="s">
        <v>42</v>
      </c>
      <c r="B59" s="18" t="n">
        <f aca="false">Compare!B59</f>
        <v>-297461.653163089</v>
      </c>
      <c r="C59" s="18" t="n">
        <f aca="false">Compare!C59</f>
        <v>-387652.268030234</v>
      </c>
      <c r="D59" s="18" t="n">
        <f aca="false">Compare!D59</f>
        <v>-332076.653163089</v>
      </c>
      <c r="E59" s="18" t="n">
        <f aca="false">Compare!E59</f>
        <v>-422267.268030234</v>
      </c>
    </row>
    <row r="60" customFormat="false" ht="15" hidden="false" customHeight="false" outlineLevel="0" collapsed="false">
      <c r="A60" s="4" t="str">
        <f aca="false">"Case: "&amp;Scenarios!B3&amp;" | Market-adjusted: "&amp;IF(Scenarios!B44=1,"ON","off")</f>
        <v>Case: Base | Market-adjusted: off</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4296875" defaultRowHeight="15" customHeight="false" zeroHeight="false" outlineLevelRow="0" outlineLevelCol="0"/>
  <cols>
    <col collapsed="false" customWidth="true" hidden="false" outlineLevel="0" max="1" min="1" style="1" width="46"/>
    <col collapsed="false" customWidth="true" hidden="false" outlineLevel="0" max="2" min="2" style="1" width="16"/>
    <col collapsed="false" customWidth="true" hidden="false" outlineLevel="0" max="3" min="3" style="1" width="24"/>
    <col collapsed="false" customWidth="true" hidden="false" outlineLevel="0" max="5" min="4" style="1" width="16"/>
    <col collapsed="false" customWidth="true" hidden="false" outlineLevel="0" max="6" min="6" style="1" width="22"/>
    <col collapsed="false" customWidth="true" hidden="false" outlineLevel="0" max="7" min="7" style="1" width="14"/>
    <col collapsed="false" customWidth="true" hidden="false" outlineLevel="0" max="9" min="8" style="1" width="16"/>
    <col collapsed="false" customWidth="true" hidden="false" outlineLevel="0" max="10" min="10" style="1" width="22"/>
    <col collapsed="false" customWidth="true" hidden="false" outlineLevel="0" max="11" min="11" style="1" width="60"/>
    <col collapsed="false" customWidth="true" hidden="false" outlineLevel="0" max="12" min="12" style="1" width="40"/>
  </cols>
  <sheetData>
    <row r="1" customFormat="false" ht="17.35" hidden="false" customHeight="false" outlineLevel="0" collapsed="false">
      <c r="A1" s="2" t="s">
        <v>43</v>
      </c>
    </row>
    <row r="2" customFormat="false" ht="15" hidden="false" customHeight="false" outlineLevel="0" collapsed="false">
      <c r="A2" s="20" t="s">
        <v>44</v>
      </c>
    </row>
    <row r="3" customFormat="false" ht="15" hidden="false" customHeight="false" outlineLevel="0" collapsed="false">
      <c r="A3" s="3" t="s">
        <v>45</v>
      </c>
      <c r="B3" s="21" t="s">
        <v>46</v>
      </c>
      <c r="C3" s="6" t="s">
        <v>47</v>
      </c>
      <c r="D3" s="22" t="s">
        <v>48</v>
      </c>
    </row>
    <row r="5" customFormat="false" ht="15" hidden="false" customHeight="false" outlineLevel="0" collapsed="false">
      <c r="A5" s="23" t="s">
        <v>49</v>
      </c>
      <c r="B5" s="24"/>
      <c r="C5" s="24"/>
      <c r="D5" s="24"/>
      <c r="E5" s="24"/>
      <c r="F5" s="24"/>
    </row>
    <row r="6" customFormat="false" ht="15" hidden="false" customHeight="false" outlineLevel="0" collapsed="false">
      <c r="A6" s="5" t="s">
        <v>50</v>
      </c>
      <c r="B6" s="5" t="s">
        <v>3</v>
      </c>
      <c r="C6" s="5" t="s">
        <v>51</v>
      </c>
      <c r="D6" s="5" t="s">
        <v>52</v>
      </c>
      <c r="E6" s="5" t="s">
        <v>53</v>
      </c>
      <c r="F6" s="5" t="s">
        <v>54</v>
      </c>
    </row>
    <row r="7" customFormat="false" ht="15" hidden="false" customHeight="false" outlineLevel="0" collapsed="false">
      <c r="A7" s="6" t="s">
        <v>55</v>
      </c>
      <c r="B7" s="25" t="n">
        <v>46327</v>
      </c>
      <c r="C7" s="6" t="s">
        <v>56</v>
      </c>
      <c r="D7" s="6" t="s">
        <v>57</v>
      </c>
      <c r="E7" s="6" t="s">
        <v>58</v>
      </c>
      <c r="F7" s="20" t="s">
        <v>59</v>
      </c>
    </row>
    <row r="8" customFormat="false" ht="15" hidden="false" customHeight="false" outlineLevel="0" collapsed="false">
      <c r="A8" s="6" t="s">
        <v>60</v>
      </c>
      <c r="B8" s="26" t="n">
        <v>30000</v>
      </c>
      <c r="C8" s="6" t="s">
        <v>61</v>
      </c>
      <c r="D8" s="6" t="s">
        <v>62</v>
      </c>
      <c r="E8" s="6" t="s">
        <v>63</v>
      </c>
      <c r="F8" s="20" t="s">
        <v>64</v>
      </c>
    </row>
    <row r="9" customFormat="false" ht="15" hidden="false" customHeight="false" outlineLevel="0" collapsed="false">
      <c r="A9" s="6" t="s">
        <v>65</v>
      </c>
      <c r="B9" s="27" t="n">
        <v>1.15</v>
      </c>
      <c r="C9" s="6" t="s">
        <v>66</v>
      </c>
      <c r="D9" s="6" t="s">
        <v>62</v>
      </c>
      <c r="E9" s="6" t="s">
        <v>67</v>
      </c>
      <c r="F9" s="20" t="s">
        <v>68</v>
      </c>
    </row>
    <row r="10" customFormat="false" ht="15" hidden="false" customHeight="false" outlineLevel="0" collapsed="false">
      <c r="A10" s="23" t="s">
        <v>69</v>
      </c>
      <c r="B10" s="24"/>
      <c r="C10" s="24"/>
      <c r="D10" s="24"/>
      <c r="E10" s="24"/>
      <c r="F10" s="24"/>
    </row>
    <row r="11" customFormat="false" ht="15" hidden="false" customHeight="false" outlineLevel="0" collapsed="false">
      <c r="A11" s="5" t="s">
        <v>50</v>
      </c>
      <c r="B11" s="5" t="s">
        <v>3</v>
      </c>
      <c r="C11" s="5" t="s">
        <v>51</v>
      </c>
      <c r="D11" s="5" t="s">
        <v>52</v>
      </c>
      <c r="E11" s="5" t="s">
        <v>53</v>
      </c>
      <c r="F11" s="5" t="s">
        <v>54</v>
      </c>
    </row>
    <row r="12" customFormat="false" ht="15" hidden="false" customHeight="false" outlineLevel="0" collapsed="false">
      <c r="A12" s="6" t="s">
        <v>70</v>
      </c>
      <c r="B12" s="28" t="n">
        <v>0.07</v>
      </c>
      <c r="C12" s="6" t="s">
        <v>71</v>
      </c>
      <c r="D12" s="6" t="s">
        <v>62</v>
      </c>
      <c r="E12" s="6" t="s">
        <v>72</v>
      </c>
      <c r="F12" s="20" t="s">
        <v>73</v>
      </c>
    </row>
    <row r="13" customFormat="false" ht="15" hidden="false" customHeight="false" outlineLevel="0" collapsed="false">
      <c r="A13" s="6" t="s">
        <v>74</v>
      </c>
      <c r="B13" s="28" t="n">
        <v>0.6</v>
      </c>
      <c r="C13" s="6" t="s">
        <v>75</v>
      </c>
      <c r="D13" s="6" t="s">
        <v>62</v>
      </c>
      <c r="E13" s="6" t="s">
        <v>76</v>
      </c>
      <c r="F13" s="20" t="s">
        <v>77</v>
      </c>
    </row>
    <row r="14" customFormat="false" ht="15" hidden="false" customHeight="false" outlineLevel="0" collapsed="false">
      <c r="A14" s="6" t="s">
        <v>78</v>
      </c>
      <c r="B14" s="28" t="n">
        <v>0.25</v>
      </c>
      <c r="C14" s="6" t="s">
        <v>79</v>
      </c>
      <c r="D14" s="6" t="s">
        <v>62</v>
      </c>
      <c r="E14" s="6" t="s">
        <v>80</v>
      </c>
      <c r="F14" s="20" t="s">
        <v>81</v>
      </c>
    </row>
    <row r="15" customFormat="false" ht="15" hidden="false" customHeight="false" outlineLevel="0" collapsed="false">
      <c r="A15" s="6" t="s">
        <v>82</v>
      </c>
      <c r="B15" s="28" t="n">
        <v>0.15</v>
      </c>
      <c r="C15" s="6" t="s">
        <v>71</v>
      </c>
      <c r="D15" s="6" t="s">
        <v>62</v>
      </c>
      <c r="E15" s="6" t="s">
        <v>83</v>
      </c>
      <c r="F15" s="20" t="s">
        <v>84</v>
      </c>
    </row>
    <row r="16" customFormat="false" ht="15" hidden="false" customHeight="false" outlineLevel="0" collapsed="false">
      <c r="A16" s="6" t="s">
        <v>85</v>
      </c>
      <c r="B16" s="27" t="n">
        <v>0.5</v>
      </c>
      <c r="C16" s="6" t="s">
        <v>86</v>
      </c>
      <c r="D16" s="6" t="s">
        <v>62</v>
      </c>
      <c r="E16" s="6" t="s">
        <v>86</v>
      </c>
      <c r="F16" s="20" t="s">
        <v>87</v>
      </c>
    </row>
    <row r="17" customFormat="false" ht="15" hidden="false" customHeight="false" outlineLevel="0" collapsed="false">
      <c r="A17" s="6" t="s">
        <v>88</v>
      </c>
      <c r="B17" s="28" t="n">
        <v>0.35</v>
      </c>
      <c r="C17" s="6" t="s">
        <v>89</v>
      </c>
      <c r="D17" s="6" t="s">
        <v>90</v>
      </c>
      <c r="E17" s="6" t="s">
        <v>91</v>
      </c>
      <c r="F17" s="20" t="s">
        <v>92</v>
      </c>
    </row>
    <row r="18" customFormat="false" ht="15" hidden="false" customHeight="false" outlineLevel="0" collapsed="false">
      <c r="A18" s="23" t="s">
        <v>93</v>
      </c>
      <c r="B18" s="24"/>
      <c r="C18" s="24"/>
      <c r="D18" s="24"/>
      <c r="E18" s="24"/>
      <c r="F18" s="24"/>
    </row>
    <row r="19" customFormat="false" ht="15" hidden="false" customHeight="false" outlineLevel="0" collapsed="false">
      <c r="A19" s="5" t="s">
        <v>50</v>
      </c>
      <c r="B19" s="5" t="s">
        <v>3</v>
      </c>
      <c r="C19" s="5" t="s">
        <v>51</v>
      </c>
      <c r="D19" s="5" t="s">
        <v>52</v>
      </c>
      <c r="E19" s="5" t="s">
        <v>53</v>
      </c>
      <c r="F19" s="5" t="s">
        <v>54</v>
      </c>
    </row>
    <row r="20" customFormat="false" ht="15" hidden="false" customHeight="false" outlineLevel="0" collapsed="false">
      <c r="A20" s="6" t="s">
        <v>94</v>
      </c>
      <c r="B20" s="29" t="n">
        <v>2000</v>
      </c>
      <c r="C20" s="6" t="s">
        <v>95</v>
      </c>
      <c r="D20" s="6" t="s">
        <v>62</v>
      </c>
      <c r="E20" s="6" t="s">
        <v>96</v>
      </c>
      <c r="F20" s="20" t="s">
        <v>97</v>
      </c>
    </row>
    <row r="21" customFormat="false" ht="15" hidden="false" customHeight="false" outlineLevel="0" collapsed="false">
      <c r="A21" s="6" t="s">
        <v>98</v>
      </c>
      <c r="B21" s="28" t="n">
        <v>0.12</v>
      </c>
      <c r="C21" s="6" t="s">
        <v>99</v>
      </c>
      <c r="D21" s="6" t="s">
        <v>62</v>
      </c>
      <c r="E21" s="6" t="s">
        <v>100</v>
      </c>
      <c r="F21" s="20" t="s">
        <v>101</v>
      </c>
    </row>
    <row r="22" customFormat="false" ht="15" hidden="false" customHeight="false" outlineLevel="0" collapsed="false">
      <c r="A22" s="6" t="s">
        <v>102</v>
      </c>
      <c r="B22" s="27" t="n">
        <v>0.93</v>
      </c>
      <c r="C22" s="6" t="s">
        <v>103</v>
      </c>
      <c r="D22" s="6" t="s">
        <v>62</v>
      </c>
      <c r="E22" s="6" t="s">
        <v>104</v>
      </c>
      <c r="F22" s="20" t="s">
        <v>105</v>
      </c>
    </row>
    <row r="23" customFormat="false" ht="15" hidden="false" customHeight="false" outlineLevel="0" collapsed="false">
      <c r="A23" s="6" t="s">
        <v>106</v>
      </c>
      <c r="B23" s="27" t="n">
        <v>0.3</v>
      </c>
      <c r="C23" s="6" t="s">
        <v>107</v>
      </c>
      <c r="D23" s="6" t="s">
        <v>62</v>
      </c>
      <c r="E23" s="6" t="s">
        <v>108</v>
      </c>
      <c r="F23" s="20" t="s">
        <v>109</v>
      </c>
    </row>
    <row r="24" customFormat="false" ht="15" hidden="false" customHeight="false" outlineLevel="0" collapsed="false">
      <c r="A24" s="23" t="s">
        <v>110</v>
      </c>
      <c r="B24" s="24"/>
      <c r="C24" s="24"/>
      <c r="D24" s="24"/>
      <c r="E24" s="24"/>
      <c r="F24" s="24"/>
    </row>
    <row r="25" customFormat="false" ht="15" hidden="false" customHeight="false" outlineLevel="0" collapsed="false">
      <c r="A25" s="5" t="s">
        <v>50</v>
      </c>
      <c r="B25" s="5" t="s">
        <v>3</v>
      </c>
      <c r="C25" s="5" t="s">
        <v>51</v>
      </c>
      <c r="D25" s="5" t="s">
        <v>52</v>
      </c>
      <c r="E25" s="5" t="s">
        <v>53</v>
      </c>
      <c r="F25" s="5" t="s">
        <v>54</v>
      </c>
    </row>
    <row r="26" customFormat="false" ht="15" hidden="false" customHeight="false" outlineLevel="0" collapsed="false">
      <c r="A26" s="6" t="s">
        <v>111</v>
      </c>
      <c r="B26" s="12" t="n">
        <f aca="false">SUM(B57:B62)</f>
        <v>6500</v>
      </c>
      <c r="C26" s="6" t="s">
        <v>112</v>
      </c>
      <c r="D26" s="6" t="s">
        <v>113</v>
      </c>
      <c r="E26" s="6" t="s">
        <v>114</v>
      </c>
      <c r="F26" s="20" t="s">
        <v>115</v>
      </c>
    </row>
    <row r="27" customFormat="false" ht="15" hidden="false" customHeight="false" outlineLevel="0" collapsed="false">
      <c r="A27" s="6" t="s">
        <v>116</v>
      </c>
      <c r="B27" s="28" t="n">
        <v>0</v>
      </c>
      <c r="C27" s="6" t="s">
        <v>99</v>
      </c>
      <c r="D27" s="6" t="s">
        <v>62</v>
      </c>
      <c r="E27" s="6" t="s">
        <v>117</v>
      </c>
      <c r="F27" s="20" t="s">
        <v>118</v>
      </c>
    </row>
    <row r="28" customFormat="false" ht="15" hidden="false" customHeight="false" outlineLevel="0" collapsed="false">
      <c r="A28" s="6" t="s">
        <v>119</v>
      </c>
      <c r="B28" s="26" t="n">
        <v>20000</v>
      </c>
      <c r="C28" s="6" t="s">
        <v>112</v>
      </c>
      <c r="D28" s="6" t="s">
        <v>62</v>
      </c>
      <c r="E28" s="6" t="s">
        <v>120</v>
      </c>
      <c r="F28" s="20" t="s">
        <v>121</v>
      </c>
    </row>
    <row r="29" customFormat="false" ht="15" hidden="false" customHeight="false" outlineLevel="0" collapsed="false">
      <c r="A29" s="6" t="s">
        <v>122</v>
      </c>
      <c r="B29" s="27" t="n">
        <v>0.5</v>
      </c>
      <c r="C29" s="6" t="s">
        <v>86</v>
      </c>
      <c r="D29" s="6" t="s">
        <v>62</v>
      </c>
      <c r="E29" s="6" t="s">
        <v>86</v>
      </c>
      <c r="F29" s="20" t="s">
        <v>123</v>
      </c>
    </row>
    <row r="30" customFormat="false" ht="15" hidden="false" customHeight="false" outlineLevel="0" collapsed="false">
      <c r="A30" s="23" t="s">
        <v>124</v>
      </c>
      <c r="B30" s="24"/>
      <c r="C30" s="24"/>
      <c r="D30" s="24"/>
      <c r="E30" s="24"/>
      <c r="F30" s="24"/>
    </row>
    <row r="31" customFormat="false" ht="15" hidden="false" customHeight="false" outlineLevel="0" collapsed="false">
      <c r="A31" s="5" t="s">
        <v>50</v>
      </c>
      <c r="B31" s="5" t="s">
        <v>3</v>
      </c>
      <c r="C31" s="5" t="s">
        <v>51</v>
      </c>
      <c r="D31" s="5" t="s">
        <v>52</v>
      </c>
      <c r="E31" s="5" t="s">
        <v>53</v>
      </c>
      <c r="F31" s="5" t="s">
        <v>54</v>
      </c>
    </row>
    <row r="32" customFormat="false" ht="15" hidden="false" customHeight="false" outlineLevel="0" collapsed="false">
      <c r="A32" s="6" t="s">
        <v>125</v>
      </c>
      <c r="B32" s="27" t="n">
        <v>0.35</v>
      </c>
      <c r="C32" s="6" t="s">
        <v>126</v>
      </c>
      <c r="D32" s="6" t="s">
        <v>62</v>
      </c>
      <c r="E32" s="6" t="s">
        <v>127</v>
      </c>
      <c r="F32" s="20" t="s">
        <v>128</v>
      </c>
    </row>
    <row r="33" customFormat="false" ht="15" hidden="false" customHeight="false" outlineLevel="0" collapsed="false">
      <c r="A33" s="6" t="s">
        <v>129</v>
      </c>
      <c r="B33" s="27" t="n">
        <v>2</v>
      </c>
      <c r="C33" s="6" t="s">
        <v>130</v>
      </c>
      <c r="D33" s="6" t="s">
        <v>62</v>
      </c>
      <c r="E33" s="6" t="s">
        <v>131</v>
      </c>
      <c r="F33" s="20" t="s">
        <v>132</v>
      </c>
    </row>
    <row r="34" customFormat="false" ht="15" hidden="false" customHeight="false" outlineLevel="0" collapsed="false">
      <c r="A34" s="6" t="s">
        <v>133</v>
      </c>
      <c r="B34" s="28" t="n">
        <v>0.2</v>
      </c>
      <c r="C34" s="6" t="s">
        <v>134</v>
      </c>
      <c r="D34" s="6" t="s">
        <v>135</v>
      </c>
      <c r="E34" s="6" t="s">
        <v>136</v>
      </c>
      <c r="F34" s="20" t="s">
        <v>137</v>
      </c>
    </row>
    <row r="35" customFormat="false" ht="15" hidden="false" customHeight="false" outlineLevel="0" collapsed="false">
      <c r="A35" s="6" t="s">
        <v>138</v>
      </c>
      <c r="B35" s="28" t="n">
        <v>0.2</v>
      </c>
      <c r="C35" s="6" t="s">
        <v>134</v>
      </c>
      <c r="D35" s="6" t="s">
        <v>135</v>
      </c>
      <c r="E35" s="6" t="s">
        <v>136</v>
      </c>
      <c r="F35" s="20" t="s">
        <v>137</v>
      </c>
    </row>
    <row r="36" customFormat="false" ht="15" hidden="false" customHeight="false" outlineLevel="0" collapsed="false">
      <c r="A36" s="6" t="s">
        <v>139</v>
      </c>
      <c r="B36" s="28" t="n">
        <v>0.03</v>
      </c>
      <c r="C36" s="6" t="s">
        <v>140</v>
      </c>
      <c r="D36" s="6" t="s">
        <v>62</v>
      </c>
      <c r="E36" s="6" t="s">
        <v>141</v>
      </c>
      <c r="F36" s="20" t="s">
        <v>142</v>
      </c>
    </row>
    <row r="37" customFormat="false" ht="15" hidden="false" customHeight="false" outlineLevel="0" collapsed="false">
      <c r="A37" s="6" t="s">
        <v>143</v>
      </c>
      <c r="B37" s="28" t="n">
        <v>0.04</v>
      </c>
      <c r="C37" s="6" t="s">
        <v>144</v>
      </c>
      <c r="D37" s="6" t="s">
        <v>62</v>
      </c>
      <c r="E37" s="6" t="s">
        <v>145</v>
      </c>
      <c r="F37" s="20" t="s">
        <v>146</v>
      </c>
    </row>
    <row r="38" customFormat="false" ht="15" hidden="false" customHeight="false" outlineLevel="0" collapsed="false">
      <c r="A38" s="6" t="s">
        <v>147</v>
      </c>
      <c r="B38" s="28" t="n">
        <v>0.003</v>
      </c>
      <c r="C38" s="6" t="s">
        <v>148</v>
      </c>
      <c r="D38" s="6" t="s">
        <v>90</v>
      </c>
      <c r="E38" s="6" t="s">
        <v>149</v>
      </c>
      <c r="F38" s="20"/>
    </row>
    <row r="39" customFormat="false" ht="15" hidden="false" customHeight="false" outlineLevel="0" collapsed="false">
      <c r="A39" s="6" t="s">
        <v>150</v>
      </c>
      <c r="B39" s="30" t="n">
        <v>15</v>
      </c>
      <c r="C39" s="6" t="s">
        <v>151</v>
      </c>
      <c r="D39" s="6" t="s">
        <v>57</v>
      </c>
      <c r="E39" s="6" t="s">
        <v>152</v>
      </c>
      <c r="F39" s="20" t="s">
        <v>153</v>
      </c>
    </row>
    <row r="40" customFormat="false" ht="15" hidden="false" customHeight="false" outlineLevel="0" collapsed="false">
      <c r="A40" s="6" t="s">
        <v>154</v>
      </c>
      <c r="B40" s="28" t="n">
        <v>0.029</v>
      </c>
      <c r="C40" s="6" t="s">
        <v>155</v>
      </c>
      <c r="D40" s="6" t="s">
        <v>57</v>
      </c>
      <c r="E40" s="6" t="s">
        <v>156</v>
      </c>
      <c r="F40" s="20" t="s">
        <v>157</v>
      </c>
    </row>
    <row r="41" customFormat="false" ht="15" hidden="false" customHeight="false" outlineLevel="0" collapsed="false">
      <c r="A41" s="6" t="s">
        <v>158</v>
      </c>
      <c r="B41" s="30" t="n">
        <v>0.3</v>
      </c>
      <c r="C41" s="6" t="s">
        <v>159</v>
      </c>
      <c r="D41" s="6" t="s">
        <v>57</v>
      </c>
      <c r="E41" s="6" t="s">
        <v>160</v>
      </c>
      <c r="F41" s="20" t="s">
        <v>157</v>
      </c>
    </row>
    <row r="42" customFormat="false" ht="15" hidden="false" customHeight="false" outlineLevel="0" collapsed="false">
      <c r="A42" s="6" t="s">
        <v>161</v>
      </c>
      <c r="B42" s="28" t="n">
        <v>0.055</v>
      </c>
      <c r="C42" s="6" t="s">
        <v>162</v>
      </c>
      <c r="D42" s="6" t="s">
        <v>90</v>
      </c>
      <c r="E42" s="6" t="s">
        <v>163</v>
      </c>
      <c r="F42" s="20" t="s">
        <v>164</v>
      </c>
    </row>
    <row r="43" customFormat="false" ht="15" hidden="false" customHeight="false" outlineLevel="0" collapsed="false">
      <c r="A43" s="6" t="s">
        <v>165</v>
      </c>
      <c r="B43" s="28" t="n">
        <v>0.9</v>
      </c>
      <c r="C43" s="6" t="s">
        <v>144</v>
      </c>
      <c r="D43" s="6" t="s">
        <v>62</v>
      </c>
      <c r="E43" s="6" t="s">
        <v>166</v>
      </c>
      <c r="F43" s="20" t="s">
        <v>167</v>
      </c>
    </row>
    <row r="45" customFormat="false" ht="15" hidden="false" customHeight="false" outlineLevel="0" collapsed="false">
      <c r="A45" s="23" t="s">
        <v>168</v>
      </c>
      <c r="B45" s="24"/>
      <c r="C45" s="24"/>
      <c r="D45" s="24"/>
      <c r="E45" s="24"/>
      <c r="F45" s="24"/>
    </row>
    <row r="46" customFormat="false" ht="42" hidden="false" customHeight="true" outlineLevel="0" collapsed="false">
      <c r="A46" s="5" t="s">
        <v>169</v>
      </c>
      <c r="B46" s="5" t="s">
        <v>170</v>
      </c>
      <c r="C46" s="5" t="s">
        <v>171</v>
      </c>
      <c r="D46" s="5" t="s">
        <v>172</v>
      </c>
      <c r="E46" s="5" t="s">
        <v>173</v>
      </c>
      <c r="F46" s="5" t="s">
        <v>174</v>
      </c>
      <c r="G46" s="5" t="s">
        <v>175</v>
      </c>
      <c r="H46" s="5" t="s">
        <v>176</v>
      </c>
      <c r="I46" s="5" t="s">
        <v>177</v>
      </c>
      <c r="J46" s="5" t="s">
        <v>178</v>
      </c>
      <c r="K46" s="5" t="s">
        <v>179</v>
      </c>
    </row>
    <row r="47" customFormat="false" ht="15" hidden="false" customHeight="false" outlineLevel="0" collapsed="false">
      <c r="A47" s="6" t="s">
        <v>180</v>
      </c>
      <c r="B47" s="21" t="s">
        <v>181</v>
      </c>
      <c r="C47" s="21" t="s">
        <v>182</v>
      </c>
      <c r="D47" s="29" t="n">
        <v>0</v>
      </c>
      <c r="E47" s="30" t="n">
        <v>3.99</v>
      </c>
      <c r="F47" s="30" t="n">
        <v>0</v>
      </c>
      <c r="G47" s="28" t="n">
        <v>0.14</v>
      </c>
      <c r="H47" s="30" t="n">
        <v>0</v>
      </c>
      <c r="I47" s="30" t="n">
        <v>0</v>
      </c>
      <c r="J47" s="21" t="s">
        <v>183</v>
      </c>
      <c r="K47" s="20" t="s">
        <v>184</v>
      </c>
    </row>
    <row r="48" customFormat="false" ht="15" hidden="false" customHeight="false" outlineLevel="0" collapsed="false">
      <c r="A48" s="6" t="s">
        <v>185</v>
      </c>
      <c r="B48" s="21" t="s">
        <v>181</v>
      </c>
      <c r="C48" s="21" t="s">
        <v>186</v>
      </c>
      <c r="D48" s="29" t="n">
        <v>1</v>
      </c>
      <c r="E48" s="30" t="n">
        <v>7.99</v>
      </c>
      <c r="F48" s="30" t="n">
        <v>2.99</v>
      </c>
      <c r="G48" s="28" t="n">
        <v>0.4</v>
      </c>
      <c r="H48" s="30" t="n">
        <v>3.25</v>
      </c>
      <c r="I48" s="30" t="n">
        <v>1.6</v>
      </c>
      <c r="J48" s="21" t="s">
        <v>187</v>
      </c>
      <c r="K48" s="20" t="s">
        <v>188</v>
      </c>
    </row>
    <row r="49" customFormat="false" ht="15" hidden="false" customHeight="false" outlineLevel="0" collapsed="false">
      <c r="A49" s="6" t="s">
        <v>189</v>
      </c>
      <c r="B49" s="21" t="s">
        <v>190</v>
      </c>
      <c r="C49" s="21" t="s">
        <v>182</v>
      </c>
      <c r="D49" s="29" t="n">
        <v>0</v>
      </c>
      <c r="E49" s="30" t="n">
        <v>19.99</v>
      </c>
      <c r="F49" s="30" t="n">
        <v>0</v>
      </c>
      <c r="G49" s="28" t="n">
        <v>0.08</v>
      </c>
      <c r="H49" s="30" t="n">
        <v>0</v>
      </c>
      <c r="I49" s="30" t="n">
        <v>0</v>
      </c>
      <c r="J49" s="21" t="s">
        <v>183</v>
      </c>
      <c r="K49" s="20" t="s">
        <v>191</v>
      </c>
    </row>
    <row r="50" customFormat="false" ht="15" hidden="false" customHeight="false" outlineLevel="0" collapsed="false">
      <c r="A50" s="6" t="s">
        <v>192</v>
      </c>
      <c r="B50" s="21" t="s">
        <v>190</v>
      </c>
      <c r="C50" s="21" t="s">
        <v>186</v>
      </c>
      <c r="D50" s="29" t="n">
        <v>1</v>
      </c>
      <c r="E50" s="30" t="n">
        <v>39</v>
      </c>
      <c r="F50" s="30" t="n">
        <v>5.99</v>
      </c>
      <c r="G50" s="28" t="n">
        <v>0.15</v>
      </c>
      <c r="H50" s="30" t="n">
        <v>12.5</v>
      </c>
      <c r="I50" s="30" t="n">
        <v>5.5</v>
      </c>
      <c r="J50" s="21" t="s">
        <v>193</v>
      </c>
      <c r="K50" s="20" t="s">
        <v>194</v>
      </c>
    </row>
    <row r="51" customFormat="false" ht="15" hidden="false" customHeight="false" outlineLevel="0" collapsed="false">
      <c r="A51" s="6" t="s">
        <v>195</v>
      </c>
      <c r="B51" s="21" t="s">
        <v>190</v>
      </c>
      <c r="C51" s="21" t="s">
        <v>186</v>
      </c>
      <c r="D51" s="29" t="n">
        <v>1</v>
      </c>
      <c r="E51" s="30" t="n">
        <v>49</v>
      </c>
      <c r="F51" s="30" t="n">
        <v>5.99</v>
      </c>
      <c r="G51" s="28" t="n">
        <v>0.23</v>
      </c>
      <c r="H51" s="30" t="n">
        <v>14.5</v>
      </c>
      <c r="I51" s="30" t="n">
        <v>6</v>
      </c>
      <c r="J51" s="21" t="s">
        <v>193</v>
      </c>
      <c r="K51" s="20" t="s">
        <v>196</v>
      </c>
    </row>
    <row r="52" customFormat="false" ht="15" hidden="false" customHeight="false" outlineLevel="0" collapsed="false">
      <c r="A52" s="3" t="s">
        <v>197</v>
      </c>
      <c r="G52" s="31" t="n">
        <f aca="false">SUM(G47:G51)</f>
        <v>1</v>
      </c>
      <c r="H52" s="3" t="str">
        <f aca="false">IF(ABS(G52-1)&lt;0.0001,"OK","MIX MUST SUM TO 100%")</f>
        <v>OK</v>
      </c>
    </row>
    <row r="53" customFormat="false" ht="15" hidden="false" customHeight="false" outlineLevel="0" collapsed="false">
      <c r="A53" s="20" t="s">
        <v>198</v>
      </c>
    </row>
    <row r="55" customFormat="false" ht="15" hidden="false" customHeight="false" outlineLevel="0" collapsed="false">
      <c r="A55" s="23" t="s">
        <v>199</v>
      </c>
      <c r="B55" s="24"/>
      <c r="C55" s="24"/>
      <c r="D55" s="24"/>
      <c r="E55" s="24"/>
      <c r="F55" s="24"/>
    </row>
    <row r="56" customFormat="false" ht="42" hidden="false" customHeight="true" outlineLevel="0" collapsed="false">
      <c r="A56" s="5" t="s">
        <v>200</v>
      </c>
      <c r="B56" s="5" t="s">
        <v>201</v>
      </c>
      <c r="C56" s="5" t="s">
        <v>202</v>
      </c>
      <c r="D56" s="5" t="s">
        <v>203</v>
      </c>
      <c r="E56" s="5" t="s">
        <v>204</v>
      </c>
      <c r="F56" s="5" t="s">
        <v>205</v>
      </c>
      <c r="G56" s="5" t="s">
        <v>206</v>
      </c>
      <c r="H56" s="5" t="s">
        <v>207</v>
      </c>
      <c r="I56" s="5" t="s">
        <v>208</v>
      </c>
      <c r="J56" s="5" t="s">
        <v>209</v>
      </c>
      <c r="K56" s="32" t="s">
        <v>210</v>
      </c>
    </row>
    <row r="57" customFormat="false" ht="15" hidden="false" customHeight="false" outlineLevel="0" collapsed="false">
      <c r="A57" s="22" t="s">
        <v>211</v>
      </c>
      <c r="B57" s="33" t="n">
        <v>2000</v>
      </c>
      <c r="C57" s="34" t="n">
        <v>0.55</v>
      </c>
      <c r="D57" s="34" t="n">
        <v>0.85</v>
      </c>
      <c r="E57" s="34" t="n">
        <v>1.4</v>
      </c>
      <c r="F57" s="35" t="n">
        <v>0.011</v>
      </c>
      <c r="G57" s="35" t="n">
        <v>0.07</v>
      </c>
      <c r="H57" s="35" t="n">
        <v>0.14</v>
      </c>
      <c r="I57" s="13" t="n">
        <f aca="false">IFERROR(D57/(G57*H57),0)</f>
        <v>86.734693877551</v>
      </c>
      <c r="J57" s="14" t="n">
        <f aca="false">B57/SUM($B$57:$B$62)</f>
        <v>0.307692307692308</v>
      </c>
      <c r="K57" s="36" t="s">
        <v>212</v>
      </c>
    </row>
    <row r="58" customFormat="false" ht="15" hidden="false" customHeight="false" outlineLevel="0" collapsed="false">
      <c r="A58" s="22" t="s">
        <v>213</v>
      </c>
      <c r="B58" s="33" t="n">
        <v>800</v>
      </c>
      <c r="C58" s="34" t="n">
        <v>0.3</v>
      </c>
      <c r="D58" s="34" t="n">
        <v>0.55</v>
      </c>
      <c r="E58" s="34" t="n">
        <v>0.95</v>
      </c>
      <c r="F58" s="35" t="n">
        <v>0.006</v>
      </c>
      <c r="G58" s="35" t="n">
        <v>0.06</v>
      </c>
      <c r="H58" s="35" t="n">
        <v>0.15</v>
      </c>
      <c r="I58" s="13" t="n">
        <f aca="false">IFERROR(D58/(G58*H58),0)</f>
        <v>61.1111111111111</v>
      </c>
      <c r="J58" s="14" t="n">
        <f aca="false">B58/SUM($B$57:$B$62)</f>
        <v>0.123076923076923</v>
      </c>
      <c r="K58" s="36" t="s">
        <v>214</v>
      </c>
    </row>
    <row r="59" customFormat="false" ht="15" hidden="false" customHeight="false" outlineLevel="0" collapsed="false">
      <c r="A59" s="22" t="s">
        <v>215</v>
      </c>
      <c r="B59" s="33" t="n">
        <v>800</v>
      </c>
      <c r="C59" s="34" t="n">
        <v>2.5</v>
      </c>
      <c r="D59" s="34" t="n">
        <v>4.14</v>
      </c>
      <c r="E59" s="34" t="n">
        <v>5.5</v>
      </c>
      <c r="F59" s="35" t="n">
        <v>0.045</v>
      </c>
      <c r="G59" s="35" t="n">
        <v>0.09</v>
      </c>
      <c r="H59" s="35" t="n">
        <v>0.2</v>
      </c>
      <c r="I59" s="13" t="n">
        <f aca="false">IFERROR(D59/(G59*H59),0)</f>
        <v>230</v>
      </c>
      <c r="J59" s="14" t="n">
        <f aca="false">B59/SUM($B$57:$B$62)</f>
        <v>0.123076923076923</v>
      </c>
      <c r="K59" s="36" t="s">
        <v>216</v>
      </c>
    </row>
    <row r="60" customFormat="false" ht="15" hidden="false" customHeight="false" outlineLevel="0" collapsed="false">
      <c r="A60" s="22" t="s">
        <v>217</v>
      </c>
      <c r="B60" s="33" t="n">
        <v>300</v>
      </c>
      <c r="C60" s="34" t="n">
        <v>0.3</v>
      </c>
      <c r="D60" s="34" t="n">
        <v>0.6</v>
      </c>
      <c r="E60" s="34" t="n">
        <v>1.1</v>
      </c>
      <c r="F60" s="35" t="n">
        <v>0.008</v>
      </c>
      <c r="G60" s="35" t="n">
        <v>0.04</v>
      </c>
      <c r="H60" s="35" t="n">
        <v>0.09</v>
      </c>
      <c r="I60" s="13" t="n">
        <f aca="false">IFERROR(D60/(G60*H60),0)</f>
        <v>166.666666666667</v>
      </c>
      <c r="J60" s="14" t="n">
        <f aca="false">B60/SUM($B$57:$B$62)</f>
        <v>0.0461538461538462</v>
      </c>
      <c r="K60" s="36" t="s">
        <v>218</v>
      </c>
    </row>
    <row r="61" customFormat="false" ht="15" hidden="false" customHeight="false" outlineLevel="0" collapsed="false">
      <c r="A61" s="22" t="s">
        <v>219</v>
      </c>
      <c r="B61" s="33" t="n">
        <v>1400</v>
      </c>
      <c r="C61" s="34" t="n">
        <v>0.7</v>
      </c>
      <c r="D61" s="34" t="n">
        <v>1.2</v>
      </c>
      <c r="E61" s="34" t="n">
        <v>2.2</v>
      </c>
      <c r="F61" s="35" t="n">
        <v>0.02</v>
      </c>
      <c r="G61" s="35" t="n">
        <v>0.08</v>
      </c>
      <c r="H61" s="35" t="n">
        <v>0.16</v>
      </c>
      <c r="I61" s="13" t="n">
        <f aca="false">IFERROR(D61/(G61*H61),0)</f>
        <v>93.75</v>
      </c>
      <c r="J61" s="14" t="n">
        <f aca="false">B61/SUM($B$57:$B$62)</f>
        <v>0.215384615384615</v>
      </c>
      <c r="K61" s="36" t="s">
        <v>220</v>
      </c>
    </row>
    <row r="62" customFormat="false" ht="15" hidden="false" customHeight="false" outlineLevel="0" collapsed="false">
      <c r="A62" s="22" t="s">
        <v>221</v>
      </c>
      <c r="B62" s="33" t="n">
        <v>1200</v>
      </c>
      <c r="C62" s="34" t="n">
        <v>0.2</v>
      </c>
      <c r="D62" s="34" t="n">
        <v>0.35</v>
      </c>
      <c r="E62" s="34" t="n">
        <v>0.7</v>
      </c>
      <c r="F62" s="35" t="n">
        <v>0.03</v>
      </c>
      <c r="G62" s="35" t="n">
        <v>0.07</v>
      </c>
      <c r="H62" s="35" t="n">
        <v>0.15</v>
      </c>
      <c r="I62" s="13" t="n">
        <f aca="false">IFERROR(D62/(G62*H62),0)</f>
        <v>33.3333333333333</v>
      </c>
      <c r="J62" s="14" t="n">
        <f aca="false">B62/SUM($B$57:$B$62)</f>
        <v>0.184615384615385</v>
      </c>
      <c r="K62" s="36" t="s">
        <v>222</v>
      </c>
    </row>
    <row r="63" customFormat="false" ht="15" hidden="false" customHeight="false" outlineLevel="0" collapsed="false">
      <c r="A63" s="3" t="s">
        <v>223</v>
      </c>
      <c r="B63" s="8" t="n">
        <f aca="false">SUM(B57:B62)</f>
        <v>6500</v>
      </c>
      <c r="J63" s="31" t="n">
        <f aca="false">SUM(J57:J62)</f>
        <v>1</v>
      </c>
    </row>
    <row r="64" customFormat="false" ht="15" hidden="false" customHeight="false" outlineLevel="0" collapsed="false">
      <c r="A64" s="20" t="s">
        <v>224</v>
      </c>
    </row>
    <row r="66" customFormat="false" ht="15" hidden="false" customHeight="false" outlineLevel="0" collapsed="false">
      <c r="A66" s="23" t="s">
        <v>225</v>
      </c>
      <c r="B66" s="24"/>
      <c r="C66" s="24"/>
      <c r="D66" s="24"/>
      <c r="E66" s="24"/>
      <c r="F66" s="24"/>
    </row>
    <row r="67" customFormat="false" ht="15" hidden="false" customHeight="false" outlineLevel="0" collapsed="false">
      <c r="A67" s="5" t="s">
        <v>226</v>
      </c>
      <c r="B67" s="5" t="s">
        <v>227</v>
      </c>
      <c r="C67" s="5" t="s">
        <v>228</v>
      </c>
    </row>
    <row r="68" customFormat="false" ht="15" hidden="false" customHeight="false" outlineLevel="0" collapsed="false">
      <c r="A68" s="6" t="s">
        <v>229</v>
      </c>
      <c r="B68" s="27" t="n">
        <v>0.7</v>
      </c>
      <c r="C68" s="20" t="s">
        <v>230</v>
      </c>
    </row>
    <row r="69" customFormat="false" ht="15" hidden="false" customHeight="false" outlineLevel="0" collapsed="false">
      <c r="A69" s="6" t="s">
        <v>231</v>
      </c>
      <c r="B69" s="27" t="n">
        <v>1.3</v>
      </c>
      <c r="C69" s="20" t="s">
        <v>232</v>
      </c>
    </row>
    <row r="70" customFormat="false" ht="15" hidden="false" customHeight="false" outlineLevel="0" collapsed="false">
      <c r="A70" s="6" t="s">
        <v>233</v>
      </c>
      <c r="B70" s="27" t="n">
        <v>0.85</v>
      </c>
      <c r="C70" s="20" t="s">
        <v>234</v>
      </c>
    </row>
    <row r="71" customFormat="false" ht="15" hidden="false" customHeight="false" outlineLevel="0" collapsed="false">
      <c r="A71" s="6" t="s">
        <v>235</v>
      </c>
      <c r="B71" s="27" t="n">
        <v>0.9</v>
      </c>
      <c r="C71" s="20" t="s">
        <v>236</v>
      </c>
    </row>
    <row r="72" customFormat="false" ht="15" hidden="false" customHeight="false" outlineLevel="0" collapsed="false">
      <c r="A72" s="6" t="s">
        <v>237</v>
      </c>
      <c r="B72" s="27" t="n">
        <v>1.4</v>
      </c>
      <c r="C72" s="20" t="s">
        <v>238</v>
      </c>
    </row>
    <row r="73" customFormat="false" ht="15" hidden="false" customHeight="false" outlineLevel="0" collapsed="false">
      <c r="A73" s="6" t="s">
        <v>239</v>
      </c>
      <c r="B73" s="27" t="n">
        <v>1.05</v>
      </c>
      <c r="C73" s="20" t="s">
        <v>240</v>
      </c>
    </row>
    <row r="74" customFormat="false" ht="15" hidden="false" customHeight="false" outlineLevel="0" collapsed="false">
      <c r="A74" s="6" t="s">
        <v>241</v>
      </c>
      <c r="B74" s="27" t="n">
        <v>0.85</v>
      </c>
      <c r="C74" s="20" t="s">
        <v>242</v>
      </c>
    </row>
    <row r="75" customFormat="false" ht="15" hidden="false" customHeight="false" outlineLevel="0" collapsed="false">
      <c r="A75" s="6" t="s">
        <v>243</v>
      </c>
      <c r="B75" s="27" t="n">
        <v>0.9</v>
      </c>
      <c r="C75" s="20" t="s">
        <v>244</v>
      </c>
    </row>
    <row r="76" customFormat="false" ht="15" hidden="false" customHeight="false" outlineLevel="0" collapsed="false">
      <c r="A76" s="6" t="s">
        <v>245</v>
      </c>
      <c r="B76" s="27" t="n">
        <v>0.95</v>
      </c>
      <c r="C76" s="20" t="s">
        <v>246</v>
      </c>
    </row>
    <row r="77" customFormat="false" ht="15" hidden="false" customHeight="false" outlineLevel="0" collapsed="false">
      <c r="A77" s="6" t="s">
        <v>247</v>
      </c>
      <c r="B77" s="27" t="n">
        <v>1</v>
      </c>
      <c r="C77" s="20" t="s">
        <v>248</v>
      </c>
    </row>
    <row r="78" customFormat="false" ht="15" hidden="false" customHeight="false" outlineLevel="0" collapsed="false">
      <c r="A78" s="6" t="s">
        <v>249</v>
      </c>
      <c r="B78" s="27" t="n">
        <v>1.3</v>
      </c>
      <c r="C78" s="20" t="s">
        <v>250</v>
      </c>
    </row>
    <row r="79" customFormat="false" ht="15" hidden="false" customHeight="false" outlineLevel="0" collapsed="false">
      <c r="A79" s="6" t="s">
        <v>251</v>
      </c>
      <c r="B79" s="27" t="n">
        <v>1.9</v>
      </c>
      <c r="C79" s="20" t="s">
        <v>252</v>
      </c>
    </row>
    <row r="80" customFormat="false" ht="15" hidden="false" customHeight="false" outlineLevel="0" collapsed="false">
      <c r="A80" s="3" t="s">
        <v>253</v>
      </c>
      <c r="B80" s="37" t="n">
        <f aca="false">AVERAGE(B68:B79)</f>
        <v>1.09166666666667</v>
      </c>
    </row>
    <row r="82" customFormat="false" ht="15" hidden="false" customHeight="false" outlineLevel="0" collapsed="false">
      <c r="A82" s="23" t="s">
        <v>254</v>
      </c>
      <c r="B82" s="24"/>
      <c r="C82" s="24"/>
      <c r="D82" s="24"/>
      <c r="E82" s="24"/>
      <c r="F82" s="24"/>
    </row>
    <row r="83" customFormat="false" ht="15" hidden="false" customHeight="false" outlineLevel="0" collapsed="false">
      <c r="A83" s="5" t="s">
        <v>255</v>
      </c>
      <c r="B83" s="5" t="s">
        <v>256</v>
      </c>
      <c r="C83" s="5" t="s">
        <v>257</v>
      </c>
      <c r="D83" s="5" t="s">
        <v>258</v>
      </c>
      <c r="E83" s="5" t="s">
        <v>259</v>
      </c>
      <c r="F83" s="5" t="s">
        <v>260</v>
      </c>
    </row>
    <row r="84" customFormat="false" ht="15" hidden="false" customHeight="false" outlineLevel="0" collapsed="false">
      <c r="A84" s="6" t="s">
        <v>261</v>
      </c>
      <c r="B84" s="20" t="s">
        <v>262</v>
      </c>
      <c r="C84" s="38" t="n">
        <v>0.6</v>
      </c>
      <c r="D84" s="38" t="n">
        <v>1</v>
      </c>
      <c r="E84" s="38" t="n">
        <v>1.5</v>
      </c>
      <c r="F84" s="20" t="s">
        <v>62</v>
      </c>
    </row>
    <row r="85" customFormat="false" ht="15" hidden="false" customHeight="false" outlineLevel="0" collapsed="false">
      <c r="A85" s="6" t="s">
        <v>263</v>
      </c>
      <c r="B85" s="20" t="s">
        <v>264</v>
      </c>
      <c r="C85" s="38" t="n">
        <v>0.7</v>
      </c>
      <c r="D85" s="38" t="n">
        <v>1</v>
      </c>
      <c r="E85" s="38" t="n">
        <v>1.3</v>
      </c>
      <c r="F85" s="20" t="s">
        <v>62</v>
      </c>
    </row>
    <row r="86" customFormat="false" ht="15" hidden="false" customHeight="false" outlineLevel="0" collapsed="false">
      <c r="A86" s="6" t="s">
        <v>265</v>
      </c>
      <c r="B86" s="20" t="s">
        <v>266</v>
      </c>
      <c r="C86" s="38" t="n">
        <v>0.6</v>
      </c>
      <c r="D86" s="38" t="n">
        <v>1</v>
      </c>
      <c r="E86" s="38" t="n">
        <v>1.4</v>
      </c>
      <c r="F86" s="20" t="s">
        <v>62</v>
      </c>
    </row>
    <row r="87" customFormat="false" ht="15" hidden="false" customHeight="false" outlineLevel="0" collapsed="false">
      <c r="A87" s="6" t="s">
        <v>267</v>
      </c>
      <c r="B87" s="20" t="s">
        <v>268</v>
      </c>
      <c r="C87" s="38" t="n">
        <v>1.4</v>
      </c>
      <c r="D87" s="38" t="n">
        <v>1</v>
      </c>
      <c r="E87" s="38" t="n">
        <v>0.85</v>
      </c>
      <c r="F87" s="20" t="s">
        <v>62</v>
      </c>
    </row>
    <row r="88" customFormat="false" ht="15" hidden="false" customHeight="false" outlineLevel="0" collapsed="false">
      <c r="A88" s="6" t="s">
        <v>269</v>
      </c>
      <c r="B88" s="20" t="s">
        <v>270</v>
      </c>
      <c r="C88" s="38" t="n">
        <v>1.5</v>
      </c>
      <c r="D88" s="38" t="n">
        <v>1</v>
      </c>
      <c r="E88" s="38" t="n">
        <v>0.7</v>
      </c>
      <c r="F88" s="20" t="s">
        <v>62</v>
      </c>
    </row>
    <row r="89" customFormat="false" ht="15" hidden="false" customHeight="false" outlineLevel="0" collapsed="false">
      <c r="A89" s="6" t="s">
        <v>271</v>
      </c>
      <c r="B89" s="20" t="s">
        <v>272</v>
      </c>
      <c r="C89" s="38" t="n">
        <v>1</v>
      </c>
      <c r="D89" s="38" t="n">
        <v>1</v>
      </c>
      <c r="E89" s="38" t="n">
        <v>1</v>
      </c>
      <c r="F89" s="20" t="s">
        <v>62</v>
      </c>
    </row>
    <row r="90" customFormat="false" ht="15" hidden="false" customHeight="false" outlineLevel="0" collapsed="false">
      <c r="A90" s="6" t="s">
        <v>273</v>
      </c>
      <c r="B90" s="20" t="s">
        <v>274</v>
      </c>
      <c r="C90" s="38" t="n">
        <v>1.1</v>
      </c>
      <c r="D90" s="38" t="n">
        <v>1</v>
      </c>
      <c r="E90" s="38" t="n">
        <v>0.95</v>
      </c>
      <c r="F90" s="20" t="s">
        <v>62</v>
      </c>
    </row>
    <row r="92" customFormat="false" ht="15" hidden="false" customHeight="false" outlineLevel="0" collapsed="false">
      <c r="A92" s="23" t="s">
        <v>275</v>
      </c>
      <c r="B92" s="24"/>
      <c r="C92" s="24"/>
      <c r="D92" s="24"/>
      <c r="E92" s="24"/>
      <c r="F92" s="24"/>
    </row>
    <row r="93" customFormat="false" ht="54.75" hidden="false" customHeight="true" outlineLevel="0" collapsed="false">
      <c r="A93" s="5" t="s">
        <v>276</v>
      </c>
      <c r="B93" s="5" t="s">
        <v>277</v>
      </c>
      <c r="C93" s="5" t="s">
        <v>278</v>
      </c>
      <c r="D93" s="5" t="s">
        <v>279</v>
      </c>
      <c r="E93" s="5" t="s">
        <v>52</v>
      </c>
      <c r="F93" s="5" t="s">
        <v>280</v>
      </c>
    </row>
    <row r="94" customFormat="false" ht="15" hidden="false" customHeight="false" outlineLevel="0" collapsed="false">
      <c r="A94" s="6" t="s">
        <v>281</v>
      </c>
      <c r="B94" s="30" t="n">
        <v>20</v>
      </c>
      <c r="C94" s="30" t="n">
        <v>0.5</v>
      </c>
      <c r="D94" s="29" t="n">
        <v>1</v>
      </c>
      <c r="E94" s="6" t="s">
        <v>90</v>
      </c>
      <c r="F94" s="20" t="s">
        <v>282</v>
      </c>
    </row>
    <row r="95" customFormat="false" ht="15" hidden="false" customHeight="false" outlineLevel="0" collapsed="false">
      <c r="A95" s="6" t="s">
        <v>283</v>
      </c>
      <c r="B95" s="30" t="n">
        <v>35</v>
      </c>
      <c r="C95" s="30" t="n">
        <v>20</v>
      </c>
      <c r="D95" s="29" t="n">
        <v>2</v>
      </c>
      <c r="E95" s="6" t="s">
        <v>90</v>
      </c>
      <c r="F95" s="20" t="s">
        <v>284</v>
      </c>
    </row>
    <row r="96" customFormat="false" ht="15" hidden="false" customHeight="false" outlineLevel="0" collapsed="false">
      <c r="A96" s="6" t="s">
        <v>285</v>
      </c>
      <c r="B96" s="30" t="n">
        <v>20</v>
      </c>
      <c r="C96" s="30" t="n">
        <v>0.5</v>
      </c>
      <c r="D96" s="29" t="n">
        <v>3</v>
      </c>
      <c r="E96" s="6" t="s">
        <v>90</v>
      </c>
      <c r="F96" s="20" t="s">
        <v>286</v>
      </c>
    </row>
    <row r="97" customFormat="false" ht="15" hidden="false" customHeight="false" outlineLevel="0" collapsed="false">
      <c r="A97" s="6" t="s">
        <v>287</v>
      </c>
      <c r="B97" s="30" t="n">
        <v>1.67</v>
      </c>
      <c r="C97" s="30" t="n">
        <v>0</v>
      </c>
      <c r="D97" s="29" t="n">
        <v>1</v>
      </c>
      <c r="E97" s="6" t="s">
        <v>90</v>
      </c>
      <c r="F97" s="20" t="s">
        <v>288</v>
      </c>
    </row>
    <row r="98" customFormat="false" ht="15" hidden="false" customHeight="false" outlineLevel="0" collapsed="false">
      <c r="A98" s="6" t="s">
        <v>289</v>
      </c>
      <c r="B98" s="30" t="n">
        <v>0</v>
      </c>
      <c r="C98" s="30" t="n">
        <v>3</v>
      </c>
      <c r="D98" s="29" t="n">
        <v>4</v>
      </c>
      <c r="E98" s="6" t="s">
        <v>90</v>
      </c>
      <c r="F98" s="20" t="s">
        <v>290</v>
      </c>
    </row>
    <row r="99" customFormat="false" ht="15" hidden="false" customHeight="false" outlineLevel="0" collapsed="false">
      <c r="A99" s="6" t="s">
        <v>291</v>
      </c>
      <c r="B99" s="30" t="n">
        <v>26</v>
      </c>
      <c r="C99" s="30" t="n">
        <v>0</v>
      </c>
      <c r="D99" s="29" t="n">
        <v>1</v>
      </c>
      <c r="E99" s="6" t="s">
        <v>90</v>
      </c>
      <c r="F99" s="20" t="s">
        <v>292</v>
      </c>
    </row>
    <row r="100" customFormat="false" ht="15" hidden="false" customHeight="false" outlineLevel="0" collapsed="false">
      <c r="A100" s="6" t="s">
        <v>293</v>
      </c>
      <c r="B100" s="30" t="n">
        <v>75</v>
      </c>
      <c r="C100" s="30" t="n">
        <v>0</v>
      </c>
      <c r="D100" s="29" t="n">
        <v>1</v>
      </c>
      <c r="E100" s="6" t="s">
        <v>62</v>
      </c>
      <c r="F100" s="20" t="s">
        <v>294</v>
      </c>
    </row>
    <row r="101" customFormat="false" ht="15" hidden="false" customHeight="false" outlineLevel="0" collapsed="false">
      <c r="A101" s="6" t="s">
        <v>295</v>
      </c>
      <c r="B101" s="30" t="n">
        <v>40</v>
      </c>
      <c r="C101" s="30" t="n">
        <v>0</v>
      </c>
      <c r="D101" s="29" t="n">
        <v>1</v>
      </c>
      <c r="E101" s="6" t="s">
        <v>62</v>
      </c>
      <c r="F101" s="20" t="s">
        <v>296</v>
      </c>
    </row>
    <row r="102" customFormat="false" ht="15" hidden="false" customHeight="false" outlineLevel="0" collapsed="false">
      <c r="A102" s="6" t="s">
        <v>297</v>
      </c>
      <c r="B102" s="30" t="n">
        <v>150</v>
      </c>
      <c r="C102" s="30" t="n">
        <v>0</v>
      </c>
      <c r="D102" s="29" t="n">
        <v>1</v>
      </c>
      <c r="E102" s="6" t="s">
        <v>62</v>
      </c>
      <c r="F102" s="20" t="s">
        <v>298</v>
      </c>
    </row>
    <row r="103" customFormat="false" ht="15" hidden="false" customHeight="false" outlineLevel="0" collapsed="false">
      <c r="A103" s="6" t="s">
        <v>299</v>
      </c>
      <c r="B103" s="30" t="n">
        <v>95</v>
      </c>
      <c r="C103" s="30" t="n">
        <v>0</v>
      </c>
      <c r="D103" s="29" t="n">
        <v>1</v>
      </c>
      <c r="E103" s="6" t="s">
        <v>62</v>
      </c>
      <c r="F103" s="20" t="s">
        <v>300</v>
      </c>
    </row>
    <row r="104" customFormat="false" ht="15" hidden="false" customHeight="false" outlineLevel="0" collapsed="false">
      <c r="A104" s="6" t="s">
        <v>301</v>
      </c>
      <c r="B104" s="30" t="n">
        <v>25</v>
      </c>
      <c r="C104" s="30" t="n">
        <v>900</v>
      </c>
      <c r="D104" s="29" t="n">
        <v>3</v>
      </c>
      <c r="E104" s="6" t="s">
        <v>62</v>
      </c>
      <c r="F104" s="20" t="s">
        <v>302</v>
      </c>
    </row>
    <row r="105" customFormat="false" ht="15" hidden="false" customHeight="false" outlineLevel="0" collapsed="false">
      <c r="A105" s="6" t="s">
        <v>303</v>
      </c>
      <c r="B105" s="30" t="n">
        <v>0</v>
      </c>
      <c r="C105" s="30" t="n">
        <v>0</v>
      </c>
      <c r="D105" s="29" t="n">
        <v>1</v>
      </c>
      <c r="E105" s="6" t="s">
        <v>62</v>
      </c>
      <c r="F105" s="20" t="s">
        <v>304</v>
      </c>
    </row>
    <row r="107" customFormat="false" ht="15" hidden="false" customHeight="false" outlineLevel="0" collapsed="false">
      <c r="A107" s="23" t="s">
        <v>305</v>
      </c>
      <c r="B107" s="24"/>
      <c r="C107" s="24"/>
      <c r="D107" s="24"/>
      <c r="E107" s="24"/>
      <c r="F107" s="24"/>
    </row>
    <row r="108" customFormat="false" ht="15" hidden="false" customHeight="false" outlineLevel="0" collapsed="false">
      <c r="A108" s="5" t="s">
        <v>50</v>
      </c>
      <c r="B108" s="5" t="s">
        <v>3</v>
      </c>
      <c r="C108" s="5" t="s">
        <v>51</v>
      </c>
      <c r="D108" s="5" t="s">
        <v>52</v>
      </c>
      <c r="E108" s="5" t="s">
        <v>53</v>
      </c>
      <c r="F108" s="5" t="s">
        <v>54</v>
      </c>
    </row>
    <row r="109" customFormat="false" ht="15" hidden="false" customHeight="false" outlineLevel="0" collapsed="false">
      <c r="A109" s="6" t="s">
        <v>306</v>
      </c>
      <c r="B109" s="26" t="n">
        <v>4000</v>
      </c>
      <c r="C109" s="6" t="s">
        <v>61</v>
      </c>
      <c r="D109" s="6" t="s">
        <v>62</v>
      </c>
      <c r="E109" s="6" t="s">
        <v>307</v>
      </c>
      <c r="F109" s="20" t="s">
        <v>308</v>
      </c>
    </row>
    <row r="110" customFormat="false" ht="15" hidden="false" customHeight="false" outlineLevel="0" collapsed="false">
      <c r="A110" s="6" t="s">
        <v>309</v>
      </c>
      <c r="B110" s="26" t="n">
        <v>500</v>
      </c>
      <c r="C110" s="6" t="s">
        <v>61</v>
      </c>
      <c r="D110" s="6" t="s">
        <v>62</v>
      </c>
      <c r="E110" s="6" t="s">
        <v>310</v>
      </c>
      <c r="F110" s="20"/>
    </row>
    <row r="111" customFormat="false" ht="15" hidden="false" customHeight="false" outlineLevel="0" collapsed="false">
      <c r="A111" s="6" t="s">
        <v>311</v>
      </c>
      <c r="B111" s="26" t="n">
        <v>1500</v>
      </c>
      <c r="C111" s="6" t="s">
        <v>61</v>
      </c>
      <c r="D111" s="6" t="s">
        <v>62</v>
      </c>
      <c r="E111" s="6" t="s">
        <v>312</v>
      </c>
      <c r="F111" s="20" t="s">
        <v>313</v>
      </c>
    </row>
    <row r="113" customFormat="false" ht="15" hidden="false" customHeight="false" outlineLevel="0" collapsed="false">
      <c r="A113" s="23" t="s">
        <v>314</v>
      </c>
      <c r="B113" s="24"/>
      <c r="C113" s="24"/>
      <c r="D113" s="24"/>
      <c r="E113" s="24"/>
      <c r="F113" s="24"/>
      <c r="G113" s="24"/>
      <c r="H113" s="24"/>
      <c r="I113" s="24"/>
      <c r="J113" s="24"/>
      <c r="K113" s="24"/>
    </row>
    <row r="114" customFormat="false" ht="24.05" hidden="false" customHeight="false" outlineLevel="0" collapsed="false">
      <c r="A114" s="39" t="s">
        <v>169</v>
      </c>
      <c r="B114" s="39" t="s">
        <v>315</v>
      </c>
      <c r="C114" s="39" t="s">
        <v>316</v>
      </c>
      <c r="D114" s="39" t="s">
        <v>52</v>
      </c>
      <c r="E114" s="39" t="s">
        <v>317</v>
      </c>
    </row>
    <row r="115" customFormat="false" ht="15" hidden="false" customHeight="false" outlineLevel="0" collapsed="false">
      <c r="A115" s="17" t="s">
        <v>180</v>
      </c>
      <c r="B115" s="30" t="n">
        <v>3.99</v>
      </c>
      <c r="C115" s="30" t="n">
        <v>0</v>
      </c>
      <c r="D115" s="17" t="s">
        <v>318</v>
      </c>
      <c r="E115" s="17" t="s">
        <v>319</v>
      </c>
    </row>
    <row r="116" customFormat="false" ht="15" hidden="false" customHeight="false" outlineLevel="0" collapsed="false">
      <c r="A116" s="17" t="s">
        <v>185</v>
      </c>
      <c r="B116" s="30" t="n">
        <v>8.99</v>
      </c>
      <c r="C116" s="30" t="n">
        <v>0</v>
      </c>
      <c r="D116" s="17" t="s">
        <v>320</v>
      </c>
      <c r="E116" s="17" t="s">
        <v>321</v>
      </c>
    </row>
    <row r="117" customFormat="false" ht="15" hidden="false" customHeight="false" outlineLevel="0" collapsed="false">
      <c r="A117" s="17" t="s">
        <v>189</v>
      </c>
      <c r="B117" s="30" t="n">
        <v>14.99</v>
      </c>
      <c r="C117" s="30" t="n">
        <v>0</v>
      </c>
      <c r="D117" s="17" t="s">
        <v>322</v>
      </c>
      <c r="E117" s="17" t="s">
        <v>323</v>
      </c>
    </row>
    <row r="118" customFormat="false" ht="15" hidden="false" customHeight="false" outlineLevel="0" collapsed="false">
      <c r="A118" s="17" t="s">
        <v>192</v>
      </c>
      <c r="B118" s="30" t="n">
        <v>44.99</v>
      </c>
      <c r="C118" s="30" t="n">
        <v>0</v>
      </c>
      <c r="D118" s="17" t="s">
        <v>57</v>
      </c>
      <c r="E118" s="17" t="s">
        <v>324</v>
      </c>
    </row>
    <row r="119" customFormat="false" ht="15" hidden="false" customHeight="false" outlineLevel="0" collapsed="false">
      <c r="A119" s="17" t="s">
        <v>195</v>
      </c>
      <c r="B119" s="30" t="n">
        <v>54.99</v>
      </c>
      <c r="C119" s="30" t="n">
        <v>0</v>
      </c>
      <c r="D119" s="17" t="s">
        <v>57</v>
      </c>
      <c r="E119" s="17" t="s">
        <v>325</v>
      </c>
    </row>
    <row r="120" customFormat="false" ht="24.05" hidden="false" customHeight="false" outlineLevel="0" collapsed="false">
      <c r="A120" s="39" t="s">
        <v>326</v>
      </c>
      <c r="B120" s="39" t="s">
        <v>327</v>
      </c>
      <c r="C120" s="39" t="s">
        <v>203</v>
      </c>
      <c r="D120" s="39" t="s">
        <v>328</v>
      </c>
      <c r="E120" s="39" t="s">
        <v>51</v>
      </c>
      <c r="F120" s="39" t="s">
        <v>52</v>
      </c>
      <c r="G120" s="39" t="s">
        <v>329</v>
      </c>
      <c r="H120" s="39" t="s">
        <v>330</v>
      </c>
    </row>
    <row r="121" customFormat="false" ht="15" hidden="false" customHeight="false" outlineLevel="0" collapsed="false">
      <c r="A121" s="17" t="s">
        <v>331</v>
      </c>
      <c r="B121" s="30" t="n">
        <v>2.5</v>
      </c>
      <c r="C121" s="30" t="n">
        <v>4.14</v>
      </c>
      <c r="D121" s="30" t="n">
        <v>5.5</v>
      </c>
      <c r="E121" s="17" t="s">
        <v>332</v>
      </c>
      <c r="F121" s="17" t="s">
        <v>333</v>
      </c>
      <c r="G121" s="17" t="s">
        <v>334</v>
      </c>
      <c r="H121" s="40" t="n">
        <f aca="false">INDEX($B121:$D121,4-Scenarios!$B$4)</f>
        <v>4.14</v>
      </c>
    </row>
    <row r="123" customFormat="false" ht="15" hidden="false" customHeight="false" outlineLevel="0" collapsed="false">
      <c r="A123" s="23" t="s">
        <v>335</v>
      </c>
      <c r="B123" s="24"/>
      <c r="C123" s="24"/>
      <c r="D123" s="24"/>
      <c r="E123" s="24"/>
      <c r="F123" s="24"/>
      <c r="G123" s="24"/>
      <c r="H123" s="24"/>
      <c r="I123" s="24"/>
      <c r="J123" s="24"/>
      <c r="K123" s="24"/>
    </row>
    <row r="124" customFormat="false" ht="46.95" hidden="false" customHeight="false" outlineLevel="0" collapsed="false">
      <c r="A124" s="39" t="s">
        <v>336</v>
      </c>
      <c r="B124" s="39" t="s">
        <v>277</v>
      </c>
      <c r="C124" s="39" t="s">
        <v>278</v>
      </c>
      <c r="D124" s="39" t="s">
        <v>279</v>
      </c>
      <c r="E124" s="39" t="s">
        <v>52</v>
      </c>
      <c r="F124" s="39" t="s">
        <v>329</v>
      </c>
      <c r="G124" s="39" t="s">
        <v>337</v>
      </c>
      <c r="H124" s="39" t="s">
        <v>338</v>
      </c>
      <c r="I124" s="39" t="s">
        <v>339</v>
      </c>
    </row>
    <row r="125" customFormat="false" ht="15" hidden="false" customHeight="false" outlineLevel="0" collapsed="false">
      <c r="A125" s="17" t="s">
        <v>340</v>
      </c>
      <c r="B125" s="30" t="n">
        <v>0</v>
      </c>
      <c r="C125" s="30" t="n">
        <v>0</v>
      </c>
      <c r="D125" s="21" t="n">
        <v>1</v>
      </c>
      <c r="E125" s="17" t="s">
        <v>341</v>
      </c>
      <c r="F125" s="17" t="s">
        <v>342</v>
      </c>
      <c r="G125" s="21" t="n">
        <v>1</v>
      </c>
      <c r="H125" s="21" t="n">
        <v>36</v>
      </c>
      <c r="I125" s="21" t="n">
        <v>0</v>
      </c>
    </row>
    <row r="126" customFormat="false" ht="15" hidden="false" customHeight="false" outlineLevel="0" collapsed="false">
      <c r="A126" s="17" t="s">
        <v>343</v>
      </c>
      <c r="B126" s="30" t="n">
        <v>25</v>
      </c>
      <c r="C126" s="30" t="n">
        <v>0</v>
      </c>
      <c r="D126" s="21" t="n">
        <v>1</v>
      </c>
      <c r="E126" s="17" t="s">
        <v>344</v>
      </c>
      <c r="F126" s="17" t="s">
        <v>345</v>
      </c>
      <c r="G126" s="21" t="n">
        <v>7</v>
      </c>
      <c r="H126" s="21" t="n">
        <v>36</v>
      </c>
      <c r="I126" s="21" t="n">
        <v>0</v>
      </c>
    </row>
    <row r="127" customFormat="false" ht="15" hidden="false" customHeight="false" outlineLevel="0" collapsed="false">
      <c r="A127" s="17" t="s">
        <v>346</v>
      </c>
      <c r="B127" s="30" t="n">
        <v>5</v>
      </c>
      <c r="C127" s="30" t="n">
        <v>0</v>
      </c>
      <c r="D127" s="21" t="n">
        <v>1</v>
      </c>
      <c r="E127" s="17" t="s">
        <v>344</v>
      </c>
      <c r="F127" s="17" t="s">
        <v>347</v>
      </c>
      <c r="G127" s="21" t="n">
        <v>1</v>
      </c>
      <c r="H127" s="21" t="n">
        <v>36</v>
      </c>
      <c r="I127" s="21" t="n">
        <v>0</v>
      </c>
    </row>
    <row r="128" customFormat="false" ht="15" hidden="false" customHeight="false" outlineLevel="0" collapsed="false">
      <c r="A128" s="17" t="s">
        <v>348</v>
      </c>
      <c r="B128" s="30" t="n">
        <v>10</v>
      </c>
      <c r="C128" s="30" t="n">
        <v>0</v>
      </c>
      <c r="D128" s="21" t="n">
        <v>1</v>
      </c>
      <c r="E128" s="17" t="s">
        <v>344</v>
      </c>
      <c r="F128" s="17" t="s">
        <v>349</v>
      </c>
      <c r="G128" s="21" t="n">
        <v>1</v>
      </c>
      <c r="H128" s="21" t="n">
        <v>36</v>
      </c>
      <c r="I128" s="21" t="n">
        <v>0</v>
      </c>
    </row>
    <row r="129" customFormat="false" ht="15" hidden="false" customHeight="false" outlineLevel="0" collapsed="false">
      <c r="A129" s="17" t="s">
        <v>350</v>
      </c>
      <c r="B129" s="30" t="n">
        <v>7.5</v>
      </c>
      <c r="C129" s="30" t="n">
        <v>0</v>
      </c>
      <c r="D129" s="21" t="n">
        <v>1</v>
      </c>
      <c r="E129" s="17" t="s">
        <v>90</v>
      </c>
      <c r="F129" s="17" t="s">
        <v>351</v>
      </c>
      <c r="G129" s="21" t="n">
        <v>1</v>
      </c>
      <c r="H129" s="21" t="n">
        <v>36</v>
      </c>
      <c r="I129" s="21" t="n">
        <v>0</v>
      </c>
    </row>
    <row r="130" customFormat="false" ht="15" hidden="false" customHeight="false" outlineLevel="0" collapsed="false">
      <c r="A130" s="17" t="s">
        <v>352</v>
      </c>
      <c r="B130" s="30" t="n">
        <v>40</v>
      </c>
      <c r="C130" s="30" t="n">
        <v>0</v>
      </c>
      <c r="D130" s="21" t="n">
        <v>1</v>
      </c>
      <c r="E130" s="17" t="s">
        <v>90</v>
      </c>
      <c r="F130" s="17" t="s">
        <v>353</v>
      </c>
      <c r="G130" s="21" t="n">
        <v>2</v>
      </c>
      <c r="H130" s="21" t="n">
        <v>36</v>
      </c>
      <c r="I130" s="21" t="n">
        <v>0</v>
      </c>
    </row>
    <row r="131" customFormat="false" ht="15" hidden="false" customHeight="false" outlineLevel="0" collapsed="false">
      <c r="A131" s="17" t="s">
        <v>354</v>
      </c>
      <c r="B131" s="30" t="n">
        <v>0</v>
      </c>
      <c r="C131" s="30" t="n">
        <v>0</v>
      </c>
      <c r="D131" s="21" t="n">
        <v>1</v>
      </c>
      <c r="E131" s="17" t="s">
        <v>57</v>
      </c>
      <c r="F131" s="17" t="s">
        <v>355</v>
      </c>
      <c r="G131" s="21" t="n">
        <v>1</v>
      </c>
      <c r="H131" s="21" t="n">
        <v>3</v>
      </c>
      <c r="I131" s="21" t="n">
        <v>0</v>
      </c>
    </row>
    <row r="132" customFormat="false" ht="15" hidden="false" customHeight="false" outlineLevel="0" collapsed="false">
      <c r="A132" s="17" t="s">
        <v>356</v>
      </c>
      <c r="B132" s="30" t="n">
        <v>0</v>
      </c>
      <c r="C132" s="30" t="n">
        <v>0</v>
      </c>
      <c r="D132" s="21" t="n">
        <v>1</v>
      </c>
      <c r="E132" s="17" t="s">
        <v>57</v>
      </c>
      <c r="F132" s="17" t="s">
        <v>357</v>
      </c>
      <c r="G132" s="21" t="n">
        <v>4</v>
      </c>
      <c r="H132" s="21" t="n">
        <v>36</v>
      </c>
      <c r="I132" s="21" t="n">
        <v>0</v>
      </c>
    </row>
    <row r="133" customFormat="false" ht="15" hidden="false" customHeight="false" outlineLevel="0" collapsed="false">
      <c r="A133" s="17" t="s">
        <v>358</v>
      </c>
      <c r="B133" s="30" t="n">
        <v>25</v>
      </c>
      <c r="C133" s="30" t="n">
        <v>0</v>
      </c>
      <c r="D133" s="21" t="n">
        <v>1</v>
      </c>
      <c r="E133" s="17" t="s">
        <v>359</v>
      </c>
      <c r="F133" s="17" t="s">
        <v>360</v>
      </c>
      <c r="G133" s="21" t="n">
        <v>19</v>
      </c>
      <c r="H133" s="21" t="n">
        <v>36</v>
      </c>
      <c r="I133" s="21" t="n">
        <v>0</v>
      </c>
    </row>
    <row r="134" customFormat="false" ht="15" hidden="false" customHeight="false" outlineLevel="0" collapsed="false">
      <c r="A134" s="17" t="s">
        <v>361</v>
      </c>
      <c r="B134" s="30" t="n">
        <v>975</v>
      </c>
      <c r="C134" s="30" t="n">
        <v>0</v>
      </c>
      <c r="D134" s="21" t="n">
        <v>1</v>
      </c>
      <c r="E134" s="17" t="s">
        <v>90</v>
      </c>
      <c r="F134" s="17" t="s">
        <v>362</v>
      </c>
      <c r="G134" s="21" t="n">
        <v>1</v>
      </c>
      <c r="H134" s="21" t="n">
        <v>36</v>
      </c>
      <c r="I134" s="21" t="n">
        <v>12</v>
      </c>
    </row>
    <row r="135" customFormat="false" ht="15" hidden="false" customHeight="false" outlineLevel="0" collapsed="false">
      <c r="A135" s="17" t="s">
        <v>363</v>
      </c>
      <c r="B135" s="30" t="n">
        <v>10</v>
      </c>
      <c r="C135" s="30" t="n">
        <v>0</v>
      </c>
      <c r="D135" s="21" t="n">
        <v>1</v>
      </c>
      <c r="E135" s="17" t="s">
        <v>90</v>
      </c>
      <c r="F135" s="17" t="s">
        <v>364</v>
      </c>
      <c r="G135" s="21" t="n">
        <v>1</v>
      </c>
      <c r="H135" s="21" t="n">
        <v>36</v>
      </c>
      <c r="I135" s="21" t="n">
        <v>0</v>
      </c>
    </row>
    <row r="136" customFormat="false" ht="15" hidden="false" customHeight="false" outlineLevel="0" collapsed="false">
      <c r="A136" s="17" t="s">
        <v>365</v>
      </c>
      <c r="B136" s="30" t="n">
        <v>100</v>
      </c>
      <c r="C136" s="30" t="n">
        <v>0</v>
      </c>
      <c r="D136" s="21" t="n">
        <v>1</v>
      </c>
      <c r="E136" s="17" t="s">
        <v>344</v>
      </c>
      <c r="F136" s="17" t="s">
        <v>366</v>
      </c>
      <c r="G136" s="21" t="n">
        <v>1</v>
      </c>
      <c r="H136" s="21" t="n">
        <v>36</v>
      </c>
      <c r="I136" s="21" t="n">
        <v>0</v>
      </c>
    </row>
    <row r="137" customFormat="false" ht="15" hidden="false" customHeight="false" outlineLevel="0" collapsed="false">
      <c r="A137" s="17" t="s">
        <v>367</v>
      </c>
      <c r="B137" s="30" t="n">
        <v>288</v>
      </c>
      <c r="C137" s="30" t="n">
        <v>0</v>
      </c>
      <c r="D137" s="21" t="n">
        <v>1</v>
      </c>
      <c r="E137" s="17" t="s">
        <v>90</v>
      </c>
      <c r="F137" s="17" t="s">
        <v>368</v>
      </c>
      <c r="G137" s="21" t="n">
        <v>1</v>
      </c>
      <c r="H137" s="21" t="n">
        <v>36</v>
      </c>
      <c r="I137" s="21" t="n">
        <v>0</v>
      </c>
    </row>
    <row r="138" customFormat="false" ht="15" hidden="false" customHeight="false" outlineLevel="0" collapsed="false">
      <c r="A138" s="17" t="s">
        <v>369</v>
      </c>
      <c r="B138" s="30" t="n">
        <v>33.33</v>
      </c>
      <c r="C138" s="30" t="n">
        <v>0</v>
      </c>
      <c r="D138" s="21" t="n">
        <v>1</v>
      </c>
      <c r="E138" s="17" t="s">
        <v>90</v>
      </c>
      <c r="F138" s="17" t="s">
        <v>370</v>
      </c>
      <c r="G138" s="21" t="n">
        <v>7</v>
      </c>
      <c r="H138" s="21" t="n">
        <v>36</v>
      </c>
      <c r="I138" s="21" t="n">
        <v>0</v>
      </c>
    </row>
    <row r="139" customFormat="false" ht="15" hidden="false" customHeight="false" outlineLevel="0" collapsed="false">
      <c r="A139" s="17" t="s">
        <v>371</v>
      </c>
      <c r="B139" s="30" t="n">
        <v>208.33</v>
      </c>
      <c r="C139" s="30" t="n">
        <v>0</v>
      </c>
      <c r="D139" s="21" t="n">
        <v>1</v>
      </c>
      <c r="E139" s="17" t="s">
        <v>90</v>
      </c>
      <c r="F139" s="17" t="s">
        <v>372</v>
      </c>
      <c r="G139" s="21" t="n">
        <v>13</v>
      </c>
      <c r="H139" s="21" t="n">
        <v>36</v>
      </c>
      <c r="I139" s="21" t="n">
        <v>0</v>
      </c>
    </row>
    <row r="140" customFormat="false" ht="15" hidden="false" customHeight="false" outlineLevel="0" collapsed="false">
      <c r="A140" s="17" t="s">
        <v>373</v>
      </c>
      <c r="B140" s="30" t="n">
        <v>5.42</v>
      </c>
      <c r="C140" s="30" t="n">
        <v>0</v>
      </c>
      <c r="D140" s="21" t="n">
        <v>1</v>
      </c>
      <c r="E140" s="17" t="s">
        <v>90</v>
      </c>
      <c r="F140" s="17" t="s">
        <v>374</v>
      </c>
      <c r="G140" s="21" t="n">
        <v>1</v>
      </c>
      <c r="H140" s="21" t="n">
        <v>36</v>
      </c>
      <c r="I140" s="21" t="n">
        <v>0</v>
      </c>
    </row>
    <row r="142" customFormat="false" ht="15" hidden="false" customHeight="false" outlineLevel="0" collapsed="false">
      <c r="A142" s="23" t="s">
        <v>375</v>
      </c>
      <c r="B142" s="24"/>
      <c r="C142" s="24"/>
      <c r="D142" s="24"/>
      <c r="E142" s="24"/>
      <c r="F142" s="24"/>
      <c r="G142" s="24"/>
      <c r="H142" s="24"/>
      <c r="I142" s="24"/>
      <c r="J142" s="24"/>
      <c r="K142" s="24"/>
    </row>
    <row r="143" customFormat="false" ht="15" hidden="false" customHeight="false" outlineLevel="0" collapsed="false">
      <c r="A143" s="39" t="s">
        <v>376</v>
      </c>
      <c r="B143" s="39" t="s">
        <v>377</v>
      </c>
      <c r="C143" s="39" t="s">
        <v>378</v>
      </c>
      <c r="D143" s="39" t="s">
        <v>52</v>
      </c>
      <c r="E143" s="39" t="s">
        <v>53</v>
      </c>
      <c r="F143" s="39" t="s">
        <v>329</v>
      </c>
    </row>
    <row r="144" customFormat="false" ht="15" hidden="false" customHeight="false" outlineLevel="0" collapsed="false">
      <c r="A144" s="17" t="s">
        <v>379</v>
      </c>
      <c r="B144" s="26" t="n">
        <v>8000</v>
      </c>
      <c r="C144" s="21" t="n">
        <v>1</v>
      </c>
      <c r="D144" s="17" t="s">
        <v>90</v>
      </c>
      <c r="E144" s="17" t="s">
        <v>380</v>
      </c>
      <c r="F144" s="17" t="s">
        <v>381</v>
      </c>
    </row>
    <row r="145" customFormat="false" ht="15" hidden="false" customHeight="false" outlineLevel="0" collapsed="false">
      <c r="A145" s="17" t="s">
        <v>382</v>
      </c>
      <c r="B145" s="26" t="n">
        <v>1500</v>
      </c>
      <c r="C145" s="21" t="n">
        <v>1</v>
      </c>
      <c r="D145" s="17" t="s">
        <v>90</v>
      </c>
      <c r="E145" s="17" t="s">
        <v>383</v>
      </c>
      <c r="F145" s="17" t="s">
        <v>384</v>
      </c>
    </row>
    <row r="146" customFormat="false" ht="15" hidden="false" customHeight="false" outlineLevel="0" collapsed="false">
      <c r="A146" s="17" t="s">
        <v>385</v>
      </c>
      <c r="B146" s="26" t="n">
        <v>6</v>
      </c>
      <c r="C146" s="21" t="n">
        <v>1</v>
      </c>
      <c r="D146" s="17" t="s">
        <v>57</v>
      </c>
      <c r="E146" s="17" t="s">
        <v>386</v>
      </c>
      <c r="F146" s="17" t="s">
        <v>387</v>
      </c>
    </row>
    <row r="147" customFormat="false" ht="15" hidden="false" customHeight="false" outlineLevel="0" collapsed="false">
      <c r="A147" s="17" t="s">
        <v>388</v>
      </c>
      <c r="B147" s="26" t="n">
        <v>2000</v>
      </c>
      <c r="C147" s="21" t="n">
        <v>2</v>
      </c>
      <c r="D147" s="17" t="s">
        <v>344</v>
      </c>
      <c r="E147" s="17" t="s">
        <v>389</v>
      </c>
      <c r="F147" s="17" t="s">
        <v>390</v>
      </c>
    </row>
    <row r="148" customFormat="false" ht="15" hidden="false" customHeight="false" outlineLevel="0" collapsed="false">
      <c r="A148" s="17" t="s">
        <v>391</v>
      </c>
      <c r="B148" s="26" t="n">
        <v>3000</v>
      </c>
      <c r="C148" s="21" t="n">
        <v>4</v>
      </c>
      <c r="D148" s="17" t="s">
        <v>344</v>
      </c>
      <c r="E148" s="17" t="s">
        <v>392</v>
      </c>
      <c r="F148" s="17" t="s">
        <v>393</v>
      </c>
    </row>
    <row r="150" customFormat="false" ht="15" hidden="false" customHeight="false" outlineLevel="0" collapsed="false">
      <c r="A150" s="23" t="s">
        <v>394</v>
      </c>
      <c r="B150" s="24"/>
      <c r="C150" s="24"/>
      <c r="D150" s="24"/>
      <c r="E150" s="24"/>
      <c r="F150" s="24"/>
      <c r="G150" s="24"/>
      <c r="H150" s="24"/>
      <c r="I150" s="24"/>
      <c r="J150" s="24"/>
      <c r="K150" s="24"/>
    </row>
    <row r="151" customFormat="false" ht="15" hidden="false" customHeight="false" outlineLevel="0" collapsed="false">
      <c r="A151" s="39" t="s">
        <v>50</v>
      </c>
      <c r="B151" s="39" t="s">
        <v>3</v>
      </c>
      <c r="C151" s="39" t="s">
        <v>51</v>
      </c>
      <c r="D151" s="39" t="s">
        <v>52</v>
      </c>
      <c r="E151" s="39" t="s">
        <v>53</v>
      </c>
      <c r="F151" s="39" t="s">
        <v>54</v>
      </c>
    </row>
    <row r="152" customFormat="false" ht="15" hidden="false" customHeight="false" outlineLevel="0" collapsed="false">
      <c r="A152" s="17" t="s">
        <v>395</v>
      </c>
      <c r="B152" s="26" t="n">
        <v>600</v>
      </c>
      <c r="C152" s="17" t="s">
        <v>396</v>
      </c>
      <c r="D152" s="17" t="s">
        <v>344</v>
      </c>
      <c r="E152" s="17" t="s">
        <v>397</v>
      </c>
      <c r="F152" s="17" t="s">
        <v>398</v>
      </c>
    </row>
    <row r="153" customFormat="false" ht="15" hidden="false" customHeight="false" outlineLevel="0" collapsed="false">
      <c r="A153" s="17" t="s">
        <v>399</v>
      </c>
      <c r="B153" s="26" t="n">
        <v>600</v>
      </c>
      <c r="C153" s="17" t="s">
        <v>396</v>
      </c>
      <c r="D153" s="17" t="s">
        <v>344</v>
      </c>
      <c r="E153" s="17" t="s">
        <v>397</v>
      </c>
      <c r="F153" s="17" t="s">
        <v>400</v>
      </c>
    </row>
    <row r="154" customFormat="false" ht="15" hidden="false" customHeight="false" outlineLevel="0" collapsed="false">
      <c r="A154" s="17" t="s">
        <v>401</v>
      </c>
      <c r="B154" s="28" t="n">
        <v>1</v>
      </c>
      <c r="C154" s="17" t="s">
        <v>402</v>
      </c>
      <c r="D154" s="17" t="s">
        <v>344</v>
      </c>
      <c r="E154" s="17" t="s">
        <v>403</v>
      </c>
      <c r="F154" s="17" t="s">
        <v>404</v>
      </c>
    </row>
    <row r="155" customFormat="false" ht="15" hidden="false" customHeight="false" outlineLevel="0" collapsed="false">
      <c r="A155" s="17" t="s">
        <v>405</v>
      </c>
      <c r="B155" s="28" t="n">
        <v>0.2</v>
      </c>
      <c r="C155" s="17" t="s">
        <v>406</v>
      </c>
      <c r="D155" s="17" t="s">
        <v>344</v>
      </c>
      <c r="E155" s="17" t="s">
        <v>407</v>
      </c>
      <c r="F155" s="17" t="s">
        <v>408</v>
      </c>
    </row>
    <row r="156" customFormat="false" ht="15" hidden="false" customHeight="false" outlineLevel="0" collapsed="false">
      <c r="A156" s="17" t="s">
        <v>409</v>
      </c>
      <c r="B156" s="41" t="n">
        <v>0.5</v>
      </c>
      <c r="C156" s="17" t="s">
        <v>410</v>
      </c>
      <c r="D156" s="17" t="s">
        <v>57</v>
      </c>
      <c r="E156" s="17" t="s">
        <v>411</v>
      </c>
      <c r="F156" s="17" t="s">
        <v>412</v>
      </c>
    </row>
    <row r="157" customFormat="false" ht="15" hidden="false" customHeight="false" outlineLevel="0" collapsed="false">
      <c r="A157" s="17" t="s">
        <v>413</v>
      </c>
      <c r="B157" s="41" t="n">
        <v>2</v>
      </c>
      <c r="C157" s="17" t="s">
        <v>410</v>
      </c>
      <c r="D157" s="17" t="s">
        <v>57</v>
      </c>
      <c r="E157" s="17" t="s">
        <v>414</v>
      </c>
      <c r="F157" s="17" t="s">
        <v>415</v>
      </c>
    </row>
    <row r="158" customFormat="false" ht="15" hidden="false" customHeight="false" outlineLevel="0" collapsed="false">
      <c r="A158" s="17" t="s">
        <v>416</v>
      </c>
      <c r="B158" s="41" t="n">
        <v>5</v>
      </c>
      <c r="C158" s="17" t="s">
        <v>410</v>
      </c>
      <c r="D158" s="17" t="s">
        <v>57</v>
      </c>
      <c r="E158" s="17" t="s">
        <v>417</v>
      </c>
      <c r="F158" s="17" t="s">
        <v>415</v>
      </c>
    </row>
    <row r="159" customFormat="false" ht="15" hidden="false" customHeight="false" outlineLevel="0" collapsed="false">
      <c r="A159" s="17" t="s">
        <v>418</v>
      </c>
      <c r="B159" s="42" t="n">
        <v>0.25</v>
      </c>
      <c r="C159" s="17" t="s">
        <v>410</v>
      </c>
      <c r="D159" s="17" t="s">
        <v>90</v>
      </c>
      <c r="E159" s="17" t="s">
        <v>419</v>
      </c>
      <c r="F159" s="17" t="s">
        <v>420</v>
      </c>
    </row>
    <row r="160" customFormat="false" ht="15" hidden="false" customHeight="false" outlineLevel="0" collapsed="false">
      <c r="A160" s="17" t="s">
        <v>421</v>
      </c>
      <c r="B160" s="42" t="n">
        <v>1.25</v>
      </c>
      <c r="C160" s="17" t="s">
        <v>410</v>
      </c>
      <c r="D160" s="17" t="s">
        <v>90</v>
      </c>
      <c r="E160" s="17" t="s">
        <v>422</v>
      </c>
      <c r="F160" s="17" t="s">
        <v>423</v>
      </c>
    </row>
    <row r="161" customFormat="false" ht="15" hidden="false" customHeight="false" outlineLevel="0" collapsed="false">
      <c r="A161" s="17" t="s">
        <v>424</v>
      </c>
      <c r="B161" s="42" t="n">
        <v>3.5</v>
      </c>
      <c r="C161" s="17" t="s">
        <v>410</v>
      </c>
      <c r="D161" s="17" t="s">
        <v>90</v>
      </c>
      <c r="E161" s="17" t="s">
        <v>425</v>
      </c>
      <c r="F161" s="17" t="s">
        <v>426</v>
      </c>
    </row>
    <row r="162" customFormat="false" ht="24.05" hidden="false" customHeight="false" outlineLevel="0" collapsed="false">
      <c r="A162" s="39" t="s">
        <v>427</v>
      </c>
      <c r="B162" s="39" t="s">
        <v>428</v>
      </c>
      <c r="C162" s="39" t="s">
        <v>429</v>
      </c>
      <c r="D162" s="39" t="s">
        <v>430</v>
      </c>
      <c r="E162" s="39" t="s">
        <v>431</v>
      </c>
      <c r="F162" s="39" t="s">
        <v>432</v>
      </c>
      <c r="G162" s="39" t="s">
        <v>433</v>
      </c>
      <c r="H162" s="39" t="s">
        <v>434</v>
      </c>
      <c r="I162" s="39" t="s">
        <v>435</v>
      </c>
      <c r="J162" s="39" t="s">
        <v>337</v>
      </c>
      <c r="K162" s="39" t="s">
        <v>436</v>
      </c>
      <c r="L162" s="39" t="s">
        <v>329</v>
      </c>
    </row>
    <row r="163" customFormat="false" ht="15" hidden="false" customHeight="false" outlineLevel="0" collapsed="false">
      <c r="A163" s="17" t="s">
        <v>437</v>
      </c>
      <c r="B163" s="21" t="n">
        <v>13</v>
      </c>
      <c r="C163" s="21" t="n">
        <v>9</v>
      </c>
      <c r="D163" s="21" t="n">
        <v>3</v>
      </c>
      <c r="E163" s="43" t="n">
        <f aca="false">$B$156</f>
        <v>0.5</v>
      </c>
      <c r="F163" s="43" t="n">
        <f aca="false">$B$157</f>
        <v>2</v>
      </c>
      <c r="G163" s="43" t="n">
        <f aca="false">$B$158</f>
        <v>5</v>
      </c>
      <c r="H163" s="41" t="n">
        <v>0</v>
      </c>
      <c r="I163" s="43" t="n">
        <f aca="false">B163*E163+C163*F163+D163*G163+H163</f>
        <v>39.5</v>
      </c>
      <c r="J163" s="21" t="n">
        <v>1</v>
      </c>
      <c r="K163" s="21" t="n">
        <v>2</v>
      </c>
      <c r="L163" s="17" t="s">
        <v>438</v>
      </c>
    </row>
    <row r="164" customFormat="false" ht="15" hidden="false" customHeight="false" outlineLevel="0" collapsed="false">
      <c r="A164" s="17" t="s">
        <v>439</v>
      </c>
      <c r="B164" s="21" t="n">
        <v>5</v>
      </c>
      <c r="C164" s="21" t="n">
        <v>6</v>
      </c>
      <c r="D164" s="21" t="n">
        <v>0</v>
      </c>
      <c r="E164" s="43" t="n">
        <f aca="false">$B$156</f>
        <v>0.5</v>
      </c>
      <c r="F164" s="43" t="n">
        <f aca="false">$B$157</f>
        <v>2</v>
      </c>
      <c r="G164" s="43" t="n">
        <f aca="false">$B$158</f>
        <v>5</v>
      </c>
      <c r="H164" s="41" t="n">
        <v>0</v>
      </c>
      <c r="I164" s="43" t="n">
        <f aca="false">B164*E164+C164*F164+D164*G164+H164</f>
        <v>14.5</v>
      </c>
      <c r="J164" s="21" t="n">
        <v>2</v>
      </c>
      <c r="K164" s="21" t="n">
        <v>3</v>
      </c>
      <c r="L164" s="17" t="s">
        <v>440</v>
      </c>
    </row>
    <row r="165" customFormat="false" ht="15" hidden="false" customHeight="false" outlineLevel="0" collapsed="false">
      <c r="A165" s="17" t="s">
        <v>441</v>
      </c>
      <c r="B165" s="21" t="n">
        <v>0</v>
      </c>
      <c r="C165" s="21" t="n">
        <v>0</v>
      </c>
      <c r="D165" s="21" t="n">
        <v>0</v>
      </c>
      <c r="E165" s="43" t="n">
        <v>0</v>
      </c>
      <c r="F165" s="43" t="n">
        <v>0</v>
      </c>
      <c r="G165" s="43" t="n">
        <v>0</v>
      </c>
      <c r="H165" s="41" t="n">
        <v>54</v>
      </c>
      <c r="I165" s="43" t="n">
        <f aca="false">B165*E165+C165*F165+D165*G165+H165</f>
        <v>54</v>
      </c>
      <c r="J165" s="21" t="n">
        <v>1</v>
      </c>
      <c r="K165" s="21" t="n">
        <v>3</v>
      </c>
      <c r="L165" s="17" t="s">
        <v>442</v>
      </c>
    </row>
    <row r="166" customFormat="false" ht="15" hidden="false" customHeight="false" outlineLevel="0" collapsed="false">
      <c r="A166" s="17" t="s">
        <v>443</v>
      </c>
      <c r="B166" s="21" t="n">
        <v>12</v>
      </c>
      <c r="C166" s="21" t="n">
        <v>11</v>
      </c>
      <c r="D166" s="21" t="n">
        <v>4</v>
      </c>
      <c r="E166" s="43" t="n">
        <f aca="false">$B$159</f>
        <v>0.25</v>
      </c>
      <c r="F166" s="43" t="n">
        <f aca="false">$B$160</f>
        <v>1.25</v>
      </c>
      <c r="G166" s="43" t="n">
        <f aca="false">$B$161</f>
        <v>3.5</v>
      </c>
      <c r="H166" s="41" t="n">
        <v>0</v>
      </c>
      <c r="I166" s="43" t="n">
        <f aca="false">B166*E166+C166*F166+D166*G166+H166</f>
        <v>30.75</v>
      </c>
      <c r="J166" s="21" t="n">
        <v>1</v>
      </c>
      <c r="K166" s="21" t="n">
        <v>2</v>
      </c>
      <c r="L166" s="17" t="s">
        <v>444</v>
      </c>
    </row>
    <row r="167" customFormat="false" ht="15" hidden="false" customHeight="false" outlineLevel="0" collapsed="false">
      <c r="A167" s="17" t="s">
        <v>445</v>
      </c>
      <c r="B167" s="21" t="n">
        <v>0</v>
      </c>
      <c r="C167" s="21" t="n">
        <v>0</v>
      </c>
      <c r="D167" s="21" t="n">
        <v>0</v>
      </c>
      <c r="E167" s="43" t="n">
        <v>0</v>
      </c>
      <c r="F167" s="43" t="n">
        <v>0</v>
      </c>
      <c r="G167" s="43" t="n">
        <v>0</v>
      </c>
      <c r="H167" s="41" t="n">
        <v>10</v>
      </c>
      <c r="I167" s="43" t="n">
        <f aca="false">B167*E167+C167*F167+D167*G167+H167</f>
        <v>10</v>
      </c>
      <c r="J167" s="21" t="n">
        <v>1</v>
      </c>
      <c r="K167" s="21" t="n">
        <v>3</v>
      </c>
      <c r="L167" s="17" t="s">
        <v>446</v>
      </c>
    </row>
    <row r="169" customFormat="false" ht="15" hidden="false" customHeight="false" outlineLevel="0" collapsed="false">
      <c r="A169" s="23" t="s">
        <v>447</v>
      </c>
      <c r="B169" s="24"/>
      <c r="C169" s="24"/>
      <c r="D169" s="24"/>
      <c r="E169" s="24"/>
      <c r="F169" s="24"/>
      <c r="G169" s="24"/>
      <c r="H169" s="24"/>
      <c r="I169" s="24"/>
      <c r="J169" s="24"/>
      <c r="K169" s="24"/>
    </row>
    <row r="170" customFormat="false" ht="24.05" hidden="false" customHeight="false" outlineLevel="0" collapsed="false">
      <c r="A170" s="39" t="s">
        <v>448</v>
      </c>
      <c r="B170" s="39" t="s">
        <v>449</v>
      </c>
      <c r="C170" s="39" t="s">
        <v>337</v>
      </c>
      <c r="D170" s="39" t="s">
        <v>436</v>
      </c>
      <c r="E170" s="39" t="s">
        <v>450</v>
      </c>
      <c r="F170" s="39" t="s">
        <v>52</v>
      </c>
      <c r="G170" s="39" t="s">
        <v>329</v>
      </c>
    </row>
    <row r="171" customFormat="false" ht="15" hidden="false" customHeight="false" outlineLevel="0" collapsed="false">
      <c r="A171" s="17" t="s">
        <v>451</v>
      </c>
      <c r="B171" s="41" t="n">
        <v>20</v>
      </c>
      <c r="C171" s="21" t="n">
        <v>1</v>
      </c>
      <c r="D171" s="21" t="n">
        <v>1</v>
      </c>
      <c r="E171" s="21" t="n">
        <v>1</v>
      </c>
      <c r="F171" s="17" t="s">
        <v>90</v>
      </c>
      <c r="G171" s="17" t="s">
        <v>452</v>
      </c>
    </row>
    <row r="172" customFormat="false" ht="15" hidden="false" customHeight="false" outlineLevel="0" collapsed="false">
      <c r="A172" s="17" t="s">
        <v>453</v>
      </c>
      <c r="B172" s="41" t="n">
        <v>37.5</v>
      </c>
      <c r="C172" s="21" t="n">
        <v>2</v>
      </c>
      <c r="D172" s="21" t="n">
        <v>2</v>
      </c>
      <c r="E172" s="21" t="n">
        <v>1</v>
      </c>
      <c r="F172" s="17" t="s">
        <v>90</v>
      </c>
      <c r="G172" s="17" t="s">
        <v>454</v>
      </c>
    </row>
    <row r="173" customFormat="false" ht="15" hidden="false" customHeight="false" outlineLevel="0" collapsed="false">
      <c r="A173" s="17" t="s">
        <v>455</v>
      </c>
      <c r="B173" s="41" t="n">
        <v>29</v>
      </c>
      <c r="C173" s="21" t="n">
        <v>4</v>
      </c>
      <c r="D173" s="21" t="n">
        <v>2</v>
      </c>
      <c r="E173" s="21" t="n">
        <v>1</v>
      </c>
      <c r="F173" s="17" t="s">
        <v>90</v>
      </c>
      <c r="G173" s="17" t="s">
        <v>456</v>
      </c>
    </row>
    <row r="174" customFormat="false" ht="15" hidden="false" customHeight="false" outlineLevel="0" collapsed="false">
      <c r="A174" s="17" t="s">
        <v>457</v>
      </c>
      <c r="B174" s="41" t="n">
        <v>19</v>
      </c>
      <c r="C174" s="21" t="n">
        <v>9</v>
      </c>
      <c r="D174" s="21" t="n">
        <v>2</v>
      </c>
      <c r="E174" s="21" t="n">
        <v>1</v>
      </c>
      <c r="F174" s="17" t="s">
        <v>90</v>
      </c>
      <c r="G174" s="17" t="s">
        <v>458</v>
      </c>
    </row>
    <row r="175" customFormat="false" ht="15" hidden="false" customHeight="false" outlineLevel="0" collapsed="false">
      <c r="A175" s="17" t="s">
        <v>459</v>
      </c>
      <c r="B175" s="41" t="n">
        <v>24</v>
      </c>
      <c r="C175" s="21" t="n">
        <v>12</v>
      </c>
      <c r="D175" s="21" t="n">
        <v>3</v>
      </c>
      <c r="E175" s="21" t="n">
        <v>1</v>
      </c>
      <c r="F175" s="17" t="s">
        <v>90</v>
      </c>
      <c r="G175" s="17" t="s">
        <v>460</v>
      </c>
    </row>
    <row r="176" customFormat="false" ht="15" hidden="false" customHeight="false" outlineLevel="0" collapsed="false">
      <c r="A176" s="17" t="s">
        <v>461</v>
      </c>
      <c r="B176" s="26" t="n">
        <v>6000</v>
      </c>
      <c r="C176" s="17" t="s">
        <v>61</v>
      </c>
      <c r="D176" s="17" t="s">
        <v>90</v>
      </c>
      <c r="E176" s="17" t="s">
        <v>462</v>
      </c>
      <c r="F176" s="17" t="s">
        <v>463</v>
      </c>
    </row>
    <row r="177" customFormat="false" ht="15" hidden="false" customHeight="false" outlineLevel="0" collapsed="false">
      <c r="A177" s="17" t="s">
        <v>464</v>
      </c>
      <c r="B177" s="41" t="n">
        <v>8</v>
      </c>
      <c r="C177" s="17" t="s">
        <v>410</v>
      </c>
      <c r="D177" s="17" t="s">
        <v>90</v>
      </c>
      <c r="E177" s="17" t="s">
        <v>465</v>
      </c>
      <c r="F177" s="17" t="s">
        <v>466</v>
      </c>
    </row>
    <row r="178" customFormat="false" ht="15" hidden="false" customHeight="false" outlineLevel="0" collapsed="false">
      <c r="A178" s="17" t="s">
        <v>467</v>
      </c>
      <c r="B178" s="44" t="n">
        <v>0</v>
      </c>
      <c r="C178" s="17" t="s">
        <v>468</v>
      </c>
      <c r="D178" s="17" t="s">
        <v>344</v>
      </c>
      <c r="E178" s="17" t="s">
        <v>469</v>
      </c>
      <c r="F178" s="17" t="s">
        <v>470</v>
      </c>
    </row>
    <row r="180" customFormat="false" ht="15" hidden="false" customHeight="false" outlineLevel="0" collapsed="false">
      <c r="A180" s="23" t="s">
        <v>471</v>
      </c>
      <c r="B180" s="24"/>
      <c r="C180" s="24"/>
      <c r="D180" s="24"/>
      <c r="E180" s="24"/>
      <c r="F180" s="24"/>
      <c r="G180" s="24"/>
      <c r="H180" s="24"/>
      <c r="I180" s="24"/>
      <c r="J180" s="24"/>
      <c r="K180" s="24"/>
    </row>
    <row r="181" customFormat="false" ht="24.05" hidden="false" customHeight="false" outlineLevel="0" collapsed="false">
      <c r="A181" s="39" t="s">
        <v>472</v>
      </c>
      <c r="B181" s="39" t="s">
        <v>473</v>
      </c>
      <c r="C181" s="39" t="s">
        <v>474</v>
      </c>
      <c r="D181" s="39" t="s">
        <v>337</v>
      </c>
      <c r="E181" s="39" t="s">
        <v>436</v>
      </c>
      <c r="F181" s="39" t="s">
        <v>450</v>
      </c>
      <c r="G181" s="39" t="s">
        <v>475</v>
      </c>
      <c r="H181" s="39" t="s">
        <v>476</v>
      </c>
      <c r="I181" s="39" t="s">
        <v>477</v>
      </c>
      <c r="J181" s="39" t="s">
        <v>478</v>
      </c>
      <c r="K181" s="39" t="s">
        <v>479</v>
      </c>
      <c r="L181" s="39" t="s">
        <v>480</v>
      </c>
    </row>
    <row r="182" customFormat="false" ht="15" hidden="false" customHeight="false" outlineLevel="0" collapsed="false">
      <c r="A182" s="17" t="s">
        <v>481</v>
      </c>
      <c r="B182" s="41" t="n">
        <v>26</v>
      </c>
      <c r="C182" s="41" t="n">
        <v>0</v>
      </c>
      <c r="D182" s="21" t="n">
        <v>7</v>
      </c>
      <c r="E182" s="21" t="n">
        <v>3</v>
      </c>
      <c r="F182" s="21" t="n">
        <v>1</v>
      </c>
      <c r="G182" s="26" t="n">
        <v>2800</v>
      </c>
      <c r="H182" s="26" t="n">
        <v>4100</v>
      </c>
      <c r="I182" s="26" t="n">
        <v>8000</v>
      </c>
      <c r="J182" s="28" t="n">
        <v>0.1</v>
      </c>
      <c r="K182" s="28" t="n">
        <v>0.15</v>
      </c>
      <c r="L182" s="28" t="n">
        <v>0.2</v>
      </c>
    </row>
    <row r="183" customFormat="false" ht="15" hidden="false" customHeight="false" outlineLevel="0" collapsed="false">
      <c r="A183" s="17" t="s">
        <v>482</v>
      </c>
      <c r="B183" s="41" t="n">
        <v>187</v>
      </c>
      <c r="C183" s="41" t="n">
        <v>0</v>
      </c>
      <c r="D183" s="21" t="n">
        <v>11</v>
      </c>
      <c r="E183" s="21" t="n">
        <v>5</v>
      </c>
      <c r="F183" s="21" t="n">
        <v>0</v>
      </c>
      <c r="G183" s="26" t="n">
        <v>9100</v>
      </c>
      <c r="H183" s="26" t="n">
        <v>38300</v>
      </c>
      <c r="I183" s="26" t="n">
        <v>93600</v>
      </c>
      <c r="J183" s="28" t="n">
        <v>0.15</v>
      </c>
      <c r="K183" s="28" t="n">
        <v>0.2</v>
      </c>
      <c r="L183" s="28" t="n">
        <v>0.25</v>
      </c>
    </row>
    <row r="184" customFormat="false" ht="15" hidden="false" customHeight="false" outlineLevel="0" collapsed="false">
      <c r="A184" s="17" t="s">
        <v>483</v>
      </c>
      <c r="B184" s="41" t="n">
        <v>77</v>
      </c>
      <c r="C184" s="41" t="n">
        <v>36</v>
      </c>
      <c r="D184" s="21" t="n">
        <v>17</v>
      </c>
      <c r="E184" s="21" t="n">
        <v>6</v>
      </c>
      <c r="F184" s="21" t="n">
        <v>1</v>
      </c>
      <c r="G184" s="26" t="n">
        <v>23000</v>
      </c>
      <c r="H184" s="26" t="n">
        <v>45900</v>
      </c>
      <c r="I184" s="26" t="n">
        <v>99700</v>
      </c>
      <c r="J184" s="28" t="n">
        <v>0.15</v>
      </c>
      <c r="K184" s="28" t="n">
        <v>0.2</v>
      </c>
      <c r="L184" s="28" t="n">
        <v>0.25</v>
      </c>
    </row>
    <row r="185" customFormat="false" ht="15" hidden="false" customHeight="false" outlineLevel="0" collapsed="false">
      <c r="A185" s="17" t="s">
        <v>484</v>
      </c>
      <c r="B185" s="41" t="n">
        <v>200</v>
      </c>
      <c r="C185" s="41" t="n">
        <v>0</v>
      </c>
      <c r="D185" s="21" t="n">
        <v>24</v>
      </c>
      <c r="E185" s="21" t="n">
        <v>6</v>
      </c>
      <c r="F185" s="21" t="n">
        <v>1</v>
      </c>
      <c r="G185" s="26" t="n">
        <v>43000</v>
      </c>
      <c r="H185" s="26" t="n">
        <v>106000</v>
      </c>
      <c r="I185" s="26" t="n">
        <v>230000</v>
      </c>
      <c r="J185" s="28" t="n">
        <v>0.15</v>
      </c>
      <c r="K185" s="28" t="n">
        <v>0.2</v>
      </c>
      <c r="L185" s="28" t="n">
        <v>0.3</v>
      </c>
    </row>
    <row r="186" customFormat="false" ht="15" hidden="false" customHeight="false" outlineLevel="0" collapsed="false">
      <c r="A186" s="17" t="s">
        <v>485</v>
      </c>
      <c r="B186" s="41" t="n">
        <v>160</v>
      </c>
      <c r="C186" s="41" t="n">
        <v>0</v>
      </c>
      <c r="D186" s="21" t="n">
        <v>31</v>
      </c>
      <c r="E186" s="21" t="n">
        <v>12</v>
      </c>
      <c r="F186" s="21" t="n">
        <v>1</v>
      </c>
      <c r="G186" s="26" t="n">
        <v>13000</v>
      </c>
      <c r="H186" s="26" t="n">
        <v>53000</v>
      </c>
      <c r="I186" s="26" t="n">
        <v>135000</v>
      </c>
      <c r="J186" s="28" t="n">
        <v>0.15</v>
      </c>
      <c r="K186" s="28" t="n">
        <v>0.2</v>
      </c>
      <c r="L186" s="28" t="n">
        <v>0.25</v>
      </c>
    </row>
    <row r="187" customFormat="false" ht="15" hidden="false" customHeight="false" outlineLevel="0" collapsed="false">
      <c r="A187" s="17" t="s">
        <v>486</v>
      </c>
    </row>
    <row r="188" customFormat="false" ht="15" hidden="false" customHeight="false" outlineLevel="0" collapsed="false">
      <c r="A188" s="17" t="s">
        <v>487</v>
      </c>
      <c r="B188" s="42" t="n">
        <v>0.7</v>
      </c>
      <c r="C188" s="42" t="n">
        <v>1</v>
      </c>
      <c r="D188" s="42" t="n">
        <v>1.5</v>
      </c>
      <c r="E188" s="17" t="s">
        <v>103</v>
      </c>
      <c r="F188" s="17" t="s">
        <v>344</v>
      </c>
      <c r="G188" s="17" t="s">
        <v>488</v>
      </c>
      <c r="H188" s="45" t="n">
        <f aca="false">INDEX($B188:$D188,Scenarios!$B$4)</f>
        <v>1</v>
      </c>
    </row>
    <row r="189" customFormat="false" ht="15" hidden="false" customHeight="false" outlineLevel="0" collapsed="false">
      <c r="A189" s="17" t="s">
        <v>489</v>
      </c>
      <c r="B189" s="26" t="n">
        <v>850</v>
      </c>
      <c r="C189" s="26" t="n">
        <v>1000</v>
      </c>
      <c r="D189" s="26" t="n">
        <v>1200</v>
      </c>
      <c r="E189" s="17" t="s">
        <v>490</v>
      </c>
      <c r="F189" s="17" t="s">
        <v>344</v>
      </c>
      <c r="G189" s="17" t="s">
        <v>491</v>
      </c>
      <c r="H189" s="46" t="n">
        <f aca="false">INDEX($B189:$D189,Scenarios!$B$4)</f>
        <v>1000</v>
      </c>
    </row>
    <row r="190" customFormat="false" ht="15" hidden="false" customHeight="false" outlineLevel="0" collapsed="false">
      <c r="A190" s="17" t="s">
        <v>492</v>
      </c>
      <c r="B190" s="26" t="n">
        <v>450</v>
      </c>
      <c r="C190" s="26" t="n">
        <v>600</v>
      </c>
      <c r="D190" s="26" t="n">
        <v>750</v>
      </c>
      <c r="E190" s="17" t="s">
        <v>490</v>
      </c>
      <c r="F190" s="17" t="s">
        <v>344</v>
      </c>
      <c r="G190" s="17" t="s">
        <v>491</v>
      </c>
      <c r="H190" s="46" t="n">
        <f aca="false">INDEX($B190:$D190,Scenarios!$B$4)</f>
        <v>600</v>
      </c>
    </row>
    <row r="192" customFormat="false" ht="15" hidden="false" customHeight="false" outlineLevel="0" collapsed="false">
      <c r="A192" s="23" t="s">
        <v>493</v>
      </c>
      <c r="B192" s="24"/>
      <c r="C192" s="24"/>
      <c r="D192" s="24"/>
      <c r="E192" s="24"/>
      <c r="F192" s="24"/>
      <c r="G192" s="24"/>
      <c r="H192" s="24"/>
      <c r="I192" s="24"/>
      <c r="J192" s="24"/>
      <c r="K192" s="24"/>
    </row>
    <row r="193" customFormat="false" ht="24.05" hidden="false" customHeight="false" outlineLevel="0" collapsed="false">
      <c r="A193" s="39" t="s">
        <v>50</v>
      </c>
      <c r="B193" s="39" t="s">
        <v>494</v>
      </c>
      <c r="C193" s="39" t="s">
        <v>258</v>
      </c>
      <c r="D193" s="39" t="s">
        <v>495</v>
      </c>
      <c r="E193" s="39" t="s">
        <v>51</v>
      </c>
      <c r="F193" s="39" t="s">
        <v>52</v>
      </c>
      <c r="G193" s="39" t="s">
        <v>329</v>
      </c>
      <c r="H193" s="39" t="s">
        <v>330</v>
      </c>
    </row>
    <row r="194" customFormat="false" ht="15" hidden="false" customHeight="false" outlineLevel="0" collapsed="false">
      <c r="A194" s="17" t="s">
        <v>496</v>
      </c>
      <c r="B194" s="30" t="n">
        <v>5.99</v>
      </c>
      <c r="C194" s="30" t="n">
        <v>6.99</v>
      </c>
      <c r="D194" s="30" t="n">
        <v>7.99</v>
      </c>
      <c r="E194" s="17" t="s">
        <v>497</v>
      </c>
      <c r="F194" s="17" t="s">
        <v>344</v>
      </c>
      <c r="G194" s="17" t="s">
        <v>498</v>
      </c>
      <c r="H194" s="40" t="n">
        <f aca="false">INDEX($B194:$D194,Scenarios!$B$4)</f>
        <v>6.99</v>
      </c>
    </row>
    <row r="195" customFormat="false" ht="15" hidden="false" customHeight="false" outlineLevel="0" collapsed="false">
      <c r="A195" s="17" t="s">
        <v>499</v>
      </c>
      <c r="B195" s="41" t="n">
        <v>2</v>
      </c>
      <c r="C195" s="41" t="n">
        <v>5</v>
      </c>
      <c r="D195" s="41" t="n">
        <v>10</v>
      </c>
      <c r="E195" s="17" t="s">
        <v>500</v>
      </c>
      <c r="F195" s="17" t="s">
        <v>344</v>
      </c>
      <c r="G195" s="17" t="s">
        <v>501</v>
      </c>
      <c r="H195" s="43" t="n">
        <f aca="false">INDEX($B195:$D195,Scenarios!$B$4)</f>
        <v>5</v>
      </c>
    </row>
    <row r="196" customFormat="false" ht="15" hidden="false" customHeight="false" outlineLevel="0" collapsed="false">
      <c r="A196" s="17" t="s">
        <v>502</v>
      </c>
      <c r="B196" s="28" t="n">
        <v>0.35</v>
      </c>
      <c r="C196" s="28" t="n">
        <v>0.25</v>
      </c>
      <c r="D196" s="28" t="n">
        <v>0.15</v>
      </c>
      <c r="E196" s="17" t="s">
        <v>140</v>
      </c>
      <c r="F196" s="17" t="s">
        <v>344</v>
      </c>
      <c r="G196" s="17" t="s">
        <v>503</v>
      </c>
      <c r="H196" s="47" t="n">
        <f aca="false">INDEX($B196:$D196,Scenarios!$B$4)</f>
        <v>0.25</v>
      </c>
    </row>
    <row r="197" customFormat="false" ht="15" hidden="false" customHeight="false" outlineLevel="0" collapsed="false">
      <c r="A197" s="17" t="s">
        <v>504</v>
      </c>
      <c r="B197" s="28" t="n">
        <v>0.029</v>
      </c>
      <c r="C197" s="28" t="n">
        <v>0.027</v>
      </c>
      <c r="D197" s="28" t="n">
        <v>0.027</v>
      </c>
      <c r="E197" s="17" t="s">
        <v>505</v>
      </c>
      <c r="F197" s="17" t="s">
        <v>506</v>
      </c>
      <c r="G197" s="17" t="s">
        <v>507</v>
      </c>
      <c r="H197" s="47" t="n">
        <f aca="false">INDEX($B197:$D197,Scenarios!$B$4)</f>
        <v>0.027</v>
      </c>
    </row>
    <row r="198" customFormat="false" ht="15" hidden="false" customHeight="false" outlineLevel="0" collapsed="false">
      <c r="A198" s="17" t="s">
        <v>508</v>
      </c>
      <c r="B198" s="30" t="n">
        <v>0.3</v>
      </c>
      <c r="C198" s="30" t="n">
        <v>0.05</v>
      </c>
      <c r="D198" s="30" t="n">
        <v>0.05</v>
      </c>
      <c r="E198" s="17" t="s">
        <v>509</v>
      </c>
      <c r="F198" s="17" t="s">
        <v>506</v>
      </c>
      <c r="G198" s="17" t="s">
        <v>491</v>
      </c>
      <c r="H198" s="40" t="n">
        <f aca="false">INDEX($B198:$D198,Scenarios!$B$4)</f>
        <v>0.05</v>
      </c>
    </row>
    <row r="199" customFormat="false" ht="15" hidden="false" customHeight="false" outlineLevel="0" collapsed="false">
      <c r="A199" s="17" t="s">
        <v>510</v>
      </c>
      <c r="B199" s="30" t="n">
        <v>0.644</v>
      </c>
      <c r="C199" s="30" t="n">
        <v>0.3996</v>
      </c>
      <c r="D199" s="30" t="n">
        <v>0.2288</v>
      </c>
      <c r="E199" s="17" t="s">
        <v>497</v>
      </c>
      <c r="F199" s="17" t="s">
        <v>90</v>
      </c>
      <c r="G199" s="17" t="s">
        <v>511</v>
      </c>
      <c r="H199" s="40" t="n">
        <f aca="false">INDEX($B199:$D199,Scenarios!$B$4)</f>
        <v>0.3996</v>
      </c>
    </row>
    <row r="200" customFormat="false" ht="15" hidden="false" customHeight="false" outlineLevel="0" collapsed="false">
      <c r="A200" s="17" t="s">
        <v>512</v>
      </c>
      <c r="B200" s="30" t="n">
        <v>0.03</v>
      </c>
      <c r="C200" s="30" t="n">
        <v>0.02</v>
      </c>
      <c r="D200" s="30" t="n">
        <v>0.01</v>
      </c>
      <c r="E200" s="17" t="s">
        <v>513</v>
      </c>
      <c r="F200" s="17" t="s">
        <v>514</v>
      </c>
      <c r="G200" s="17" t="s">
        <v>515</v>
      </c>
      <c r="H200" s="40" t="n">
        <f aca="false">INDEX($B200:$D200,Scenarios!$B$4)</f>
        <v>0.02</v>
      </c>
    </row>
    <row r="201" customFormat="false" ht="15" hidden="false" customHeight="false" outlineLevel="0" collapsed="false">
      <c r="A201" s="17" t="s">
        <v>516</v>
      </c>
      <c r="B201" s="30" t="n">
        <v>0.2</v>
      </c>
      <c r="C201" s="30" t="n">
        <v>0.14</v>
      </c>
      <c r="D201" s="30" t="n">
        <v>0.1</v>
      </c>
      <c r="E201" s="17" t="s">
        <v>513</v>
      </c>
      <c r="F201" s="17" t="s">
        <v>514</v>
      </c>
      <c r="G201" s="17" t="s">
        <v>517</v>
      </c>
      <c r="H201" s="40" t="n">
        <f aca="false">INDEX($B201:$D201,Scenarios!$B$4)</f>
        <v>0.14</v>
      </c>
    </row>
    <row r="202" customFormat="false" ht="15" hidden="false" customHeight="false" outlineLevel="0" collapsed="false">
      <c r="A202" s="17" t="s">
        <v>518</v>
      </c>
      <c r="B202" s="30" t="n">
        <v>0.13</v>
      </c>
      <c r="C202" s="30" t="n">
        <v>0.1</v>
      </c>
      <c r="D202" s="30" t="n">
        <v>0.07</v>
      </c>
      <c r="E202" s="17" t="s">
        <v>513</v>
      </c>
      <c r="F202" s="17" t="s">
        <v>90</v>
      </c>
      <c r="G202" s="17" t="s">
        <v>519</v>
      </c>
      <c r="H202" s="40" t="n">
        <f aca="false">INDEX($B202:$D202,Scenarios!$B$4)</f>
        <v>0.1</v>
      </c>
    </row>
    <row r="203" customFormat="false" ht="15" hidden="false" customHeight="false" outlineLevel="0" collapsed="false">
      <c r="A203" s="17" t="s">
        <v>520</v>
      </c>
      <c r="B203" s="28" t="n">
        <v>0.5</v>
      </c>
      <c r="C203" s="17" t="s">
        <v>521</v>
      </c>
      <c r="D203" s="17" t="s">
        <v>344</v>
      </c>
      <c r="E203" s="17"/>
      <c r="F203" s="17" t="s">
        <v>522</v>
      </c>
    </row>
    <row r="204" customFormat="false" ht="15" hidden="false" customHeight="false" outlineLevel="0" collapsed="false">
      <c r="A204" s="17" t="s">
        <v>523</v>
      </c>
      <c r="B204" s="28" t="n">
        <v>0.35</v>
      </c>
      <c r="C204" s="17" t="s">
        <v>521</v>
      </c>
      <c r="D204" s="17" t="s">
        <v>344</v>
      </c>
      <c r="E204" s="17"/>
      <c r="F204" s="17" t="s">
        <v>524</v>
      </c>
    </row>
    <row r="205" customFormat="false" ht="15" hidden="false" customHeight="false" outlineLevel="0" collapsed="false">
      <c r="A205" s="17" t="s">
        <v>525</v>
      </c>
      <c r="B205" s="28" t="n">
        <v>0.15</v>
      </c>
      <c r="C205" s="17" t="s">
        <v>521</v>
      </c>
      <c r="D205" s="17" t="s">
        <v>344</v>
      </c>
      <c r="E205" s="17"/>
      <c r="F205" s="17" t="s">
        <v>524</v>
      </c>
    </row>
    <row r="206" customFormat="false" ht="15" hidden="false" customHeight="false" outlineLevel="0" collapsed="false">
      <c r="A206" s="17" t="s">
        <v>526</v>
      </c>
      <c r="B206" s="42" t="n">
        <v>0.8</v>
      </c>
      <c r="C206" s="17" t="s">
        <v>103</v>
      </c>
      <c r="D206" s="17" t="s">
        <v>344</v>
      </c>
      <c r="E206" s="17"/>
      <c r="F206" s="17" t="s">
        <v>527</v>
      </c>
    </row>
    <row r="207" customFormat="false" ht="15" hidden="false" customHeight="false" outlineLevel="0" collapsed="false">
      <c r="A207" s="17" t="s">
        <v>528</v>
      </c>
      <c r="B207" s="28" t="n">
        <v>0.6</v>
      </c>
      <c r="C207" s="17" t="s">
        <v>529</v>
      </c>
      <c r="D207" s="17" t="s">
        <v>344</v>
      </c>
      <c r="E207" s="17"/>
      <c r="F207" s="17" t="s">
        <v>530</v>
      </c>
    </row>
    <row r="208" customFormat="false" ht="15" hidden="false" customHeight="false" outlineLevel="0" collapsed="false">
      <c r="A208" s="17" t="s">
        <v>531</v>
      </c>
      <c r="B208" s="21" t="n">
        <v>4</v>
      </c>
      <c r="C208" s="17" t="s">
        <v>532</v>
      </c>
      <c r="D208" s="17" t="s">
        <v>344</v>
      </c>
      <c r="E208" s="17"/>
      <c r="F208" s="17" t="s">
        <v>530</v>
      </c>
    </row>
    <row r="209" customFormat="false" ht="15" hidden="false" customHeight="false" outlineLevel="0" collapsed="false">
      <c r="A209" s="17" t="s">
        <v>533</v>
      </c>
      <c r="B209" s="48" t="n">
        <v>30.4</v>
      </c>
      <c r="C209" s="17" t="s">
        <v>410</v>
      </c>
      <c r="D209" s="17" t="s">
        <v>90</v>
      </c>
      <c r="E209" s="17"/>
      <c r="F209" s="17" t="s">
        <v>534</v>
      </c>
    </row>
    <row r="210" customFormat="false" ht="15" hidden="false" customHeight="false" outlineLevel="0" collapsed="false">
      <c r="A210" s="17" t="s">
        <v>535</v>
      </c>
      <c r="B210" s="26" t="n">
        <v>40</v>
      </c>
      <c r="C210" s="26" t="n">
        <v>25</v>
      </c>
      <c r="D210" s="26" t="n">
        <v>0</v>
      </c>
      <c r="E210" s="17" t="s">
        <v>536</v>
      </c>
      <c r="F210" s="17" t="s">
        <v>344</v>
      </c>
      <c r="G210" s="17" t="s">
        <v>537</v>
      </c>
      <c r="H210" s="46" t="n">
        <f aca="false">INDEX($B210:$D210,Scenarios!$B$4)</f>
        <v>25</v>
      </c>
    </row>
    <row r="211" customFormat="false" ht="15" hidden="false" customHeight="false" outlineLevel="0" collapsed="false">
      <c r="A211" s="17" t="s">
        <v>538</v>
      </c>
      <c r="B211" s="26" t="n">
        <v>20</v>
      </c>
      <c r="C211" s="26" t="n">
        <v>12</v>
      </c>
      <c r="D211" s="26" t="n">
        <v>8</v>
      </c>
      <c r="E211" s="17" t="s">
        <v>536</v>
      </c>
      <c r="F211" s="17" t="s">
        <v>344</v>
      </c>
      <c r="G211" s="17" t="s">
        <v>539</v>
      </c>
      <c r="H211" s="46" t="n">
        <f aca="false">INDEX($B211:$D211,Scenarios!$B$4)</f>
        <v>12</v>
      </c>
    </row>
    <row r="212" customFormat="false" ht="15" hidden="false" customHeight="false" outlineLevel="0" collapsed="false">
      <c r="A212" s="17" t="s">
        <v>540</v>
      </c>
      <c r="B212" s="26" t="n">
        <v>70</v>
      </c>
      <c r="C212" s="26" t="n">
        <v>40</v>
      </c>
      <c r="D212" s="26" t="n">
        <v>20</v>
      </c>
      <c r="E212" s="17" t="s">
        <v>536</v>
      </c>
      <c r="F212" s="17" t="s">
        <v>344</v>
      </c>
      <c r="G212" s="17" t="s">
        <v>539</v>
      </c>
      <c r="H212" s="46" t="n">
        <f aca="false">INDEX($B212:$D212,Scenarios!$B$4)</f>
        <v>40</v>
      </c>
    </row>
    <row r="213" customFormat="false" ht="15" hidden="false" customHeight="false" outlineLevel="0" collapsed="false">
      <c r="A213" s="17" t="s">
        <v>541</v>
      </c>
      <c r="B213" s="26" t="n">
        <v>240</v>
      </c>
      <c r="C213" s="26" t="n">
        <v>128</v>
      </c>
      <c r="D213" s="26" t="n">
        <v>60</v>
      </c>
      <c r="E213" s="17" t="s">
        <v>536</v>
      </c>
      <c r="F213" s="17" t="s">
        <v>344</v>
      </c>
      <c r="G213" s="17" t="s">
        <v>539</v>
      </c>
      <c r="H213" s="46" t="n">
        <f aca="false">INDEX($B213:$D213,Scenarios!$B$4)</f>
        <v>128</v>
      </c>
    </row>
    <row r="214" customFormat="false" ht="15" hidden="false" customHeight="false" outlineLevel="0" collapsed="false">
      <c r="A214" s="17" t="s">
        <v>542</v>
      </c>
      <c r="B214" s="26" t="n">
        <v>90</v>
      </c>
      <c r="C214" s="26" t="n">
        <v>47</v>
      </c>
      <c r="D214" s="26" t="n">
        <v>25</v>
      </c>
      <c r="E214" s="17" t="s">
        <v>536</v>
      </c>
      <c r="F214" s="17" t="s">
        <v>344</v>
      </c>
      <c r="G214" s="17" t="s">
        <v>539</v>
      </c>
      <c r="H214" s="46" t="n">
        <f aca="false">INDEX($B214:$D214,Scenarios!$B$4)</f>
        <v>47</v>
      </c>
    </row>
    <row r="215" customFormat="false" ht="15" hidden="false" customHeight="false" outlineLevel="0" collapsed="false">
      <c r="A215" s="17" t="s">
        <v>543</v>
      </c>
      <c r="B215" s="26" t="n">
        <v>20</v>
      </c>
      <c r="C215" s="26" t="n">
        <v>10</v>
      </c>
      <c r="D215" s="26" t="n">
        <v>5</v>
      </c>
      <c r="E215" s="17" t="s">
        <v>536</v>
      </c>
      <c r="F215" s="17" t="s">
        <v>344</v>
      </c>
      <c r="G215" s="17" t="s">
        <v>539</v>
      </c>
      <c r="H215" s="46" t="n">
        <f aca="false">INDEX($B215:$D215,Scenarios!$B$4)</f>
        <v>10</v>
      </c>
    </row>
    <row r="216" customFormat="false" ht="15" hidden="false" customHeight="false" outlineLevel="0" collapsed="false">
      <c r="A216" s="17" t="s">
        <v>544</v>
      </c>
      <c r="B216" s="44" t="n">
        <v>24</v>
      </c>
      <c r="C216" s="44" t="n">
        <v>36</v>
      </c>
      <c r="D216" s="44" t="n">
        <v>48</v>
      </c>
      <c r="E216" s="17" t="s">
        <v>532</v>
      </c>
      <c r="F216" s="17" t="s">
        <v>344</v>
      </c>
      <c r="G216" s="17" t="s">
        <v>545</v>
      </c>
      <c r="H216" s="49" t="n">
        <f aca="false">INDEX($B216:$D216,Scenarios!$B$4)</f>
        <v>36</v>
      </c>
    </row>
    <row r="217" customFormat="false" ht="15" hidden="false" customHeight="false" outlineLevel="0" collapsed="false">
      <c r="A217" s="17" t="s">
        <v>546</v>
      </c>
      <c r="B217" s="42" t="n">
        <v>1.45</v>
      </c>
      <c r="C217" s="42" t="n">
        <v>1</v>
      </c>
      <c r="D217" s="42" t="n">
        <v>0.72</v>
      </c>
      <c r="E217" s="17" t="s">
        <v>103</v>
      </c>
      <c r="F217" s="17" t="s">
        <v>90</v>
      </c>
      <c r="G217" s="17" t="s">
        <v>547</v>
      </c>
      <c r="H217" s="45" t="n">
        <f aca="false">INDEX($B217:$D217,Scenarios!$B$4)</f>
        <v>1</v>
      </c>
    </row>
    <row r="218" customFormat="false" ht="15" hidden="false" customHeight="false" outlineLevel="0" collapsed="false">
      <c r="A218" s="17" t="s">
        <v>548</v>
      </c>
      <c r="B218" s="26" t="n">
        <v>21189</v>
      </c>
      <c r="C218" s="17" t="s">
        <v>549</v>
      </c>
      <c r="D218" s="17" t="s">
        <v>90</v>
      </c>
      <c r="E218" s="17"/>
      <c r="F218" s="17" t="s">
        <v>550</v>
      </c>
    </row>
    <row r="219" customFormat="false" ht="15" hidden="false" customHeight="false" outlineLevel="0" collapsed="false">
      <c r="A219" s="17" t="s">
        <v>551</v>
      </c>
      <c r="B219" s="26" t="n">
        <v>11970</v>
      </c>
      <c r="C219" s="17" t="s">
        <v>549</v>
      </c>
      <c r="D219" s="17" t="s">
        <v>90</v>
      </c>
      <c r="E219" s="17"/>
      <c r="F219" s="17" t="s">
        <v>552</v>
      </c>
    </row>
    <row r="220" customFormat="false" ht="15" hidden="false" customHeight="false" outlineLevel="0" collapsed="false">
      <c r="A220" s="17" t="s">
        <v>553</v>
      </c>
      <c r="B220" s="26" t="n">
        <v>7528.5</v>
      </c>
      <c r="C220" s="17" t="s">
        <v>549</v>
      </c>
      <c r="D220" s="17" t="s">
        <v>90</v>
      </c>
      <c r="E220" s="17"/>
      <c r="F220" s="17" t="s">
        <v>554</v>
      </c>
    </row>
    <row r="221" customFormat="false" ht="15" hidden="false" customHeight="false" outlineLevel="0" collapsed="false">
      <c r="A221" s="17" t="s">
        <v>555</v>
      </c>
      <c r="B221" s="21" t="n">
        <v>50</v>
      </c>
      <c r="C221" s="17" t="s">
        <v>556</v>
      </c>
      <c r="D221" s="17" t="s">
        <v>90</v>
      </c>
      <c r="E221" s="17"/>
      <c r="F221" s="17" t="s">
        <v>557</v>
      </c>
    </row>
    <row r="222" customFormat="false" ht="15" hidden="false" customHeight="false" outlineLevel="0" collapsed="false">
      <c r="A222" s="17" t="s">
        <v>558</v>
      </c>
      <c r="B222" s="21" t="n">
        <v>3</v>
      </c>
      <c r="C222" s="17" t="s">
        <v>559</v>
      </c>
      <c r="D222" s="17" t="s">
        <v>344</v>
      </c>
      <c r="E222" s="17"/>
      <c r="F222" s="17" t="s">
        <v>560</v>
      </c>
    </row>
    <row r="223" customFormat="false" ht="15" hidden="false" customHeight="false" outlineLevel="0" collapsed="false">
      <c r="A223" s="17" t="s">
        <v>561</v>
      </c>
      <c r="B223" s="21" t="n">
        <v>19</v>
      </c>
      <c r="C223" s="17" t="s">
        <v>562</v>
      </c>
      <c r="D223" s="17" t="s">
        <v>344</v>
      </c>
      <c r="E223" s="17"/>
      <c r="F223" s="17" t="s">
        <v>563</v>
      </c>
    </row>
    <row r="224" customFormat="false" ht="15" hidden="false" customHeight="false" outlineLevel="0" collapsed="false">
      <c r="A224" s="17" t="s">
        <v>564</v>
      </c>
      <c r="B224" s="21" t="n">
        <v>30</v>
      </c>
      <c r="C224" s="17" t="s">
        <v>562</v>
      </c>
      <c r="D224" s="17" t="s">
        <v>344</v>
      </c>
      <c r="E224" s="17"/>
      <c r="F224" s="17" t="s">
        <v>565</v>
      </c>
    </row>
    <row r="225" customFormat="false" ht="24.05" hidden="false" customHeight="false" outlineLevel="0" collapsed="false">
      <c r="A225" s="39" t="s">
        <v>566</v>
      </c>
      <c r="B225" s="39" t="s">
        <v>567</v>
      </c>
      <c r="C225" s="39" t="s">
        <v>280</v>
      </c>
    </row>
    <row r="226" customFormat="false" ht="15" hidden="false" customHeight="false" outlineLevel="0" collapsed="false">
      <c r="A226" s="17" t="s">
        <v>568</v>
      </c>
      <c r="B226" s="21" t="n">
        <v>0</v>
      </c>
      <c r="C226" s="17" t="s">
        <v>569</v>
      </c>
    </row>
    <row r="227" customFormat="false" ht="15" hidden="false" customHeight="false" outlineLevel="0" collapsed="false">
      <c r="A227" s="17" t="s">
        <v>570</v>
      </c>
      <c r="B227" s="21" t="n">
        <v>0</v>
      </c>
    </row>
    <row r="228" customFormat="false" ht="15" hidden="false" customHeight="false" outlineLevel="0" collapsed="false">
      <c r="A228" s="17" t="s">
        <v>571</v>
      </c>
      <c r="B228" s="21" t="n">
        <v>0</v>
      </c>
    </row>
    <row r="229" customFormat="false" ht="15" hidden="false" customHeight="false" outlineLevel="0" collapsed="false">
      <c r="A229" s="17" t="s">
        <v>572</v>
      </c>
      <c r="B229" s="21" t="n">
        <v>0</v>
      </c>
    </row>
    <row r="230" customFormat="false" ht="15" hidden="false" customHeight="false" outlineLevel="0" collapsed="false">
      <c r="A230" s="17" t="s">
        <v>573</v>
      </c>
      <c r="B230" s="21" t="n">
        <v>0</v>
      </c>
    </row>
    <row r="231" customFormat="false" ht="15" hidden="false" customHeight="false" outlineLevel="0" collapsed="false">
      <c r="A231" s="17" t="s">
        <v>574</v>
      </c>
      <c r="B231" s="21" t="n">
        <v>0</v>
      </c>
    </row>
    <row r="232" customFormat="false" ht="15" hidden="false" customHeight="false" outlineLevel="0" collapsed="false">
      <c r="A232" s="17" t="s">
        <v>575</v>
      </c>
      <c r="B232" s="21" t="n">
        <v>0</v>
      </c>
    </row>
    <row r="233" customFormat="false" ht="15" hidden="false" customHeight="false" outlineLevel="0" collapsed="false">
      <c r="A233" s="17" t="s">
        <v>576</v>
      </c>
      <c r="B233" s="21" t="n">
        <v>0</v>
      </c>
    </row>
    <row r="234" customFormat="false" ht="15" hidden="false" customHeight="false" outlineLevel="0" collapsed="false">
      <c r="A234" s="17" t="s">
        <v>577</v>
      </c>
      <c r="B234" s="21" t="n">
        <v>0</v>
      </c>
    </row>
    <row r="235" customFormat="false" ht="15" hidden="false" customHeight="false" outlineLevel="0" collapsed="false">
      <c r="A235" s="17" t="s">
        <v>578</v>
      </c>
      <c r="B235" s="21" t="n">
        <v>0</v>
      </c>
    </row>
    <row r="236" customFormat="false" ht="15" hidden="false" customHeight="false" outlineLevel="0" collapsed="false">
      <c r="A236" s="17" t="s">
        <v>579</v>
      </c>
      <c r="B236" s="21" t="n">
        <v>0</v>
      </c>
    </row>
    <row r="237" customFormat="false" ht="15" hidden="false" customHeight="false" outlineLevel="0" collapsed="false">
      <c r="A237" s="17" t="s">
        <v>580</v>
      </c>
      <c r="B237" s="21" t="n">
        <v>0</v>
      </c>
    </row>
    <row r="238" customFormat="false" ht="15" hidden="false" customHeight="false" outlineLevel="0" collapsed="false">
      <c r="A238" s="17" t="s">
        <v>581</v>
      </c>
      <c r="B238" s="21" t="n">
        <v>0</v>
      </c>
    </row>
    <row r="239" customFormat="false" ht="15" hidden="false" customHeight="false" outlineLevel="0" collapsed="false">
      <c r="A239" s="17" t="s">
        <v>582</v>
      </c>
      <c r="B239" s="21" t="n">
        <v>0</v>
      </c>
    </row>
    <row r="240" customFormat="false" ht="15" hidden="false" customHeight="false" outlineLevel="0" collapsed="false">
      <c r="A240" s="17" t="s">
        <v>583</v>
      </c>
      <c r="B240" s="21" t="n">
        <v>0</v>
      </c>
    </row>
    <row r="241" customFormat="false" ht="15" hidden="false" customHeight="false" outlineLevel="0" collapsed="false">
      <c r="A241" s="17" t="s">
        <v>584</v>
      </c>
      <c r="B241" s="21" t="n">
        <v>0</v>
      </c>
    </row>
    <row r="242" customFormat="false" ht="15" hidden="false" customHeight="false" outlineLevel="0" collapsed="false">
      <c r="A242" s="17" t="s">
        <v>585</v>
      </c>
      <c r="B242" s="21" t="n">
        <v>0</v>
      </c>
    </row>
    <row r="243" customFormat="false" ht="15" hidden="false" customHeight="false" outlineLevel="0" collapsed="false">
      <c r="A243" s="17" t="s">
        <v>586</v>
      </c>
      <c r="B243" s="21" t="n">
        <v>0</v>
      </c>
    </row>
    <row r="244" customFormat="false" ht="15" hidden="false" customHeight="false" outlineLevel="0" collapsed="false">
      <c r="A244" s="17" t="s">
        <v>587</v>
      </c>
      <c r="B244" s="21" t="n">
        <v>3</v>
      </c>
    </row>
    <row r="245" customFormat="false" ht="15" hidden="false" customHeight="false" outlineLevel="0" collapsed="false">
      <c r="A245" s="17" t="s">
        <v>588</v>
      </c>
      <c r="B245" s="21" t="n">
        <v>3</v>
      </c>
    </row>
    <row r="246" customFormat="false" ht="15" hidden="false" customHeight="false" outlineLevel="0" collapsed="false">
      <c r="A246" s="17" t="s">
        <v>589</v>
      </c>
      <c r="B246" s="21" t="n">
        <v>3</v>
      </c>
    </row>
    <row r="247" customFormat="false" ht="15" hidden="false" customHeight="false" outlineLevel="0" collapsed="false">
      <c r="A247" s="17" t="s">
        <v>590</v>
      </c>
      <c r="B247" s="21" t="n">
        <v>3</v>
      </c>
    </row>
    <row r="248" customFormat="false" ht="15" hidden="false" customHeight="false" outlineLevel="0" collapsed="false">
      <c r="A248" s="17" t="s">
        <v>591</v>
      </c>
      <c r="B248" s="21" t="n">
        <v>3</v>
      </c>
    </row>
    <row r="249" customFormat="false" ht="15" hidden="false" customHeight="false" outlineLevel="0" collapsed="false">
      <c r="A249" s="17" t="s">
        <v>592</v>
      </c>
      <c r="B249" s="21" t="n">
        <v>3</v>
      </c>
    </row>
    <row r="250" customFormat="false" ht="15" hidden="false" customHeight="false" outlineLevel="0" collapsed="false">
      <c r="A250" s="17" t="s">
        <v>593</v>
      </c>
      <c r="B250" s="21" t="n">
        <v>3</v>
      </c>
    </row>
    <row r="251" customFormat="false" ht="15" hidden="false" customHeight="false" outlineLevel="0" collapsed="false">
      <c r="A251" s="17" t="s">
        <v>594</v>
      </c>
      <c r="B251" s="21" t="n">
        <v>3</v>
      </c>
    </row>
    <row r="252" customFormat="false" ht="15" hidden="false" customHeight="false" outlineLevel="0" collapsed="false">
      <c r="A252" s="17" t="s">
        <v>595</v>
      </c>
      <c r="B252" s="21" t="n">
        <v>3</v>
      </c>
    </row>
    <row r="253" customFormat="false" ht="15" hidden="false" customHeight="false" outlineLevel="0" collapsed="false">
      <c r="A253" s="17" t="s">
        <v>596</v>
      </c>
      <c r="B253" s="21" t="n">
        <v>3</v>
      </c>
    </row>
    <row r="254" customFormat="false" ht="15" hidden="false" customHeight="false" outlineLevel="0" collapsed="false">
      <c r="A254" s="17" t="s">
        <v>597</v>
      </c>
      <c r="B254" s="21" t="n">
        <v>3</v>
      </c>
    </row>
    <row r="255" customFormat="false" ht="15" hidden="false" customHeight="false" outlineLevel="0" collapsed="false">
      <c r="A255" s="17" t="s">
        <v>598</v>
      </c>
      <c r="B255" s="21" t="n">
        <v>13</v>
      </c>
    </row>
    <row r="256" customFormat="false" ht="15" hidden="false" customHeight="false" outlineLevel="0" collapsed="false">
      <c r="A256" s="17" t="s">
        <v>599</v>
      </c>
      <c r="B256" s="21" t="n">
        <v>13</v>
      </c>
    </row>
    <row r="257" customFormat="false" ht="15" hidden="false" customHeight="false" outlineLevel="0" collapsed="false">
      <c r="A257" s="17" t="s">
        <v>600</v>
      </c>
      <c r="B257" s="21" t="n">
        <v>19</v>
      </c>
    </row>
    <row r="258" customFormat="false" ht="15" hidden="false" customHeight="false" outlineLevel="0" collapsed="false">
      <c r="A258" s="17" t="s">
        <v>601</v>
      </c>
      <c r="B258" s="21" t="n">
        <v>25</v>
      </c>
    </row>
    <row r="259" customFormat="false" ht="15" hidden="false" customHeight="false" outlineLevel="0" collapsed="false">
      <c r="A259" s="17" t="s">
        <v>602</v>
      </c>
      <c r="B259" s="21" t="n">
        <v>33</v>
      </c>
    </row>
    <row r="260" customFormat="false" ht="15" hidden="false" customHeight="false" outlineLevel="0" collapsed="false">
      <c r="A260" s="17" t="s">
        <v>603</v>
      </c>
      <c r="B260" s="21" t="n">
        <v>42</v>
      </c>
    </row>
    <row r="261" customFormat="false" ht="15" hidden="false" customHeight="false" outlineLevel="0" collapsed="false">
      <c r="A261" s="17" t="s">
        <v>604</v>
      </c>
      <c r="B261" s="21" t="n">
        <v>50</v>
      </c>
    </row>
    <row r="263" customFormat="false" ht="15" hidden="false" customHeight="false" outlineLevel="0" collapsed="false">
      <c r="A263" s="23" t="s">
        <v>605</v>
      </c>
      <c r="B263" s="24"/>
      <c r="C263" s="24"/>
      <c r="D263" s="24"/>
      <c r="E263" s="24"/>
      <c r="F263" s="24"/>
      <c r="G263" s="24"/>
      <c r="H263" s="24"/>
      <c r="I263" s="24"/>
      <c r="J263" s="24"/>
      <c r="K263" s="24"/>
    </row>
    <row r="264" customFormat="false" ht="24.05" hidden="false" customHeight="false" outlineLevel="0" collapsed="false">
      <c r="A264" s="39" t="s">
        <v>50</v>
      </c>
      <c r="B264" s="39" t="s">
        <v>494</v>
      </c>
      <c r="C264" s="39" t="s">
        <v>258</v>
      </c>
      <c r="D264" s="39" t="s">
        <v>495</v>
      </c>
      <c r="E264" s="39" t="s">
        <v>51</v>
      </c>
      <c r="F264" s="39" t="s">
        <v>52</v>
      </c>
      <c r="G264" s="39" t="s">
        <v>329</v>
      </c>
      <c r="H264" s="39" t="s">
        <v>330</v>
      </c>
    </row>
    <row r="265" customFormat="false" ht="15" hidden="false" customHeight="false" outlineLevel="0" collapsed="false">
      <c r="A265" s="17" t="s">
        <v>606</v>
      </c>
      <c r="B265" s="29" t="n">
        <v>40</v>
      </c>
      <c r="C265" s="29" t="n">
        <v>150</v>
      </c>
      <c r="D265" s="29" t="n">
        <v>600</v>
      </c>
      <c r="E265" s="17" t="s">
        <v>607</v>
      </c>
      <c r="F265" s="17" t="s">
        <v>344</v>
      </c>
      <c r="G265" s="17" t="s">
        <v>608</v>
      </c>
      <c r="H265" s="50" t="n">
        <f aca="false">INDEX($B265:$D265,Scenarios!$B$4)</f>
        <v>150</v>
      </c>
    </row>
    <row r="266" customFormat="false" ht="15" hidden="false" customHeight="false" outlineLevel="0" collapsed="false">
      <c r="A266" s="17" t="s">
        <v>609</v>
      </c>
      <c r="B266" s="41" t="n">
        <v>3</v>
      </c>
      <c r="C266" s="41" t="n">
        <v>5</v>
      </c>
      <c r="D266" s="41" t="n">
        <v>8</v>
      </c>
      <c r="E266" s="17" t="s">
        <v>610</v>
      </c>
      <c r="F266" s="17" t="s">
        <v>344</v>
      </c>
      <c r="G266" s="17" t="s">
        <v>608</v>
      </c>
      <c r="H266" s="43" t="n">
        <f aca="false">INDEX($B266:$D266,Scenarios!$B$4)</f>
        <v>5</v>
      </c>
    </row>
    <row r="267" customFormat="false" ht="15" hidden="false" customHeight="false" outlineLevel="0" collapsed="false">
      <c r="A267" s="17" t="s">
        <v>611</v>
      </c>
      <c r="B267" s="28" t="n">
        <v>0.4</v>
      </c>
      <c r="C267" s="28" t="n">
        <v>0.6</v>
      </c>
      <c r="D267" s="28" t="n">
        <v>0.75</v>
      </c>
      <c r="E267" s="17" t="s">
        <v>612</v>
      </c>
      <c r="F267" s="17" t="s">
        <v>344</v>
      </c>
      <c r="G267" s="17" t="s">
        <v>613</v>
      </c>
      <c r="H267" s="47" t="n">
        <f aca="false">INDEX($B267:$D267,Scenarios!$B$4)</f>
        <v>0.6</v>
      </c>
    </row>
    <row r="268" customFormat="false" ht="15" hidden="false" customHeight="false" outlineLevel="0" collapsed="false">
      <c r="A268" s="17" t="s">
        <v>614</v>
      </c>
      <c r="B268" s="28" t="n">
        <v>0.4</v>
      </c>
      <c r="C268" s="28" t="n">
        <v>0.6</v>
      </c>
      <c r="D268" s="28" t="n">
        <v>0.8</v>
      </c>
      <c r="E268" s="17" t="s">
        <v>612</v>
      </c>
      <c r="F268" s="17" t="s">
        <v>344</v>
      </c>
      <c r="G268" s="17" t="s">
        <v>608</v>
      </c>
      <c r="H268" s="47" t="n">
        <f aca="false">INDEX($B268:$D268,Scenarios!$B$4)</f>
        <v>0.6</v>
      </c>
    </row>
    <row r="269" customFormat="false" ht="15" hidden="false" customHeight="false" outlineLevel="0" collapsed="false">
      <c r="A269" s="17" t="s">
        <v>615</v>
      </c>
      <c r="B269" s="30" t="n">
        <v>2.4</v>
      </c>
      <c r="C269" s="30" t="n">
        <v>3.3</v>
      </c>
      <c r="D269" s="30" t="n">
        <v>4</v>
      </c>
      <c r="E269" s="17" t="s">
        <v>497</v>
      </c>
      <c r="F269" s="17" t="s">
        <v>90</v>
      </c>
      <c r="G269" s="17" t="s">
        <v>616</v>
      </c>
      <c r="H269" s="40" t="n">
        <f aca="false">INDEX($B269:$D269,Scenarios!$B$4)</f>
        <v>3.3</v>
      </c>
    </row>
    <row r="270" customFormat="false" ht="15" hidden="false" customHeight="false" outlineLevel="0" collapsed="false">
      <c r="A270" s="17" t="s">
        <v>617</v>
      </c>
      <c r="B270" s="26" t="n">
        <v>75</v>
      </c>
      <c r="C270" s="26" t="n">
        <v>35</v>
      </c>
      <c r="D270" s="26" t="n">
        <v>0</v>
      </c>
      <c r="E270" s="17" t="s">
        <v>112</v>
      </c>
      <c r="F270" s="17" t="s">
        <v>344</v>
      </c>
      <c r="G270" s="17" t="s">
        <v>618</v>
      </c>
      <c r="H270" s="46" t="n">
        <f aca="false">INDEX($B270:$D270,Scenarios!$B$4)</f>
        <v>35</v>
      </c>
    </row>
    <row r="271" customFormat="false" ht="15" hidden="false" customHeight="false" outlineLevel="0" collapsed="false">
      <c r="A271" s="17" t="s">
        <v>619</v>
      </c>
      <c r="B271" s="26" t="n">
        <v>10</v>
      </c>
      <c r="C271" s="26" t="n">
        <v>5</v>
      </c>
      <c r="D271" s="26" t="n">
        <v>0</v>
      </c>
      <c r="E271" s="17" t="s">
        <v>112</v>
      </c>
      <c r="F271" s="17" t="s">
        <v>90</v>
      </c>
      <c r="G271" s="17" t="s">
        <v>620</v>
      </c>
      <c r="H271" s="46" t="n">
        <f aca="false">INDEX($B271:$D271,Scenarios!$B$4)</f>
        <v>5</v>
      </c>
    </row>
    <row r="272" customFormat="false" ht="15" hidden="false" customHeight="false" outlineLevel="0" collapsed="false">
      <c r="A272" s="17" t="s">
        <v>621</v>
      </c>
      <c r="B272" s="26" t="n">
        <v>100</v>
      </c>
      <c r="C272" s="26" t="n">
        <v>20</v>
      </c>
      <c r="D272" s="26" t="n">
        <v>20</v>
      </c>
      <c r="E272" s="17" t="s">
        <v>112</v>
      </c>
      <c r="F272" s="17" t="s">
        <v>344</v>
      </c>
      <c r="G272" s="17" t="s">
        <v>622</v>
      </c>
      <c r="H272" s="46" t="n">
        <f aca="false">INDEX($B272:$D272,Scenarios!$B$4)</f>
        <v>20</v>
      </c>
    </row>
    <row r="273" customFormat="false" ht="15" hidden="false" customHeight="false" outlineLevel="0" collapsed="false">
      <c r="A273" s="17" t="s">
        <v>623</v>
      </c>
      <c r="B273" s="26" t="n">
        <v>15</v>
      </c>
      <c r="C273" s="26" t="n">
        <v>5</v>
      </c>
      <c r="D273" s="26" t="n">
        <v>0</v>
      </c>
      <c r="E273" s="17" t="s">
        <v>112</v>
      </c>
      <c r="F273" s="17" t="s">
        <v>344</v>
      </c>
      <c r="G273" s="17" t="s">
        <v>624</v>
      </c>
      <c r="H273" s="46" t="n">
        <f aca="false">INDEX($B273:$D273,Scenarios!$B$4)</f>
        <v>5</v>
      </c>
    </row>
    <row r="274" customFormat="false" ht="15" hidden="false" customHeight="false" outlineLevel="0" collapsed="false">
      <c r="A274" s="17" t="s">
        <v>625</v>
      </c>
      <c r="B274" s="26" t="n">
        <v>250</v>
      </c>
      <c r="C274" s="26" t="n">
        <v>100</v>
      </c>
      <c r="D274" s="26" t="n">
        <v>100</v>
      </c>
      <c r="E274" s="17" t="s">
        <v>112</v>
      </c>
      <c r="F274" s="17" t="s">
        <v>344</v>
      </c>
      <c r="G274" s="17" t="s">
        <v>626</v>
      </c>
      <c r="H274" s="46" t="n">
        <f aca="false">INDEX($B274:$D274,Scenarios!$B$4)</f>
        <v>100</v>
      </c>
    </row>
    <row r="275" customFormat="false" ht="15" hidden="false" customHeight="false" outlineLevel="0" collapsed="false">
      <c r="A275" s="17" t="s">
        <v>627</v>
      </c>
      <c r="B275" s="26" t="n">
        <v>200</v>
      </c>
      <c r="C275" s="26" t="n">
        <v>135</v>
      </c>
      <c r="D275" s="26" t="n">
        <v>0</v>
      </c>
      <c r="E275" s="17" t="s">
        <v>112</v>
      </c>
      <c r="F275" s="17" t="s">
        <v>344</v>
      </c>
      <c r="G275" s="17" t="s">
        <v>628</v>
      </c>
      <c r="H275" s="46" t="n">
        <f aca="false">INDEX($B275:$D275,Scenarios!$B$4)</f>
        <v>135</v>
      </c>
    </row>
    <row r="276" customFormat="false" ht="15" hidden="false" customHeight="false" outlineLevel="0" collapsed="false">
      <c r="A276" s="17" t="s">
        <v>629</v>
      </c>
      <c r="B276" s="21" t="n">
        <v>8</v>
      </c>
      <c r="C276" s="17" t="s">
        <v>562</v>
      </c>
      <c r="D276" s="17" t="s">
        <v>344</v>
      </c>
      <c r="E276" s="17" t="s">
        <v>630</v>
      </c>
      <c r="F276" s="17" t="s">
        <v>631</v>
      </c>
    </row>
    <row r="277" customFormat="false" ht="15" hidden="false" customHeight="false" outlineLevel="0" collapsed="false">
      <c r="A277" s="17" t="s">
        <v>632</v>
      </c>
      <c r="B277" s="42" t="n">
        <v>1</v>
      </c>
      <c r="C277" s="17" t="s">
        <v>103</v>
      </c>
      <c r="D277" s="17" t="s">
        <v>344</v>
      </c>
      <c r="E277" s="17" t="s">
        <v>633</v>
      </c>
      <c r="F277" s="17" t="s">
        <v>634</v>
      </c>
    </row>
    <row r="278" customFormat="false" ht="15" hidden="false" customHeight="false" outlineLevel="0" collapsed="false">
      <c r="A278" s="17" t="s">
        <v>635</v>
      </c>
      <c r="B278" s="28" t="n">
        <v>0.4</v>
      </c>
      <c r="C278" s="17" t="s">
        <v>636</v>
      </c>
      <c r="D278" s="17" t="s">
        <v>344</v>
      </c>
      <c r="E278" s="17" t="s">
        <v>91</v>
      </c>
      <c r="F278" s="17" t="s">
        <v>637</v>
      </c>
    </row>
    <row r="279" customFormat="false" ht="15" hidden="false" customHeight="false" outlineLevel="0" collapsed="false">
      <c r="A279" s="17" t="s">
        <v>638</v>
      </c>
      <c r="B279" s="28" t="n">
        <v>0.5</v>
      </c>
      <c r="C279" s="17" t="s">
        <v>636</v>
      </c>
      <c r="D279" s="17" t="s">
        <v>344</v>
      </c>
      <c r="E279" s="17" t="s">
        <v>639</v>
      </c>
      <c r="F279" s="17" t="s">
        <v>640</v>
      </c>
    </row>
    <row r="280" customFormat="false" ht="15" hidden="false" customHeight="false" outlineLevel="0" collapsed="false">
      <c r="A280" s="17" t="s">
        <v>641</v>
      </c>
      <c r="B280" s="41" t="n">
        <v>2</v>
      </c>
      <c r="C280" s="17" t="s">
        <v>642</v>
      </c>
      <c r="D280" s="17" t="s">
        <v>344</v>
      </c>
      <c r="E280" s="17" t="s">
        <v>643</v>
      </c>
      <c r="F280" s="17" t="s">
        <v>640</v>
      </c>
    </row>
    <row r="281" customFormat="false" ht="15" hidden="false" customHeight="false" outlineLevel="0" collapsed="false">
      <c r="A281" s="17" t="s">
        <v>644</v>
      </c>
      <c r="B281" s="30" t="n">
        <v>0.27</v>
      </c>
      <c r="C281" s="17" t="s">
        <v>645</v>
      </c>
      <c r="D281" s="17" t="s">
        <v>90</v>
      </c>
      <c r="E281" s="17" t="s">
        <v>646</v>
      </c>
      <c r="F281" s="17" t="s">
        <v>647</v>
      </c>
    </row>
    <row r="282" customFormat="false" ht="15" hidden="false" customHeight="false" outlineLevel="0" collapsed="false">
      <c r="A282" s="17" t="s">
        <v>648</v>
      </c>
      <c r="B282" s="26" t="n">
        <v>10</v>
      </c>
      <c r="C282" s="17" t="s">
        <v>490</v>
      </c>
      <c r="D282" s="17" t="s">
        <v>344</v>
      </c>
      <c r="E282" s="17" t="s">
        <v>649</v>
      </c>
      <c r="F282" s="17" t="s">
        <v>650</v>
      </c>
    </row>
    <row r="283" customFormat="false" ht="15" hidden="false" customHeight="false" outlineLevel="0" collapsed="false">
      <c r="A283" s="17" t="s">
        <v>651</v>
      </c>
      <c r="B283" s="28" t="n">
        <v>0.2</v>
      </c>
      <c r="C283" s="17" t="s">
        <v>652</v>
      </c>
      <c r="D283" s="17" t="s">
        <v>344</v>
      </c>
      <c r="E283" s="17" t="s">
        <v>653</v>
      </c>
      <c r="F283" s="17" t="s">
        <v>654</v>
      </c>
    </row>
    <row r="284" customFormat="false" ht="15" hidden="false" customHeight="false" outlineLevel="0" collapsed="false">
      <c r="A284" s="17" t="s">
        <v>655</v>
      </c>
      <c r="B284" s="28" t="n">
        <v>0.25</v>
      </c>
      <c r="C284" s="17" t="s">
        <v>612</v>
      </c>
      <c r="D284" s="17" t="s">
        <v>344</v>
      </c>
      <c r="E284" s="17" t="s">
        <v>656</v>
      </c>
      <c r="F284" s="17" t="s">
        <v>657</v>
      </c>
    </row>
    <row r="285" customFormat="false" ht="15" hidden="false" customHeight="false" outlineLevel="0" collapsed="false">
      <c r="A285" s="17" t="s">
        <v>658</v>
      </c>
      <c r="B285" s="28" t="n">
        <v>1</v>
      </c>
      <c r="C285" s="17" t="s">
        <v>612</v>
      </c>
      <c r="D285" s="17" t="s">
        <v>344</v>
      </c>
      <c r="E285" s="17" t="s">
        <v>166</v>
      </c>
      <c r="F285" s="17" t="s">
        <v>659</v>
      </c>
    </row>
    <row r="286" customFormat="false" ht="15" hidden="false" customHeight="false" outlineLevel="0" collapsed="false">
      <c r="A286" s="17" t="s">
        <v>660</v>
      </c>
      <c r="B286" s="44" t="n">
        <v>1</v>
      </c>
      <c r="C286" s="17" t="s">
        <v>661</v>
      </c>
      <c r="D286" s="17" t="s">
        <v>344</v>
      </c>
      <c r="E286" s="17" t="s">
        <v>662</v>
      </c>
      <c r="F286" s="17" t="s">
        <v>663</v>
      </c>
    </row>
    <row r="287" customFormat="false" ht="15" hidden="false" customHeight="false" outlineLevel="0" collapsed="false">
      <c r="A287" s="17" t="s">
        <v>664</v>
      </c>
      <c r="B287" s="28" t="n">
        <v>0.5</v>
      </c>
      <c r="C287" s="17" t="s">
        <v>612</v>
      </c>
      <c r="D287" s="17" t="s">
        <v>344</v>
      </c>
      <c r="E287" s="17" t="s">
        <v>665</v>
      </c>
      <c r="F287" s="17" t="s">
        <v>666</v>
      </c>
    </row>
    <row r="289" customFormat="false" ht="15" hidden="false" customHeight="false" outlineLevel="0" collapsed="false">
      <c r="A289" s="51" t="s">
        <v>667</v>
      </c>
    </row>
    <row r="290" customFormat="false" ht="15" hidden="false" customHeight="false" outlineLevel="0" collapsed="false">
      <c r="A290" s="32" t="s">
        <v>50</v>
      </c>
      <c r="B290" s="32" t="s">
        <v>3</v>
      </c>
      <c r="C290" s="32" t="s">
        <v>51</v>
      </c>
      <c r="D290" s="32" t="s">
        <v>52</v>
      </c>
      <c r="E290" s="32" t="s">
        <v>53</v>
      </c>
      <c r="F290" s="32" t="s">
        <v>54</v>
      </c>
    </row>
    <row r="291" customFormat="false" ht="15" hidden="false" customHeight="false" outlineLevel="0" collapsed="false">
      <c r="A291" s="52" t="s">
        <v>668</v>
      </c>
      <c r="B291" s="53" t="n">
        <v>0.1</v>
      </c>
      <c r="C291" s="52" t="s">
        <v>669</v>
      </c>
      <c r="D291" s="52" t="s">
        <v>670</v>
      </c>
      <c r="E291" s="52" t="s">
        <v>671</v>
      </c>
      <c r="F291" s="54" t="s">
        <v>672</v>
      </c>
    </row>
    <row r="292" customFormat="false" ht="15" hidden="false" customHeight="false" outlineLevel="0" collapsed="false">
      <c r="A292" s="52" t="s">
        <v>673</v>
      </c>
      <c r="B292" s="53" t="n">
        <v>0.1</v>
      </c>
      <c r="C292" s="52" t="s">
        <v>669</v>
      </c>
      <c r="D292" s="52" t="s">
        <v>670</v>
      </c>
      <c r="E292" s="52" t="s">
        <v>100</v>
      </c>
      <c r="F292" s="54" t="s">
        <v>674</v>
      </c>
    </row>
    <row r="293" customFormat="false" ht="15" hidden="false" customHeight="false" outlineLevel="0" collapsed="false">
      <c r="A293" s="52" t="s">
        <v>675</v>
      </c>
      <c r="B293" s="53" t="n">
        <v>1</v>
      </c>
      <c r="C293" s="52" t="s">
        <v>612</v>
      </c>
      <c r="D293" s="52" t="s">
        <v>62</v>
      </c>
      <c r="E293" s="52" t="s">
        <v>166</v>
      </c>
      <c r="F293" s="54" t="s">
        <v>676</v>
      </c>
    </row>
    <row r="294" customFormat="false" ht="15" hidden="false" customHeight="false" outlineLevel="0" collapsed="false">
      <c r="A294" s="52" t="s">
        <v>677</v>
      </c>
      <c r="B294" s="53" t="n">
        <v>0.2</v>
      </c>
      <c r="C294" s="52" t="s">
        <v>134</v>
      </c>
      <c r="D294" s="52" t="s">
        <v>678</v>
      </c>
      <c r="E294" s="52" t="s">
        <v>679</v>
      </c>
      <c r="F294" s="54" t="s">
        <v>680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1" min="1" style="1" width="62"/>
    <col collapsed="false" customWidth="true" hidden="false" outlineLevel="0" max="2" min="2" style="1" width="18"/>
    <col collapsed="false" customWidth="true" hidden="false" outlineLevel="0" max="3" min="3" style="1" width="60"/>
  </cols>
  <sheetData>
    <row r="1" customFormat="false" ht="17.35" hidden="false" customHeight="false" outlineLevel="0" collapsed="false">
      <c r="A1" s="2" t="s">
        <v>681</v>
      </c>
    </row>
    <row r="3" customFormat="false" ht="15" hidden="false" customHeight="false" outlineLevel="0" collapsed="false">
      <c r="A3" s="3" t="s">
        <v>682</v>
      </c>
      <c r="B3" s="55" t="s">
        <v>258</v>
      </c>
      <c r="C3" s="20" t="s">
        <v>683</v>
      </c>
    </row>
    <row r="4" customFormat="false" ht="15" hidden="false" customHeight="false" outlineLevel="0" collapsed="false">
      <c r="A4" s="6" t="s">
        <v>684</v>
      </c>
      <c r="B4" s="11" t="n">
        <f aca="false">MATCH(B3,Inputs!$C$83:$E$83,0)</f>
        <v>2</v>
      </c>
    </row>
    <row r="6" customFormat="false" ht="15" hidden="false" customHeight="false" outlineLevel="0" collapsed="false">
      <c r="A6" s="5" t="s">
        <v>685</v>
      </c>
      <c r="B6" s="5" t="s">
        <v>686</v>
      </c>
    </row>
    <row r="7" customFormat="false" ht="15" hidden="false" customHeight="false" outlineLevel="0" collapsed="false">
      <c r="A7" s="6" t="s">
        <v>261</v>
      </c>
      <c r="B7" s="56" t="n">
        <f aca="false">INDEX(Inputs!$C$84:$E$84,$B$4)</f>
        <v>1</v>
      </c>
    </row>
    <row r="8" customFormat="false" ht="15" hidden="false" customHeight="false" outlineLevel="0" collapsed="false">
      <c r="A8" s="6" t="s">
        <v>263</v>
      </c>
      <c r="B8" s="56" t="n">
        <f aca="false">INDEX(Inputs!$C$85:$E$85,$B$4)</f>
        <v>1</v>
      </c>
    </row>
    <row r="9" customFormat="false" ht="15" hidden="false" customHeight="false" outlineLevel="0" collapsed="false">
      <c r="A9" s="6" t="s">
        <v>265</v>
      </c>
      <c r="B9" s="56" t="n">
        <f aca="false">INDEX(Inputs!$C$86:$E$86,$B$4)</f>
        <v>1</v>
      </c>
    </row>
    <row r="10" customFormat="false" ht="15" hidden="false" customHeight="false" outlineLevel="0" collapsed="false">
      <c r="A10" s="6" t="s">
        <v>267</v>
      </c>
      <c r="B10" s="56" t="n">
        <f aca="false">INDEX(Inputs!$C$87:$E$87,$B$4)</f>
        <v>1</v>
      </c>
    </row>
    <row r="11" customFormat="false" ht="15" hidden="false" customHeight="false" outlineLevel="0" collapsed="false">
      <c r="A11" s="6" t="s">
        <v>269</v>
      </c>
      <c r="B11" s="56" t="n">
        <f aca="false">INDEX(Inputs!$C$88:$E$88,$B$4)</f>
        <v>1</v>
      </c>
    </row>
    <row r="12" customFormat="false" ht="15" hidden="false" customHeight="false" outlineLevel="0" collapsed="false">
      <c r="A12" s="6" t="s">
        <v>271</v>
      </c>
      <c r="B12" s="56" t="n">
        <f aca="false">INDEX(Inputs!$C$89:$E$89,$B$4)</f>
        <v>1</v>
      </c>
    </row>
    <row r="13" customFormat="false" ht="15" hidden="false" customHeight="false" outlineLevel="0" collapsed="false">
      <c r="A13" s="6" t="s">
        <v>273</v>
      </c>
      <c r="B13" s="56" t="n">
        <f aca="false">INDEX(Inputs!$C$90:$E$90,$B$4)</f>
        <v>1</v>
      </c>
    </row>
    <row r="15" customFormat="false" ht="15" hidden="false" customHeight="false" outlineLevel="0" collapsed="false">
      <c r="A15" s="5" t="s">
        <v>687</v>
      </c>
      <c r="B15" s="5" t="s">
        <v>3</v>
      </c>
      <c r="C15" s="5" t="s">
        <v>688</v>
      </c>
    </row>
    <row r="16" customFormat="false" ht="15" hidden="false" customHeight="false" outlineLevel="0" collapsed="false">
      <c r="A16" s="6" t="s">
        <v>689</v>
      </c>
      <c r="B16" s="7" t="str">
        <f aca="false">IF(COUNT(Forecast!$D$85:$AM$85)=0,"Not within 36 mo",MIN(Forecast!$D$85:$AM$85))</f>
        <v>Not within 36 mo</v>
      </c>
      <c r="C16" s="20" t="s">
        <v>690</v>
      </c>
    </row>
    <row r="17" customFormat="false" ht="15" hidden="false" customHeight="false" outlineLevel="0" collapsed="false">
      <c r="A17" s="6" t="s">
        <v>691</v>
      </c>
      <c r="B17" s="7" t="str">
        <f aca="false">IF(COUNT(Forecast!$D$84:$AM$84)=0,"Not within 36 mo",MIN(Forecast!$D$84:$AM$84))</f>
        <v>Not within 36 mo</v>
      </c>
      <c r="C17" s="20" t="s">
        <v>692</v>
      </c>
    </row>
    <row r="18" customFormat="false" ht="15" hidden="false" customHeight="false" outlineLevel="0" collapsed="false">
      <c r="A18" s="6" t="s">
        <v>693</v>
      </c>
      <c r="B18" s="7" t="str">
        <f aca="false">IF(COUNT(Forecast!$D$86:$AM$86)=0,"Not within 36 mo",MIN(Forecast!$D$86:$AM$86))</f>
        <v>Not within 36 mo</v>
      </c>
      <c r="C18" s="20"/>
    </row>
    <row r="19" customFormat="false" ht="15" hidden="false" customHeight="false" outlineLevel="0" collapsed="false">
      <c r="A19" s="6" t="s">
        <v>6</v>
      </c>
      <c r="B19" s="8" t="n">
        <f aca="false">Forecast!O60</f>
        <v>5358.08971234426</v>
      </c>
      <c r="C19" s="20"/>
    </row>
    <row r="20" customFormat="false" ht="15" hidden="false" customHeight="false" outlineLevel="0" collapsed="false">
      <c r="A20" s="6" t="s">
        <v>7</v>
      </c>
      <c r="B20" s="8" t="n">
        <f aca="false">Forecast!O77</f>
        <v>-5222.66066050349</v>
      </c>
      <c r="C20" s="20"/>
    </row>
    <row r="21" customFormat="false" ht="15" hidden="false" customHeight="false" outlineLevel="0" collapsed="false">
      <c r="A21" s="6" t="s">
        <v>8</v>
      </c>
      <c r="B21" s="8" t="n">
        <f aca="false">Forecast!AM60</f>
        <v>10226.9593609953</v>
      </c>
      <c r="C21" s="20"/>
    </row>
    <row r="22" customFormat="false" ht="15" hidden="false" customHeight="false" outlineLevel="0" collapsed="false">
      <c r="A22" s="6" t="s">
        <v>9</v>
      </c>
      <c r="B22" s="8" t="n">
        <f aca="false">Forecast!AM77</f>
        <v>-3115.97592293962</v>
      </c>
      <c r="C22" s="20"/>
    </row>
    <row r="23" customFormat="false" ht="15" hidden="false" customHeight="false" outlineLevel="0" collapsed="false">
      <c r="A23" s="6" t="s">
        <v>694</v>
      </c>
      <c r="B23" s="8" t="n">
        <f aca="false">Forecast!AO60</f>
        <v>57322.6101323432</v>
      </c>
      <c r="C23" s="20"/>
    </row>
    <row r="24" customFormat="false" ht="15" hidden="false" customHeight="false" outlineLevel="0" collapsed="false">
      <c r="A24" s="6" t="s">
        <v>695</v>
      </c>
      <c r="B24" s="8" t="n">
        <f aca="false">Forecast!AO77</f>
        <v>-197783.75824969</v>
      </c>
      <c r="C24" s="20"/>
    </row>
    <row r="25" customFormat="false" ht="15" hidden="false" customHeight="false" outlineLevel="0" collapsed="false">
      <c r="A25" s="6" t="s">
        <v>696</v>
      </c>
      <c r="B25" s="8" t="n">
        <f aca="false">Forecast!AQ60</f>
        <v>123024.448597548</v>
      </c>
      <c r="C25" s="20"/>
    </row>
    <row r="26" customFormat="false" ht="15" hidden="false" customHeight="false" outlineLevel="0" collapsed="false">
      <c r="A26" s="6" t="s">
        <v>697</v>
      </c>
      <c r="B26" s="8" t="n">
        <f aca="false">Forecast!AQ77</f>
        <v>-41990.6420508356</v>
      </c>
      <c r="C26" s="20"/>
    </row>
    <row r="27" customFormat="false" ht="15" hidden="false" customHeight="false" outlineLevel="0" collapsed="false">
      <c r="A27" s="6" t="s">
        <v>10</v>
      </c>
      <c r="B27" s="8" t="n">
        <f aca="false">Forecast!AM80</f>
        <v>-267461.653163089</v>
      </c>
      <c r="C27" s="20"/>
    </row>
    <row r="28" customFormat="false" ht="15" hidden="false" customHeight="false" outlineLevel="0" collapsed="false">
      <c r="A28" s="6" t="s">
        <v>698</v>
      </c>
      <c r="B28" s="8" t="n">
        <f aca="false">MIN(Forecast!C80:AM80)</f>
        <v>-267461.653163089</v>
      </c>
      <c r="C28" s="20"/>
    </row>
    <row r="29" customFormat="false" ht="15" hidden="false" customHeight="false" outlineLevel="0" collapsed="false">
      <c r="A29" s="6" t="s">
        <v>699</v>
      </c>
      <c r="B29" s="8" t="n">
        <f aca="false">MAX(0,Inputs!$B$8-$B$28)</f>
        <v>297461.653163089</v>
      </c>
      <c r="C29" s="20"/>
    </row>
    <row r="30" customFormat="false" ht="15" hidden="false" customHeight="false" outlineLevel="0" collapsed="false">
      <c r="A30" s="6" t="s">
        <v>700</v>
      </c>
      <c r="B30" s="7" t="n">
        <f aca="false">SUM(Forecast!$D$43:$AM$43)</f>
        <v>9471.41069836807</v>
      </c>
      <c r="C30" s="20"/>
    </row>
    <row r="31" customFormat="false" ht="15" hidden="false" customHeight="false" outlineLevel="0" collapsed="false">
      <c r="A31" s="6" t="s">
        <v>701</v>
      </c>
      <c r="B31" s="9" t="n">
        <f aca="false">IFERROR(SUM(Forecast!$D$74:$AM$74)/SUM(Forecast!$D$40:$AM$40),0)</f>
        <v>39.574459580821</v>
      </c>
      <c r="C31" s="20"/>
    </row>
    <row r="32" customFormat="false" ht="15" hidden="false" customHeight="false" outlineLevel="0" collapsed="false">
      <c r="A32" s="6" t="s">
        <v>702</v>
      </c>
      <c r="B32" s="9" t="n">
        <f aca="false">'Unit Economics'!$B$28</f>
        <v>70.3757754849177</v>
      </c>
      <c r="C32" s="20"/>
    </row>
    <row r="33" customFormat="false" ht="15" hidden="false" customHeight="false" outlineLevel="0" collapsed="false">
      <c r="A33" s="6" t="s">
        <v>703</v>
      </c>
      <c r="B33" s="9" t="n">
        <f aca="false">'Unit Economics'!$B$25</f>
        <v>25.8341263504</v>
      </c>
      <c r="C33" s="20"/>
    </row>
    <row r="34" customFormat="false" ht="15" hidden="false" customHeight="false" outlineLevel="0" collapsed="false">
      <c r="A34" s="6" t="s">
        <v>14</v>
      </c>
      <c r="B34" s="10" t="n">
        <f aca="false">IFERROR($B$33/$B$31,0)</f>
        <v>0.652797956662938</v>
      </c>
      <c r="C34" s="20" t="s">
        <v>704</v>
      </c>
    </row>
    <row r="35" customFormat="false" ht="15" hidden="false" customHeight="false" outlineLevel="0" collapsed="false">
      <c r="A35" s="6" t="s">
        <v>705</v>
      </c>
      <c r="B35" s="10" t="n">
        <f aca="false">IFERROR($B$33/$B$32,0)</f>
        <v>0.367088336467944</v>
      </c>
      <c r="C35" s="20"/>
    </row>
    <row r="36" customFormat="false" ht="15" hidden="false" customHeight="false" outlineLevel="0" collapsed="false">
      <c r="A36" s="6" t="s">
        <v>706</v>
      </c>
      <c r="B36" s="9" t="n">
        <f aca="false">'Unit Economics'!$B$23</f>
        <v>15.196544912</v>
      </c>
      <c r="C36" s="20"/>
    </row>
    <row r="37" customFormat="false" ht="15" hidden="false" customHeight="false" outlineLevel="0" collapsed="false">
      <c r="A37" s="6" t="s">
        <v>707</v>
      </c>
      <c r="B37" s="31" t="n">
        <f aca="false">Forecast!AQ72</f>
        <v>0.49710235931189</v>
      </c>
      <c r="C37" s="20"/>
    </row>
    <row r="38" customFormat="false" ht="15" hidden="false" customHeight="false" outlineLevel="0" collapsed="false">
      <c r="A38" s="6" t="s">
        <v>708</v>
      </c>
      <c r="B38" s="8" t="n">
        <f aca="false">SUM(Forecast!$D$63:$AM$63)</f>
        <v>6175.03321609709</v>
      </c>
      <c r="C38" s="20"/>
    </row>
    <row r="41" customFormat="false" ht="15" hidden="false" customHeight="false" outlineLevel="0" collapsed="false">
      <c r="A41" s="23" t="s">
        <v>709</v>
      </c>
      <c r="B41" s="24"/>
      <c r="C41" s="24"/>
    </row>
    <row r="42" customFormat="false" ht="15" hidden="false" customHeight="false" outlineLevel="0" collapsed="false">
      <c r="A42" s="17" t="s">
        <v>710</v>
      </c>
      <c r="B42" s="57" t="n">
        <v>0</v>
      </c>
      <c r="C42" s="17" t="s">
        <v>711</v>
      </c>
    </row>
    <row r="43" customFormat="false" ht="15" hidden="false" customHeight="false" outlineLevel="0" collapsed="false">
      <c r="A43" s="17" t="s">
        <v>712</v>
      </c>
      <c r="B43" s="57" t="n">
        <v>0</v>
      </c>
      <c r="C43" s="17" t="s">
        <v>713</v>
      </c>
    </row>
    <row r="44" customFormat="false" ht="15" hidden="false" customHeight="false" outlineLevel="0" collapsed="false">
      <c r="A44" s="17" t="s">
        <v>714</v>
      </c>
      <c r="B44" s="57" t="n">
        <v>0</v>
      </c>
      <c r="C44" s="17" t="s">
        <v>715</v>
      </c>
    </row>
    <row r="45" customFormat="false" ht="15" hidden="false" customHeight="false" outlineLevel="0" collapsed="false">
      <c r="A45" s="17" t="s">
        <v>716</v>
      </c>
      <c r="B45" s="57" t="n">
        <v>1</v>
      </c>
      <c r="C45" s="17" t="s">
        <v>717</v>
      </c>
    </row>
    <row r="46" customFormat="false" ht="15" hidden="false" customHeight="false" outlineLevel="0" collapsed="false">
      <c r="A46" s="17" t="s">
        <v>718</v>
      </c>
      <c r="B46" s="57" t="n">
        <v>1</v>
      </c>
      <c r="C46" s="17" t="s">
        <v>719</v>
      </c>
    </row>
    <row r="47" customFormat="false" ht="15" hidden="false" customHeight="false" outlineLevel="0" collapsed="false">
      <c r="A47" s="17" t="s">
        <v>720</v>
      </c>
      <c r="B47" s="57" t="n">
        <v>0</v>
      </c>
      <c r="C47" s="17" t="s">
        <v>721</v>
      </c>
    </row>
    <row r="50" customFormat="false" ht="15" hidden="false" customHeight="false" outlineLevel="0" collapsed="false">
      <c r="A50" s="23" t="s">
        <v>722</v>
      </c>
      <c r="B50" s="24"/>
      <c r="C50" s="24"/>
    </row>
    <row r="51" customFormat="false" ht="15" hidden="false" customHeight="false" outlineLevel="0" collapsed="false">
      <c r="A51" s="17" t="s">
        <v>37</v>
      </c>
      <c r="B51" s="58" t="n">
        <f aca="false">Compare!$F$52</f>
        <v>-167783.75824969</v>
      </c>
    </row>
    <row r="52" customFormat="false" ht="15" hidden="false" customHeight="false" outlineLevel="0" collapsed="false">
      <c r="A52" s="17" t="s">
        <v>38</v>
      </c>
      <c r="B52" s="58" t="n">
        <f aca="false">Compare!$F$53</f>
        <v>-225471.011112253</v>
      </c>
    </row>
    <row r="53" customFormat="false" ht="15" hidden="false" customHeight="false" outlineLevel="0" collapsed="false">
      <c r="A53" s="17" t="s">
        <v>39</v>
      </c>
      <c r="B53" s="58" t="n">
        <f aca="false">Compare!$F$54</f>
        <v>-267461.653163089</v>
      </c>
    </row>
    <row r="54" customFormat="false" ht="15" hidden="false" customHeight="false" outlineLevel="0" collapsed="false">
      <c r="A54" s="17" t="s">
        <v>699</v>
      </c>
      <c r="B54" s="58" t="n">
        <f aca="false">Compare!$F$56</f>
        <v>297461.653163089</v>
      </c>
    </row>
    <row r="55" customFormat="false" ht="15" hidden="false" customHeight="false" outlineLevel="0" collapsed="false">
      <c r="A55" s="17" t="s">
        <v>4</v>
      </c>
      <c r="B55" s="59" t="str">
        <f aca="false">Compare!$F$57</f>
        <v>Not within 36 mo</v>
      </c>
    </row>
    <row r="56" customFormat="false" ht="15" hidden="false" customHeight="false" outlineLevel="0" collapsed="false">
      <c r="A56" s="17" t="s">
        <v>723</v>
      </c>
      <c r="B56" s="58" t="n">
        <f aca="false">Compare!$F$58</f>
        <v>107100</v>
      </c>
    </row>
  </sheetData>
  <dataValidations count="2">
    <dataValidation allowBlank="false" errorStyle="stop" operator="between" showDropDown="false" showErrorMessage="false" showInputMessage="false" sqref="B3" type="list">
      <formula1>"Low,Base,High"</formula1>
      <formula2>0</formula2>
    </dataValidation>
    <dataValidation allowBlank="false" errorStyle="stop" operator="between" showDropDown="false" showErrorMessage="false" showInputMessage="false" sqref="B42:B47" type="list">
      <formula1>"0,1"</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AQ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4296875" defaultRowHeight="15" customHeight="false" zeroHeight="false" outlineLevelRow="0" outlineLevelCol="0"/>
  <cols>
    <col collapsed="false" customWidth="true" hidden="false" outlineLevel="0" max="1" min="1" style="1" width="62"/>
    <col collapsed="false" customWidth="true" hidden="false" outlineLevel="0" max="6" min="2" style="1" width="16"/>
    <col collapsed="false" customWidth="true" hidden="false" outlineLevel="0" max="43" min="7" style="1" width="11"/>
  </cols>
  <sheetData>
    <row r="1" customFormat="false" ht="17.35" hidden="false" customHeight="false" outlineLevel="0" collapsed="false">
      <c r="A1" s="2" t="s">
        <v>724</v>
      </c>
    </row>
    <row r="2" customFormat="false" ht="15" hidden="false" customHeight="false" outlineLevel="0" collapsed="false">
      <c r="A2" s="60" t="s">
        <v>725</v>
      </c>
    </row>
    <row r="4" customFormat="false" ht="15" hidden="false" customHeight="false" outlineLevel="0" collapsed="false">
      <c r="A4" s="15" t="s">
        <v>726</v>
      </c>
      <c r="B4" s="15" t="s">
        <v>51</v>
      </c>
      <c r="C4" s="15" t="s">
        <v>727</v>
      </c>
      <c r="D4" s="61" t="s">
        <v>728</v>
      </c>
      <c r="E4" s="61" t="s">
        <v>729</v>
      </c>
      <c r="F4" s="61" t="s">
        <v>730</v>
      </c>
      <c r="G4" s="61" t="s">
        <v>731</v>
      </c>
      <c r="H4" s="61" t="s">
        <v>732</v>
      </c>
      <c r="I4" s="61" t="s">
        <v>733</v>
      </c>
      <c r="J4" s="61" t="s">
        <v>734</v>
      </c>
      <c r="K4" s="61" t="s">
        <v>735</v>
      </c>
      <c r="L4" s="61" t="s">
        <v>736</v>
      </c>
      <c r="M4" s="61" t="s">
        <v>737</v>
      </c>
      <c r="N4" s="61" t="s">
        <v>738</v>
      </c>
      <c r="O4" s="61" t="s">
        <v>739</v>
      </c>
      <c r="P4" s="61" t="s">
        <v>740</v>
      </c>
      <c r="Q4" s="61" t="s">
        <v>741</v>
      </c>
      <c r="R4" s="61" t="s">
        <v>742</v>
      </c>
      <c r="S4" s="61" t="s">
        <v>743</v>
      </c>
      <c r="T4" s="61" t="s">
        <v>744</v>
      </c>
      <c r="U4" s="61" t="s">
        <v>745</v>
      </c>
      <c r="V4" s="61" t="s">
        <v>746</v>
      </c>
      <c r="W4" s="61" t="s">
        <v>747</v>
      </c>
      <c r="X4" s="61" t="s">
        <v>748</v>
      </c>
      <c r="Y4" s="61" t="s">
        <v>749</v>
      </c>
      <c r="Z4" s="61" t="s">
        <v>750</v>
      </c>
      <c r="AA4" s="61" t="s">
        <v>751</v>
      </c>
      <c r="AB4" s="61" t="s">
        <v>752</v>
      </c>
      <c r="AC4" s="61" t="s">
        <v>753</v>
      </c>
      <c r="AD4" s="61" t="s">
        <v>754</v>
      </c>
      <c r="AE4" s="61" t="s">
        <v>755</v>
      </c>
      <c r="AF4" s="61" t="s">
        <v>756</v>
      </c>
      <c r="AG4" s="61" t="s">
        <v>757</v>
      </c>
      <c r="AH4" s="61" t="s">
        <v>758</v>
      </c>
      <c r="AI4" s="61" t="s">
        <v>759</v>
      </c>
      <c r="AJ4" s="61" t="s">
        <v>760</v>
      </c>
      <c r="AK4" s="61" t="s">
        <v>761</v>
      </c>
      <c r="AL4" s="61" t="s">
        <v>762</v>
      </c>
      <c r="AM4" s="61" t="s">
        <v>763</v>
      </c>
      <c r="AN4" s="61" t="s">
        <v>764</v>
      </c>
      <c r="AO4" s="61" t="s">
        <v>17</v>
      </c>
      <c r="AP4" s="61" t="s">
        <v>18</v>
      </c>
      <c r="AQ4" s="61" t="s">
        <v>19</v>
      </c>
    </row>
    <row r="5" customFormat="false" ht="15" hidden="false" customHeight="false" outlineLevel="0" collapsed="false">
      <c r="A5" s="1" t="s">
        <v>765</v>
      </c>
      <c r="B5" s="1" t="s">
        <v>766</v>
      </c>
      <c r="D5" s="11" t="n">
        <f aca="false">Forecast!D6</f>
        <v>1</v>
      </c>
      <c r="E5" s="11" t="n">
        <f aca="false">Forecast!E6</f>
        <v>2</v>
      </c>
      <c r="F5" s="11" t="n">
        <f aca="false">Forecast!F6</f>
        <v>3</v>
      </c>
      <c r="G5" s="11" t="n">
        <f aca="false">Forecast!G6</f>
        <v>4</v>
      </c>
      <c r="H5" s="11" t="n">
        <f aca="false">Forecast!H6</f>
        <v>5</v>
      </c>
      <c r="I5" s="11" t="n">
        <f aca="false">Forecast!I6</f>
        <v>6</v>
      </c>
      <c r="J5" s="11" t="n">
        <f aca="false">Forecast!J6</f>
        <v>7</v>
      </c>
      <c r="K5" s="11" t="n">
        <f aca="false">Forecast!K6</f>
        <v>8</v>
      </c>
      <c r="L5" s="11" t="n">
        <f aca="false">Forecast!L6</f>
        <v>9</v>
      </c>
      <c r="M5" s="11" t="n">
        <f aca="false">Forecast!M6</f>
        <v>10</v>
      </c>
      <c r="N5" s="11" t="n">
        <f aca="false">Forecast!N6</f>
        <v>11</v>
      </c>
      <c r="O5" s="11" t="n">
        <f aca="false">Forecast!O6</f>
        <v>12</v>
      </c>
      <c r="P5" s="11" t="n">
        <f aca="false">Forecast!P6</f>
        <v>13</v>
      </c>
      <c r="Q5" s="11" t="n">
        <f aca="false">Forecast!Q6</f>
        <v>14</v>
      </c>
      <c r="R5" s="11" t="n">
        <f aca="false">Forecast!R6</f>
        <v>15</v>
      </c>
      <c r="S5" s="11" t="n">
        <f aca="false">Forecast!S6</f>
        <v>16</v>
      </c>
      <c r="T5" s="11" t="n">
        <f aca="false">Forecast!T6</f>
        <v>17</v>
      </c>
      <c r="U5" s="11" t="n">
        <f aca="false">Forecast!U6</f>
        <v>18</v>
      </c>
      <c r="V5" s="11" t="n">
        <f aca="false">Forecast!V6</f>
        <v>19</v>
      </c>
      <c r="W5" s="11" t="n">
        <f aca="false">Forecast!W6</f>
        <v>20</v>
      </c>
      <c r="X5" s="11" t="n">
        <f aca="false">Forecast!X6</f>
        <v>21</v>
      </c>
      <c r="Y5" s="11" t="n">
        <f aca="false">Forecast!Y6</f>
        <v>22</v>
      </c>
      <c r="Z5" s="11" t="n">
        <f aca="false">Forecast!Z6</f>
        <v>23</v>
      </c>
      <c r="AA5" s="11" t="n">
        <f aca="false">Forecast!AA6</f>
        <v>24</v>
      </c>
      <c r="AB5" s="11" t="n">
        <f aca="false">Forecast!AB6</f>
        <v>25</v>
      </c>
      <c r="AC5" s="11" t="n">
        <f aca="false">Forecast!AC6</f>
        <v>26</v>
      </c>
      <c r="AD5" s="11" t="n">
        <f aca="false">Forecast!AD6</f>
        <v>27</v>
      </c>
      <c r="AE5" s="11" t="n">
        <f aca="false">Forecast!AE6</f>
        <v>28</v>
      </c>
      <c r="AF5" s="11" t="n">
        <f aca="false">Forecast!AF6</f>
        <v>29</v>
      </c>
      <c r="AG5" s="11" t="n">
        <f aca="false">Forecast!AG6</f>
        <v>30</v>
      </c>
      <c r="AH5" s="11" t="n">
        <f aca="false">Forecast!AH6</f>
        <v>31</v>
      </c>
      <c r="AI5" s="11" t="n">
        <f aca="false">Forecast!AI6</f>
        <v>32</v>
      </c>
      <c r="AJ5" s="11" t="n">
        <f aca="false">Forecast!AJ6</f>
        <v>33</v>
      </c>
      <c r="AK5" s="11" t="n">
        <f aca="false">Forecast!AK6</f>
        <v>34</v>
      </c>
      <c r="AL5" s="11" t="n">
        <f aca="false">Forecast!AL6</f>
        <v>35</v>
      </c>
      <c r="AM5" s="11" t="n">
        <f aca="false">Forecast!AM6</f>
        <v>36</v>
      </c>
    </row>
    <row r="6" customFormat="false" ht="15" hidden="false" customHeight="false" outlineLevel="0" collapsed="false">
      <c r="A6" s="23" t="s">
        <v>767</v>
      </c>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row>
    <row r="7" customFormat="false" ht="15" hidden="false" customHeight="false" outlineLevel="0" collapsed="false">
      <c r="A7" s="17" t="s">
        <v>768</v>
      </c>
      <c r="B7" s="17" t="s">
        <v>61</v>
      </c>
      <c r="D7" s="46" t="n">
        <f aca="false">Forecast!D77</f>
        <v>-62740.9101761515</v>
      </c>
      <c r="E7" s="46" t="n">
        <f aca="false">Forecast!E77</f>
        <v>-54192.5602021942</v>
      </c>
      <c r="F7" s="46" t="n">
        <f aca="false">Forecast!F77</f>
        <v>-24287.9909116936</v>
      </c>
      <c r="G7" s="46" t="n">
        <f aca="false">Forecast!G77</f>
        <v>-12698.506862611</v>
      </c>
      <c r="H7" s="46" t="n">
        <f aca="false">Forecast!H77</f>
        <v>-5564.12502209614</v>
      </c>
      <c r="I7" s="46" t="n">
        <f aca="false">Forecast!I77</f>
        <v>-5569.57017744458</v>
      </c>
      <c r="J7" s="46" t="n">
        <f aca="false">Forecast!J77</f>
        <v>-5989.71969100837</v>
      </c>
      <c r="K7" s="46" t="n">
        <f aca="false">Forecast!K77</f>
        <v>-5595.75543913615</v>
      </c>
      <c r="L7" s="46" t="n">
        <f aca="false">Forecast!L77</f>
        <v>-5332.52144065615</v>
      </c>
      <c r="M7" s="46" t="n">
        <f aca="false">Forecast!M77</f>
        <v>-5313.15662326534</v>
      </c>
      <c r="N7" s="46" t="n">
        <f aca="false">Forecast!N77</f>
        <v>-5276.28104292958</v>
      </c>
      <c r="O7" s="46" t="n">
        <f aca="false">Forecast!O77</f>
        <v>-5222.66066050349</v>
      </c>
      <c r="P7" s="46" t="n">
        <f aca="false">Forecast!P77</f>
        <v>-5397.14829682327</v>
      </c>
      <c r="Q7" s="46" t="n">
        <f aca="false">Forecast!Q77</f>
        <v>-5864.37213350708</v>
      </c>
      <c r="R7" s="46" t="n">
        <f aca="false">Forecast!R77</f>
        <v>-4963.28261382542</v>
      </c>
      <c r="S7" s="46" t="n">
        <f aca="false">Forecast!S77</f>
        <v>-4922.77907575852</v>
      </c>
      <c r="T7" s="46" t="n">
        <f aca="false">Forecast!T77</f>
        <v>-4876.92606849005</v>
      </c>
      <c r="U7" s="46" t="n">
        <f aca="false">Forecast!U77</f>
        <v>-4814.48764553072</v>
      </c>
      <c r="V7" s="46" t="n">
        <f aca="false">Forecast!V77</f>
        <v>-4483.5741780684</v>
      </c>
      <c r="W7" s="46" t="n">
        <f aca="false">Forecast!W77</f>
        <v>-4585.29496010681</v>
      </c>
      <c r="X7" s="46" t="n">
        <f aca="false">Forecast!X77</f>
        <v>-4590.3845535809</v>
      </c>
      <c r="Y7" s="46" t="n">
        <f aca="false">Forecast!Y77</f>
        <v>-4505.61863303539</v>
      </c>
      <c r="Z7" s="46" t="n">
        <f aca="false">Forecast!Z77</f>
        <v>-4402.02150029388</v>
      </c>
      <c r="AA7" s="46" t="n">
        <f aca="false">Forecast!AA77</f>
        <v>-4281.36320354265</v>
      </c>
      <c r="AB7" s="46" t="n">
        <f aca="false">Forecast!AB77</f>
        <v>-3828.84934518642</v>
      </c>
      <c r="AC7" s="46" t="n">
        <f aca="false">Forecast!AC77</f>
        <v>-3367.29127783804</v>
      </c>
      <c r="AD7" s="46" t="n">
        <f aca="false">Forecast!AD77</f>
        <v>-4182.6611661101</v>
      </c>
      <c r="AE7" s="46" t="n">
        <f aca="false">Forecast!AE77</f>
        <v>-3347.05182805415</v>
      </c>
      <c r="AF7" s="46" t="n">
        <f aca="false">Forecast!AF77</f>
        <v>-3908.48599422749</v>
      </c>
      <c r="AG7" s="46" t="n">
        <f aca="false">Forecast!AG77</f>
        <v>-3786.54806667532</v>
      </c>
      <c r="AH7" s="46" t="n">
        <f aca="false">Forecast!AH77</f>
        <v>-2758.93032195702</v>
      </c>
      <c r="AI7" s="46" t="n">
        <f aca="false">Forecast!AI77</f>
        <v>-3336.11819169362</v>
      </c>
      <c r="AJ7" s="46" t="n">
        <f aca="false">Forecast!AJ77</f>
        <v>-3602.94438176605</v>
      </c>
      <c r="AK7" s="46" t="n">
        <f aca="false">Forecast!AK77</f>
        <v>-3459.49709523783</v>
      </c>
      <c r="AL7" s="46" t="n">
        <f aca="false">Forecast!AL77</f>
        <v>-3296.28845914998</v>
      </c>
      <c r="AM7" s="46" t="n">
        <f aca="false">Forecast!AM77</f>
        <v>-3115.97592293962</v>
      </c>
      <c r="AN7" s="46" t="n">
        <f aca="false">SUM(D7:AM7)</f>
        <v>-297461.653163089</v>
      </c>
      <c r="AO7" s="46" t="n">
        <f aca="false">SUM(D7:O7)</f>
        <v>-197783.75824969</v>
      </c>
      <c r="AP7" s="46" t="n">
        <f aca="false">SUM(P7:AA7)</f>
        <v>-57687.2528625631</v>
      </c>
      <c r="AQ7" s="46" t="n">
        <f aca="false">SUM(AB7:AM7)</f>
        <v>-41990.6420508356</v>
      </c>
    </row>
    <row r="8" customFormat="false" ht="15" hidden="false" customHeight="false" outlineLevel="0" collapsed="false">
      <c r="A8" s="17" t="s">
        <v>769</v>
      </c>
      <c r="B8" s="17" t="s">
        <v>61</v>
      </c>
      <c r="D8" s="46" t="n">
        <f aca="false">'Agent Channel'!D38</f>
        <v>-18000</v>
      </c>
      <c r="E8" s="46" t="n">
        <f aca="false">'Agent Channel'!E38</f>
        <v>-11250</v>
      </c>
      <c r="F8" s="46" t="n">
        <f aca="false">'Agent Channel'!F38</f>
        <v>-11250</v>
      </c>
      <c r="G8" s="46" t="n">
        <f aca="false">'Agent Channel'!G38</f>
        <v>-8700</v>
      </c>
      <c r="H8" s="46" t="n">
        <f aca="false">'Agent Channel'!H38</f>
        <v>-8700</v>
      </c>
      <c r="I8" s="46" t="n">
        <f aca="false">'Agent Channel'!I38</f>
        <v>0</v>
      </c>
      <c r="J8" s="46" t="n">
        <f aca="false">'Agent Channel'!J38</f>
        <v>0</v>
      </c>
      <c r="K8" s="46" t="n">
        <f aca="false">'Agent Channel'!K38</f>
        <v>-293.953125</v>
      </c>
      <c r="L8" s="46" t="n">
        <f aca="false">'Agent Channel'!L38</f>
        <v>-5988.15825636596</v>
      </c>
      <c r="M8" s="46" t="n">
        <f aca="false">'Agent Channel'!M38</f>
        <v>-5982.60489161378</v>
      </c>
      <c r="N8" s="46" t="n">
        <f aca="false">'Agent Channel'!N38</f>
        <v>-277.28296595536</v>
      </c>
      <c r="O8" s="46" t="n">
        <f aca="false">'Agent Channel'!O38</f>
        <v>-5072.18283405736</v>
      </c>
      <c r="P8" s="46" t="n">
        <f aca="false">'Agent Channel'!P38</f>
        <v>-5067.29525256028</v>
      </c>
      <c r="Q8" s="46" t="n">
        <f aca="false">'Agent Channel'!Q38</f>
        <v>-5062.61136332596</v>
      </c>
      <c r="R8" s="46" t="n">
        <f aca="false">'Agent Channel'!R38</f>
        <v>-258.122677383339</v>
      </c>
      <c r="S8" s="46" t="n">
        <f aca="false">'Agent Channel'!S38</f>
        <v>-253.821059543222</v>
      </c>
      <c r="T8" s="46" t="n">
        <f aca="false">'Agent Channel'!T38</f>
        <v>-249.698713654257</v>
      </c>
      <c r="U8" s="46" t="n">
        <f aca="false">'Agent Channel'!U38</f>
        <v>-245.748168473376</v>
      </c>
      <c r="V8" s="46" t="n">
        <f aca="false">'Agent Channel'!V38</f>
        <v>-241.962264125089</v>
      </c>
      <c r="W8" s="46" t="n">
        <f aca="false">'Agent Channel'!W38</f>
        <v>-222.559151459414</v>
      </c>
      <c r="X8" s="46" t="n">
        <f aca="false">'Agent Channel'!X38</f>
        <v>-218.192785325857</v>
      </c>
      <c r="Y8" s="46" t="n">
        <f aca="false">'Agent Channel'!Y38</f>
        <v>-214.008389559102</v>
      </c>
      <c r="Z8" s="46" t="n">
        <f aca="false">'Agent Channel'!Z38</f>
        <v>-209.998380458337</v>
      </c>
      <c r="AA8" s="46" t="n">
        <f aca="false">'Agent Channel'!AA38</f>
        <v>-206.155490377056</v>
      </c>
      <c r="AB8" s="46" t="n">
        <f aca="false">'Agent Channel'!AB38</f>
        <v>-202.472754551346</v>
      </c>
      <c r="AC8" s="46" t="n">
        <f aca="false">'Agent Channel'!AC38</f>
        <v>-198.943498477115</v>
      </c>
      <c r="AD8" s="46" t="n">
        <f aca="false">'Agent Channel'!AD38</f>
        <v>-195.561325813372</v>
      </c>
      <c r="AE8" s="46" t="n">
        <f aca="false">'Agent Channel'!AE38</f>
        <v>-192.320106789656</v>
      </c>
      <c r="AF8" s="46" t="n">
        <f aca="false">'Agent Channel'!AF38</f>
        <v>-189.213967096575</v>
      </c>
      <c r="AG8" s="46" t="n">
        <f aca="false">'Agent Channel'!AG38</f>
        <v>-186.237277239354</v>
      </c>
      <c r="AH8" s="46" t="n">
        <f aca="false">'Agent Channel'!AH38</f>
        <v>-183.384642335063</v>
      </c>
      <c r="AI8" s="46" t="n">
        <f aca="false">'Agent Channel'!AI38</f>
        <v>-180.650892335063</v>
      </c>
      <c r="AJ8" s="46" t="n">
        <f aca="false">'Agent Channel'!AJ38</f>
        <v>-178.031072654928</v>
      </c>
      <c r="AK8" s="46" t="n">
        <f aca="false">'Agent Channel'!AK38</f>
        <v>-175.520435194875</v>
      </c>
      <c r="AL8" s="46" t="n">
        <f aca="false">'Agent Channel'!AL38</f>
        <v>-173.114429734416</v>
      </c>
      <c r="AM8" s="46" t="n">
        <f aca="false">'Agent Channel'!AM38</f>
        <v>-170.808695685648</v>
      </c>
      <c r="AN8" s="46" t="n">
        <f aca="false">SUM(D8:AM8)</f>
        <v>-90190.6148671452</v>
      </c>
      <c r="AO8" s="46" t="n">
        <f aca="false">SUM(D8:O8)</f>
        <v>-75514.1820729925</v>
      </c>
      <c r="AP8" s="46" t="n">
        <f aca="false">SUM(P8:AA8)</f>
        <v>-12450.1736962453</v>
      </c>
      <c r="AQ8" s="46" t="n">
        <f aca="false">SUM(AB8:AM8)</f>
        <v>-2226.25909790741</v>
      </c>
    </row>
    <row r="9" customFormat="false" ht="15" hidden="false" customHeight="false" outlineLevel="0" collapsed="false">
      <c r="A9" s="17" t="s">
        <v>770</v>
      </c>
      <c r="B9" s="17" t="s">
        <v>61</v>
      </c>
      <c r="D9" s="46" t="n">
        <f aca="false">Kiosk!D44</f>
        <v>0</v>
      </c>
      <c r="E9" s="46" t="n">
        <f aca="false">Kiosk!E44</f>
        <v>0</v>
      </c>
      <c r="F9" s="46" t="n">
        <f aca="false">Kiosk!F44</f>
        <v>0</v>
      </c>
      <c r="G9" s="46" t="n">
        <f aca="false">Kiosk!G44</f>
        <v>0</v>
      </c>
      <c r="H9" s="46" t="n">
        <f aca="false">Kiosk!H44</f>
        <v>0</v>
      </c>
      <c r="I9" s="46" t="n">
        <f aca="false">Kiosk!I44</f>
        <v>0</v>
      </c>
      <c r="J9" s="46" t="n">
        <f aca="false">Kiosk!J44</f>
        <v>-11538.3333333333</v>
      </c>
      <c r="K9" s="46" t="n">
        <f aca="false">Kiosk!K44</f>
        <v>-11538.3333333333</v>
      </c>
      <c r="L9" s="46" t="n">
        <f aca="false">Kiosk!L44</f>
        <v>-11538.3333333333</v>
      </c>
      <c r="M9" s="46" t="n">
        <f aca="false">Kiosk!M44</f>
        <v>0</v>
      </c>
      <c r="N9" s="46" t="n">
        <f aca="false">Kiosk!N44</f>
        <v>0</v>
      </c>
      <c r="O9" s="46" t="n">
        <f aca="false">Kiosk!O44</f>
        <v>0</v>
      </c>
      <c r="P9" s="46" t="n">
        <f aca="false">Kiosk!P44</f>
        <v>0</v>
      </c>
      <c r="Q9" s="46" t="n">
        <f aca="false">Kiosk!Q44</f>
        <v>0</v>
      </c>
      <c r="R9" s="46" t="n">
        <f aca="false">Kiosk!R44</f>
        <v>0</v>
      </c>
      <c r="S9" s="46" t="n">
        <f aca="false">Kiosk!S44</f>
        <v>0</v>
      </c>
      <c r="T9" s="46" t="n">
        <f aca="false">Kiosk!T44</f>
        <v>0</v>
      </c>
      <c r="U9" s="46" t="n">
        <f aca="false">Kiosk!U44</f>
        <v>0</v>
      </c>
      <c r="V9" s="46" t="n">
        <f aca="false">Kiosk!V44</f>
        <v>0</v>
      </c>
      <c r="W9" s="46" t="n">
        <f aca="false">Kiosk!W44</f>
        <v>0</v>
      </c>
      <c r="X9" s="46" t="n">
        <f aca="false">Kiosk!X44</f>
        <v>0</v>
      </c>
      <c r="Y9" s="46" t="n">
        <f aca="false">Kiosk!Y44</f>
        <v>0</v>
      </c>
      <c r="Z9" s="46" t="n">
        <f aca="false">Kiosk!Z44</f>
        <v>0</v>
      </c>
      <c r="AA9" s="46" t="n">
        <f aca="false">Kiosk!AA44</f>
        <v>0</v>
      </c>
      <c r="AB9" s="46" t="n">
        <f aca="false">Kiosk!AB44</f>
        <v>0</v>
      </c>
      <c r="AC9" s="46" t="n">
        <f aca="false">Kiosk!AC44</f>
        <v>0</v>
      </c>
      <c r="AD9" s="46" t="n">
        <f aca="false">Kiosk!AD44</f>
        <v>0</v>
      </c>
      <c r="AE9" s="46" t="n">
        <f aca="false">Kiosk!AE44</f>
        <v>0</v>
      </c>
      <c r="AF9" s="46" t="n">
        <f aca="false">Kiosk!AF44</f>
        <v>0</v>
      </c>
      <c r="AG9" s="46" t="n">
        <f aca="false">Kiosk!AG44</f>
        <v>0</v>
      </c>
      <c r="AH9" s="46" t="n">
        <f aca="false">Kiosk!AH44</f>
        <v>0</v>
      </c>
      <c r="AI9" s="46" t="n">
        <f aca="false">Kiosk!AI44</f>
        <v>0</v>
      </c>
      <c r="AJ9" s="46" t="n">
        <f aca="false">Kiosk!AJ44</f>
        <v>0</v>
      </c>
      <c r="AK9" s="46" t="n">
        <f aca="false">Kiosk!AK44</f>
        <v>0</v>
      </c>
      <c r="AL9" s="46" t="n">
        <f aca="false">Kiosk!AL44</f>
        <v>0</v>
      </c>
      <c r="AM9" s="46" t="n">
        <f aca="false">Kiosk!AM44</f>
        <v>0</v>
      </c>
      <c r="AN9" s="46" t="n">
        <f aca="false">SUM(D9:AM9)</f>
        <v>-34615</v>
      </c>
      <c r="AO9" s="46" t="n">
        <f aca="false">SUM(D9:O9)</f>
        <v>-34615</v>
      </c>
      <c r="AP9" s="46" t="n">
        <f aca="false">SUM(P9:AA9)</f>
        <v>0</v>
      </c>
      <c r="AQ9" s="46" t="n">
        <f aca="false">SUM(AB9:AM9)</f>
        <v>0</v>
      </c>
    </row>
    <row r="10" customFormat="false" ht="15" hidden="false" customHeight="false" outlineLevel="0" collapsed="false">
      <c r="A10" s="17" t="s">
        <v>771</v>
      </c>
      <c r="B10" s="17" t="s">
        <v>61</v>
      </c>
      <c r="D10" s="46" t="n">
        <f aca="false">Kiosk!D45</f>
        <v>0</v>
      </c>
      <c r="E10" s="46" t="n">
        <f aca="false">Kiosk!E45</f>
        <v>0</v>
      </c>
      <c r="F10" s="46" t="n">
        <f aca="false">Kiosk!F45</f>
        <v>0</v>
      </c>
      <c r="G10" s="46" t="n">
        <f aca="false">Kiosk!G45</f>
        <v>0</v>
      </c>
      <c r="H10" s="46" t="n">
        <f aca="false">Kiosk!H45</f>
        <v>0</v>
      </c>
      <c r="I10" s="46" t="n">
        <f aca="false">Kiosk!I45</f>
        <v>0</v>
      </c>
      <c r="J10" s="46" t="n">
        <f aca="false">Kiosk!J45</f>
        <v>-11538.3333333333</v>
      </c>
      <c r="K10" s="46" t="n">
        <f aca="false">Kiosk!K45</f>
        <v>-11538.3333333333</v>
      </c>
      <c r="L10" s="46" t="n">
        <f aca="false">Kiosk!L45</f>
        <v>-11538.3333333333</v>
      </c>
      <c r="M10" s="46" t="n">
        <f aca="false">Kiosk!M45</f>
        <v>0</v>
      </c>
      <c r="N10" s="46" t="n">
        <f aca="false">Kiosk!N45</f>
        <v>0</v>
      </c>
      <c r="O10" s="46" t="n">
        <f aca="false">Kiosk!O45</f>
        <v>0</v>
      </c>
      <c r="P10" s="46" t="n">
        <f aca="false">Kiosk!P45</f>
        <v>0</v>
      </c>
      <c r="Q10" s="46" t="n">
        <f aca="false">Kiosk!Q45</f>
        <v>0</v>
      </c>
      <c r="R10" s="46" t="n">
        <f aca="false">Kiosk!R45</f>
        <v>0</v>
      </c>
      <c r="S10" s="46" t="n">
        <f aca="false">Kiosk!S45</f>
        <v>0</v>
      </c>
      <c r="T10" s="46" t="n">
        <f aca="false">Kiosk!T45</f>
        <v>0</v>
      </c>
      <c r="U10" s="46" t="n">
        <f aca="false">Kiosk!U45</f>
        <v>0</v>
      </c>
      <c r="V10" s="46" t="n">
        <f aca="false">Kiosk!V45</f>
        <v>0</v>
      </c>
      <c r="W10" s="46" t="n">
        <f aca="false">Kiosk!W45</f>
        <v>0</v>
      </c>
      <c r="X10" s="46" t="n">
        <f aca="false">Kiosk!X45</f>
        <v>0</v>
      </c>
      <c r="Y10" s="46" t="n">
        <f aca="false">Kiosk!Y45</f>
        <v>0</v>
      </c>
      <c r="Z10" s="46" t="n">
        <f aca="false">Kiosk!Z45</f>
        <v>0</v>
      </c>
      <c r="AA10" s="46" t="n">
        <f aca="false">Kiosk!AA45</f>
        <v>0</v>
      </c>
      <c r="AB10" s="46" t="n">
        <f aca="false">Kiosk!AB45</f>
        <v>0</v>
      </c>
      <c r="AC10" s="46" t="n">
        <f aca="false">Kiosk!AC45</f>
        <v>0</v>
      </c>
      <c r="AD10" s="46" t="n">
        <f aca="false">Kiosk!AD45</f>
        <v>0</v>
      </c>
      <c r="AE10" s="46" t="n">
        <f aca="false">Kiosk!AE45</f>
        <v>0</v>
      </c>
      <c r="AF10" s="46" t="n">
        <f aca="false">Kiosk!AF45</f>
        <v>0</v>
      </c>
      <c r="AG10" s="46" t="n">
        <f aca="false">Kiosk!AG45</f>
        <v>0</v>
      </c>
      <c r="AH10" s="46" t="n">
        <f aca="false">Kiosk!AH45</f>
        <v>0</v>
      </c>
      <c r="AI10" s="46" t="n">
        <f aca="false">Kiosk!AI45</f>
        <v>0</v>
      </c>
      <c r="AJ10" s="46" t="n">
        <f aca="false">Kiosk!AJ45</f>
        <v>0</v>
      </c>
      <c r="AK10" s="46" t="n">
        <f aca="false">Kiosk!AK45</f>
        <v>0</v>
      </c>
      <c r="AL10" s="46" t="n">
        <f aca="false">Kiosk!AL45</f>
        <v>0</v>
      </c>
      <c r="AM10" s="46" t="n">
        <f aca="false">Kiosk!AM45</f>
        <v>0</v>
      </c>
      <c r="AN10" s="46" t="n">
        <f aca="false">SUM(D10:AM10)</f>
        <v>-34615</v>
      </c>
      <c r="AO10" s="46" t="n">
        <f aca="false">SUM(D10:O10)</f>
        <v>-34615</v>
      </c>
      <c r="AP10" s="46" t="n">
        <f aca="false">SUM(P10:AA10)</f>
        <v>0</v>
      </c>
      <c r="AQ10" s="46" t="n">
        <f aca="false">SUM(AB10:AM10)</f>
        <v>0</v>
      </c>
    </row>
    <row r="11" customFormat="false" ht="15" hidden="false" customHeight="false" outlineLevel="0" collapsed="false">
      <c r="A11" s="17" t="s">
        <v>772</v>
      </c>
      <c r="B11" s="17" t="s">
        <v>61</v>
      </c>
      <c r="D11" s="46" t="n">
        <f aca="false">'R&amp;D'!D13</f>
        <v>40650</v>
      </c>
      <c r="E11" s="46" t="n">
        <f aca="false">'R&amp;D'!E13</f>
        <v>44130</v>
      </c>
      <c r="F11" s="46" t="n">
        <f aca="false">'R&amp;D'!F13</f>
        <v>18840</v>
      </c>
      <c r="G11" s="46" t="n">
        <f aca="false">'R&amp;D'!G13</f>
        <v>3480</v>
      </c>
      <c r="H11" s="46" t="n">
        <f aca="false">'R&amp;D'!H13</f>
        <v>0</v>
      </c>
      <c r="I11" s="46" t="n">
        <f aca="false">'R&amp;D'!I13</f>
        <v>0</v>
      </c>
      <c r="J11" s="46" t="n">
        <f aca="false">'R&amp;D'!J13</f>
        <v>0</v>
      </c>
      <c r="K11" s="46" t="n">
        <f aca="false">'R&amp;D'!K13</f>
        <v>0</v>
      </c>
      <c r="L11" s="46" t="n">
        <f aca="false">'R&amp;D'!L13</f>
        <v>0</v>
      </c>
      <c r="M11" s="46" t="n">
        <f aca="false">'R&amp;D'!M13</f>
        <v>0</v>
      </c>
      <c r="N11" s="46" t="n">
        <f aca="false">'R&amp;D'!N13</f>
        <v>0</v>
      </c>
      <c r="O11" s="46" t="n">
        <f aca="false">'R&amp;D'!O13</f>
        <v>0</v>
      </c>
      <c r="P11" s="46" t="n">
        <f aca="false">'R&amp;D'!P13</f>
        <v>0</v>
      </c>
      <c r="Q11" s="46" t="n">
        <f aca="false">'R&amp;D'!Q13</f>
        <v>0</v>
      </c>
      <c r="R11" s="46" t="n">
        <f aca="false">'R&amp;D'!R13</f>
        <v>0</v>
      </c>
      <c r="S11" s="46" t="n">
        <f aca="false">'R&amp;D'!S13</f>
        <v>0</v>
      </c>
      <c r="T11" s="46" t="n">
        <f aca="false">'R&amp;D'!T13</f>
        <v>0</v>
      </c>
      <c r="U11" s="46" t="n">
        <f aca="false">'R&amp;D'!U13</f>
        <v>0</v>
      </c>
      <c r="V11" s="46" t="n">
        <f aca="false">'R&amp;D'!V13</f>
        <v>0</v>
      </c>
      <c r="W11" s="46" t="n">
        <f aca="false">'R&amp;D'!W13</f>
        <v>0</v>
      </c>
      <c r="X11" s="46" t="n">
        <f aca="false">'R&amp;D'!X13</f>
        <v>0</v>
      </c>
      <c r="Y11" s="46" t="n">
        <f aca="false">'R&amp;D'!Y13</f>
        <v>0</v>
      </c>
      <c r="Z11" s="46" t="n">
        <f aca="false">'R&amp;D'!Z13</f>
        <v>0</v>
      </c>
      <c r="AA11" s="46" t="n">
        <f aca="false">'R&amp;D'!AA13</f>
        <v>0</v>
      </c>
      <c r="AB11" s="46" t="n">
        <f aca="false">'R&amp;D'!AB13</f>
        <v>0</v>
      </c>
      <c r="AC11" s="46" t="n">
        <f aca="false">'R&amp;D'!AC13</f>
        <v>0</v>
      </c>
      <c r="AD11" s="46" t="n">
        <f aca="false">'R&amp;D'!AD13</f>
        <v>0</v>
      </c>
      <c r="AE11" s="46" t="n">
        <f aca="false">'R&amp;D'!AE13</f>
        <v>0</v>
      </c>
      <c r="AF11" s="46" t="n">
        <f aca="false">'R&amp;D'!AF13</f>
        <v>0</v>
      </c>
      <c r="AG11" s="46" t="n">
        <f aca="false">'R&amp;D'!AG13</f>
        <v>0</v>
      </c>
      <c r="AH11" s="46" t="n">
        <f aca="false">'R&amp;D'!AH13</f>
        <v>0</v>
      </c>
      <c r="AI11" s="46" t="n">
        <f aca="false">'R&amp;D'!AI13</f>
        <v>0</v>
      </c>
      <c r="AJ11" s="46" t="n">
        <f aca="false">'R&amp;D'!AJ13</f>
        <v>0</v>
      </c>
      <c r="AK11" s="46" t="n">
        <f aca="false">'R&amp;D'!AK13</f>
        <v>0</v>
      </c>
      <c r="AL11" s="46" t="n">
        <f aca="false">'R&amp;D'!AL13</f>
        <v>0</v>
      </c>
      <c r="AM11" s="46" t="n">
        <f aca="false">'R&amp;D'!AM13</f>
        <v>0</v>
      </c>
      <c r="AN11" s="46" t="n">
        <f aca="false">SUM(D11:AM11)</f>
        <v>107100</v>
      </c>
      <c r="AO11" s="46" t="n">
        <f aca="false">SUM(D11:O11)</f>
        <v>107100</v>
      </c>
      <c r="AP11" s="46" t="n">
        <f aca="false">SUM(P11:AA11)</f>
        <v>0</v>
      </c>
      <c r="AQ11" s="46" t="n">
        <f aca="false">SUM(AB11:AM11)</f>
        <v>0</v>
      </c>
    </row>
    <row r="12" customFormat="false" ht="15" hidden="false" customHeight="false" outlineLevel="0" collapsed="false">
      <c r="A12" s="17" t="s">
        <v>773</v>
      </c>
      <c r="B12" s="17" t="s">
        <v>61</v>
      </c>
      <c r="D12" s="46" t="n">
        <f aca="false">'R&amp;D'!D28</f>
        <v>18000</v>
      </c>
      <c r="E12" s="46" t="n">
        <f aca="false">'R&amp;D'!E28</f>
        <v>11250</v>
      </c>
      <c r="F12" s="46" t="n">
        <f aca="false">'R&amp;D'!F28</f>
        <v>11250</v>
      </c>
      <c r="G12" s="46" t="n">
        <f aca="false">'R&amp;D'!G28</f>
        <v>8700</v>
      </c>
      <c r="H12" s="46" t="n">
        <f aca="false">'R&amp;D'!H28</f>
        <v>8700</v>
      </c>
      <c r="I12" s="46" t="n">
        <f aca="false">'R&amp;D'!I28</f>
        <v>0</v>
      </c>
      <c r="J12" s="46" t="n">
        <f aca="false">'R&amp;D'!J28</f>
        <v>0</v>
      </c>
      <c r="K12" s="46" t="n">
        <f aca="false">'R&amp;D'!K28</f>
        <v>0</v>
      </c>
      <c r="L12" s="46" t="n">
        <f aca="false">'R&amp;D'!L28</f>
        <v>5700</v>
      </c>
      <c r="M12" s="46" t="n">
        <f aca="false">'R&amp;D'!M28</f>
        <v>5700</v>
      </c>
      <c r="N12" s="46" t="n">
        <f aca="false">'R&amp;D'!N28</f>
        <v>0</v>
      </c>
      <c r="O12" s="46" t="n">
        <f aca="false">'R&amp;D'!O28</f>
        <v>4800</v>
      </c>
      <c r="P12" s="46" t="n">
        <f aca="false">'R&amp;D'!P28</f>
        <v>4800</v>
      </c>
      <c r="Q12" s="46" t="n">
        <f aca="false">'R&amp;D'!Q28</f>
        <v>4800</v>
      </c>
      <c r="R12" s="46" t="n">
        <f aca="false">'R&amp;D'!R28</f>
        <v>0</v>
      </c>
      <c r="S12" s="46" t="n">
        <f aca="false">'R&amp;D'!S28</f>
        <v>0</v>
      </c>
      <c r="T12" s="46" t="n">
        <f aca="false">'R&amp;D'!T28</f>
        <v>0</v>
      </c>
      <c r="U12" s="46" t="n">
        <f aca="false">'R&amp;D'!U28</f>
        <v>0</v>
      </c>
      <c r="V12" s="46" t="n">
        <f aca="false">'R&amp;D'!V28</f>
        <v>0</v>
      </c>
      <c r="W12" s="46" t="n">
        <f aca="false">'R&amp;D'!W28</f>
        <v>0</v>
      </c>
      <c r="X12" s="46" t="n">
        <f aca="false">'R&amp;D'!X28</f>
        <v>0</v>
      </c>
      <c r="Y12" s="46" t="n">
        <f aca="false">'R&amp;D'!Y28</f>
        <v>0</v>
      </c>
      <c r="Z12" s="46" t="n">
        <f aca="false">'R&amp;D'!Z28</f>
        <v>0</v>
      </c>
      <c r="AA12" s="46" t="n">
        <f aca="false">'R&amp;D'!AA28</f>
        <v>0</v>
      </c>
      <c r="AB12" s="46" t="n">
        <f aca="false">'R&amp;D'!AB28</f>
        <v>0</v>
      </c>
      <c r="AC12" s="46" t="n">
        <f aca="false">'R&amp;D'!AC28</f>
        <v>0</v>
      </c>
      <c r="AD12" s="46" t="n">
        <f aca="false">'R&amp;D'!AD28</f>
        <v>0</v>
      </c>
      <c r="AE12" s="46" t="n">
        <f aca="false">'R&amp;D'!AE28</f>
        <v>0</v>
      </c>
      <c r="AF12" s="46" t="n">
        <f aca="false">'R&amp;D'!AF28</f>
        <v>0</v>
      </c>
      <c r="AG12" s="46" t="n">
        <f aca="false">'R&amp;D'!AG28</f>
        <v>0</v>
      </c>
      <c r="AH12" s="46" t="n">
        <f aca="false">'R&amp;D'!AH28</f>
        <v>0</v>
      </c>
      <c r="AI12" s="46" t="n">
        <f aca="false">'R&amp;D'!AI28</f>
        <v>0</v>
      </c>
      <c r="AJ12" s="46" t="n">
        <f aca="false">'R&amp;D'!AJ28</f>
        <v>0</v>
      </c>
      <c r="AK12" s="46" t="n">
        <f aca="false">'R&amp;D'!AK28</f>
        <v>0</v>
      </c>
      <c r="AL12" s="46" t="n">
        <f aca="false">'R&amp;D'!AL28</f>
        <v>0</v>
      </c>
      <c r="AM12" s="46" t="n">
        <f aca="false">'R&amp;D'!AM28</f>
        <v>0</v>
      </c>
      <c r="AN12" s="46" t="n">
        <f aca="false">SUM(D12:AM12)</f>
        <v>83700</v>
      </c>
      <c r="AO12" s="46" t="n">
        <f aca="false">SUM(D12:O12)</f>
        <v>74100</v>
      </c>
      <c r="AP12" s="46" t="n">
        <f aca="false">SUM(P12:AA12)</f>
        <v>9600</v>
      </c>
      <c r="AQ12" s="46" t="n">
        <f aca="false">SUM(AB12:AM12)</f>
        <v>0</v>
      </c>
    </row>
    <row r="13" customFormat="false" ht="15" hidden="false" customHeight="false" outlineLevel="0" collapsed="false">
      <c r="A13" s="17" t="s">
        <v>774</v>
      </c>
      <c r="B13" s="17" t="s">
        <v>61</v>
      </c>
      <c r="D13" s="46" t="n">
        <f aca="false">'R&amp;D'!D45</f>
        <v>0</v>
      </c>
      <c r="E13" s="46" t="n">
        <f aca="false">'R&amp;D'!E45</f>
        <v>0</v>
      </c>
      <c r="F13" s="46" t="n">
        <f aca="false">'R&amp;D'!F45</f>
        <v>0</v>
      </c>
      <c r="G13" s="46" t="n">
        <f aca="false">'R&amp;D'!G45</f>
        <v>0</v>
      </c>
      <c r="H13" s="46" t="n">
        <f aca="false">'R&amp;D'!H45</f>
        <v>0</v>
      </c>
      <c r="I13" s="46" t="n">
        <f aca="false">'R&amp;D'!I45</f>
        <v>0</v>
      </c>
      <c r="J13" s="46" t="n">
        <f aca="false">'R&amp;D'!J45</f>
        <v>11538.3333333333</v>
      </c>
      <c r="K13" s="46" t="n">
        <f aca="false">'R&amp;D'!K45</f>
        <v>11538.3333333333</v>
      </c>
      <c r="L13" s="46" t="n">
        <f aca="false">'R&amp;D'!L45</f>
        <v>11538.3333333333</v>
      </c>
      <c r="M13" s="46" t="n">
        <f aca="false">'R&amp;D'!M45</f>
        <v>0</v>
      </c>
      <c r="N13" s="46" t="n">
        <f aca="false">'R&amp;D'!N45</f>
        <v>0</v>
      </c>
      <c r="O13" s="46" t="n">
        <f aca="false">'R&amp;D'!O45</f>
        <v>0</v>
      </c>
      <c r="P13" s="46" t="n">
        <f aca="false">'R&amp;D'!P45</f>
        <v>0</v>
      </c>
      <c r="Q13" s="46" t="n">
        <f aca="false">'R&amp;D'!Q45</f>
        <v>0</v>
      </c>
      <c r="R13" s="46" t="n">
        <f aca="false">'R&amp;D'!R45</f>
        <v>0</v>
      </c>
      <c r="S13" s="46" t="n">
        <f aca="false">'R&amp;D'!S45</f>
        <v>0</v>
      </c>
      <c r="T13" s="46" t="n">
        <f aca="false">'R&amp;D'!T45</f>
        <v>0</v>
      </c>
      <c r="U13" s="46" t="n">
        <f aca="false">'R&amp;D'!U45</f>
        <v>0</v>
      </c>
      <c r="V13" s="46" t="n">
        <f aca="false">'R&amp;D'!V45</f>
        <v>0</v>
      </c>
      <c r="W13" s="46" t="n">
        <f aca="false">'R&amp;D'!W45</f>
        <v>0</v>
      </c>
      <c r="X13" s="46" t="n">
        <f aca="false">'R&amp;D'!X45</f>
        <v>0</v>
      </c>
      <c r="Y13" s="46" t="n">
        <f aca="false">'R&amp;D'!Y45</f>
        <v>0</v>
      </c>
      <c r="Z13" s="46" t="n">
        <f aca="false">'R&amp;D'!Z45</f>
        <v>0</v>
      </c>
      <c r="AA13" s="46" t="n">
        <f aca="false">'R&amp;D'!AA45</f>
        <v>0</v>
      </c>
      <c r="AB13" s="46" t="n">
        <f aca="false">'R&amp;D'!AB45</f>
        <v>0</v>
      </c>
      <c r="AC13" s="46" t="n">
        <f aca="false">'R&amp;D'!AC45</f>
        <v>0</v>
      </c>
      <c r="AD13" s="46" t="n">
        <f aca="false">'R&amp;D'!AD45</f>
        <v>0</v>
      </c>
      <c r="AE13" s="46" t="n">
        <f aca="false">'R&amp;D'!AE45</f>
        <v>0</v>
      </c>
      <c r="AF13" s="46" t="n">
        <f aca="false">'R&amp;D'!AF45</f>
        <v>0</v>
      </c>
      <c r="AG13" s="46" t="n">
        <f aca="false">'R&amp;D'!AG45</f>
        <v>0</v>
      </c>
      <c r="AH13" s="46" t="n">
        <f aca="false">'R&amp;D'!AH45</f>
        <v>0</v>
      </c>
      <c r="AI13" s="46" t="n">
        <f aca="false">'R&amp;D'!AI45</f>
        <v>0</v>
      </c>
      <c r="AJ13" s="46" t="n">
        <f aca="false">'R&amp;D'!AJ45</f>
        <v>0</v>
      </c>
      <c r="AK13" s="46" t="n">
        <f aca="false">'R&amp;D'!AK45</f>
        <v>0</v>
      </c>
      <c r="AL13" s="46" t="n">
        <f aca="false">'R&amp;D'!AL45</f>
        <v>0</v>
      </c>
      <c r="AM13" s="46" t="n">
        <f aca="false">'R&amp;D'!AM45</f>
        <v>0</v>
      </c>
      <c r="AN13" s="46" t="n">
        <f aca="false">SUM(D13:AM13)</f>
        <v>34615</v>
      </c>
      <c r="AO13" s="46" t="n">
        <f aca="false">SUM(D13:O13)</f>
        <v>34615</v>
      </c>
      <c r="AP13" s="46" t="n">
        <f aca="false">SUM(P13:AA13)</f>
        <v>0</v>
      </c>
      <c r="AQ13" s="46" t="n">
        <f aca="false">SUM(AB13:AM13)</f>
        <v>0</v>
      </c>
    </row>
    <row r="14" customFormat="false" ht="15" hidden="false" customHeight="false" outlineLevel="0" collapsed="false">
      <c r="A14" s="23" t="s">
        <v>775</v>
      </c>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4"/>
      <c r="AJ14" s="24"/>
      <c r="AK14" s="24"/>
      <c r="AL14" s="24"/>
      <c r="AM14" s="24"/>
      <c r="AN14" s="24"/>
      <c r="AO14" s="24"/>
      <c r="AP14" s="24"/>
      <c r="AQ14" s="24"/>
    </row>
    <row r="15" customFormat="false" ht="15" hidden="false" customHeight="false" outlineLevel="0" collapsed="false">
      <c r="A15" s="17" t="s">
        <v>776</v>
      </c>
      <c r="B15" s="17" t="s">
        <v>61</v>
      </c>
      <c r="D15" s="46" t="n">
        <f aca="false">D7+0*D8+0*D9</f>
        <v>-62740.9101761515</v>
      </c>
      <c r="E15" s="46" t="n">
        <f aca="false">E7+0*E8+0*E9</f>
        <v>-54192.5602021942</v>
      </c>
      <c r="F15" s="46" t="n">
        <f aca="false">F7+0*F8+0*F9</f>
        <v>-24287.9909116936</v>
      </c>
      <c r="G15" s="46" t="n">
        <f aca="false">G7+0*G8+0*G9</f>
        <v>-12698.506862611</v>
      </c>
      <c r="H15" s="46" t="n">
        <f aca="false">H7+0*H8+0*H9</f>
        <v>-5564.12502209614</v>
      </c>
      <c r="I15" s="46" t="n">
        <f aca="false">I7+0*I8+0*I9</f>
        <v>-5569.57017744458</v>
      </c>
      <c r="J15" s="46" t="n">
        <f aca="false">J7+0*J8+0*J9</f>
        <v>-5989.71969100837</v>
      </c>
      <c r="K15" s="46" t="n">
        <f aca="false">K7+0*K8+0*K9</f>
        <v>-5595.75543913615</v>
      </c>
      <c r="L15" s="46" t="n">
        <f aca="false">L7+0*L8+0*L9</f>
        <v>-5332.52144065615</v>
      </c>
      <c r="M15" s="46" t="n">
        <f aca="false">M7+0*M8+0*M9</f>
        <v>-5313.15662326534</v>
      </c>
      <c r="N15" s="46" t="n">
        <f aca="false">N7+0*N8+0*N9</f>
        <v>-5276.28104292958</v>
      </c>
      <c r="O15" s="46" t="n">
        <f aca="false">O7+0*O8+0*O9</f>
        <v>-5222.66066050349</v>
      </c>
      <c r="P15" s="46" t="n">
        <f aca="false">P7+0*P8+0*P9</f>
        <v>-5397.14829682327</v>
      </c>
      <c r="Q15" s="46" t="n">
        <f aca="false">Q7+0*Q8+0*Q9</f>
        <v>-5864.37213350708</v>
      </c>
      <c r="R15" s="46" t="n">
        <f aca="false">R7+0*R8+0*R9</f>
        <v>-4963.28261382542</v>
      </c>
      <c r="S15" s="46" t="n">
        <f aca="false">S7+0*S8+0*S9</f>
        <v>-4922.77907575852</v>
      </c>
      <c r="T15" s="46" t="n">
        <f aca="false">T7+0*T8+0*T9</f>
        <v>-4876.92606849005</v>
      </c>
      <c r="U15" s="46" t="n">
        <f aca="false">U7+0*U8+0*U9</f>
        <v>-4814.48764553072</v>
      </c>
      <c r="V15" s="46" t="n">
        <f aca="false">V7+0*V8+0*V9</f>
        <v>-4483.5741780684</v>
      </c>
      <c r="W15" s="46" t="n">
        <f aca="false">W7+0*W8+0*W9</f>
        <v>-4585.29496010681</v>
      </c>
      <c r="X15" s="46" t="n">
        <f aca="false">X7+0*X8+0*X9</f>
        <v>-4590.3845535809</v>
      </c>
      <c r="Y15" s="46" t="n">
        <f aca="false">Y7+0*Y8+0*Y9</f>
        <v>-4505.61863303539</v>
      </c>
      <c r="Z15" s="46" t="n">
        <f aca="false">Z7+0*Z8+0*Z9</f>
        <v>-4402.02150029388</v>
      </c>
      <c r="AA15" s="46" t="n">
        <f aca="false">AA7+0*AA8+0*AA9</f>
        <v>-4281.36320354265</v>
      </c>
      <c r="AB15" s="46" t="n">
        <f aca="false">AB7+0*AB8+0*AB9</f>
        <v>-3828.84934518642</v>
      </c>
      <c r="AC15" s="46" t="n">
        <f aca="false">AC7+0*AC8+0*AC9</f>
        <v>-3367.29127783804</v>
      </c>
      <c r="AD15" s="46" t="n">
        <f aca="false">AD7+0*AD8+0*AD9</f>
        <v>-4182.6611661101</v>
      </c>
      <c r="AE15" s="46" t="n">
        <f aca="false">AE7+0*AE8+0*AE9</f>
        <v>-3347.05182805415</v>
      </c>
      <c r="AF15" s="46" t="n">
        <f aca="false">AF7+0*AF8+0*AF9</f>
        <v>-3908.48599422749</v>
      </c>
      <c r="AG15" s="46" t="n">
        <f aca="false">AG7+0*AG8+0*AG9</f>
        <v>-3786.54806667532</v>
      </c>
      <c r="AH15" s="46" t="n">
        <f aca="false">AH7+0*AH8+0*AH9</f>
        <v>-2758.93032195702</v>
      </c>
      <c r="AI15" s="46" t="n">
        <f aca="false">AI7+0*AI8+0*AI9</f>
        <v>-3336.11819169362</v>
      </c>
      <c r="AJ15" s="46" t="n">
        <f aca="false">AJ7+0*AJ8+0*AJ9</f>
        <v>-3602.94438176605</v>
      </c>
      <c r="AK15" s="46" t="n">
        <f aca="false">AK7+0*AK8+0*AK9</f>
        <v>-3459.49709523783</v>
      </c>
      <c r="AL15" s="46" t="n">
        <f aca="false">AL7+0*AL8+0*AL9</f>
        <v>-3296.28845914998</v>
      </c>
      <c r="AM15" s="46" t="n">
        <f aca="false">AM7+0*AM8+0*AM9</f>
        <v>-3115.97592293962</v>
      </c>
      <c r="AN15" s="46" t="n">
        <f aca="false">SUM(D15:AM15)</f>
        <v>-297461.653163089</v>
      </c>
      <c r="AO15" s="46" t="n">
        <f aca="false">SUM(D15:O15)</f>
        <v>-197783.75824969</v>
      </c>
      <c r="AP15" s="46" t="n">
        <f aca="false">SUM(P15:AA15)</f>
        <v>-57687.2528625631</v>
      </c>
      <c r="AQ15" s="46" t="n">
        <f aca="false">SUM(AB15:AM15)</f>
        <v>-41990.6420508356</v>
      </c>
    </row>
    <row r="16" customFormat="false" ht="15" hidden="false" customHeight="false" outlineLevel="0" collapsed="false">
      <c r="A16" s="17" t="s">
        <v>777</v>
      </c>
      <c r="B16" s="17" t="s">
        <v>61</v>
      </c>
      <c r="D16" s="46" t="n">
        <f aca="false">D7+0*D8+0*D10</f>
        <v>-62740.9101761515</v>
      </c>
      <c r="E16" s="46" t="n">
        <f aca="false">E7+0*E8+0*E10</f>
        <v>-54192.5602021942</v>
      </c>
      <c r="F16" s="46" t="n">
        <f aca="false">F7+0*F8+0*F10</f>
        <v>-24287.9909116936</v>
      </c>
      <c r="G16" s="46" t="n">
        <f aca="false">G7+0*G8+0*G10</f>
        <v>-12698.506862611</v>
      </c>
      <c r="H16" s="46" t="n">
        <f aca="false">H7+0*H8+0*H10</f>
        <v>-5564.12502209614</v>
      </c>
      <c r="I16" s="46" t="n">
        <f aca="false">I7+0*I8+0*I10</f>
        <v>-5569.57017744458</v>
      </c>
      <c r="J16" s="46" t="n">
        <f aca="false">J7+0*J8+0*J10</f>
        <v>-5989.71969100837</v>
      </c>
      <c r="K16" s="46" t="n">
        <f aca="false">K7+0*K8+0*K10</f>
        <v>-5595.75543913615</v>
      </c>
      <c r="L16" s="46" t="n">
        <f aca="false">L7+0*L8+0*L10</f>
        <v>-5332.52144065615</v>
      </c>
      <c r="M16" s="46" t="n">
        <f aca="false">M7+0*M8+0*M10</f>
        <v>-5313.15662326534</v>
      </c>
      <c r="N16" s="46" t="n">
        <f aca="false">N7+0*N8+0*N10</f>
        <v>-5276.28104292958</v>
      </c>
      <c r="O16" s="46" t="n">
        <f aca="false">O7+0*O8+0*O10</f>
        <v>-5222.66066050349</v>
      </c>
      <c r="P16" s="46" t="n">
        <f aca="false">P7+0*P8+0*P10</f>
        <v>-5397.14829682327</v>
      </c>
      <c r="Q16" s="46" t="n">
        <f aca="false">Q7+0*Q8+0*Q10</f>
        <v>-5864.37213350708</v>
      </c>
      <c r="R16" s="46" t="n">
        <f aca="false">R7+0*R8+0*R10</f>
        <v>-4963.28261382542</v>
      </c>
      <c r="S16" s="46" t="n">
        <f aca="false">S7+0*S8+0*S10</f>
        <v>-4922.77907575852</v>
      </c>
      <c r="T16" s="46" t="n">
        <f aca="false">T7+0*T8+0*T10</f>
        <v>-4876.92606849005</v>
      </c>
      <c r="U16" s="46" t="n">
        <f aca="false">U7+0*U8+0*U10</f>
        <v>-4814.48764553072</v>
      </c>
      <c r="V16" s="46" t="n">
        <f aca="false">V7+0*V8+0*V10</f>
        <v>-4483.5741780684</v>
      </c>
      <c r="W16" s="46" t="n">
        <f aca="false">W7+0*W8+0*W10</f>
        <v>-4585.29496010681</v>
      </c>
      <c r="X16" s="46" t="n">
        <f aca="false">X7+0*X8+0*X10</f>
        <v>-4590.3845535809</v>
      </c>
      <c r="Y16" s="46" t="n">
        <f aca="false">Y7+0*Y8+0*Y10</f>
        <v>-4505.61863303539</v>
      </c>
      <c r="Z16" s="46" t="n">
        <f aca="false">Z7+0*Z8+0*Z10</f>
        <v>-4402.02150029388</v>
      </c>
      <c r="AA16" s="46" t="n">
        <f aca="false">AA7+0*AA8+0*AA10</f>
        <v>-4281.36320354265</v>
      </c>
      <c r="AB16" s="46" t="n">
        <f aca="false">AB7+0*AB8+0*AB10</f>
        <v>-3828.84934518642</v>
      </c>
      <c r="AC16" s="46" t="n">
        <f aca="false">AC7+0*AC8+0*AC10</f>
        <v>-3367.29127783804</v>
      </c>
      <c r="AD16" s="46" t="n">
        <f aca="false">AD7+0*AD8+0*AD10</f>
        <v>-4182.6611661101</v>
      </c>
      <c r="AE16" s="46" t="n">
        <f aca="false">AE7+0*AE8+0*AE10</f>
        <v>-3347.05182805415</v>
      </c>
      <c r="AF16" s="46" t="n">
        <f aca="false">AF7+0*AF8+0*AF10</f>
        <v>-3908.48599422749</v>
      </c>
      <c r="AG16" s="46" t="n">
        <f aca="false">AG7+0*AG8+0*AG10</f>
        <v>-3786.54806667532</v>
      </c>
      <c r="AH16" s="46" t="n">
        <f aca="false">AH7+0*AH8+0*AH10</f>
        <v>-2758.93032195702</v>
      </c>
      <c r="AI16" s="46" t="n">
        <f aca="false">AI7+0*AI8+0*AI10</f>
        <v>-3336.11819169362</v>
      </c>
      <c r="AJ16" s="46" t="n">
        <f aca="false">AJ7+0*AJ8+0*AJ10</f>
        <v>-3602.94438176605</v>
      </c>
      <c r="AK16" s="46" t="n">
        <f aca="false">AK7+0*AK8+0*AK10</f>
        <v>-3459.49709523783</v>
      </c>
      <c r="AL16" s="46" t="n">
        <f aca="false">AL7+0*AL8+0*AL10</f>
        <v>-3296.28845914998</v>
      </c>
      <c r="AM16" s="46" t="n">
        <f aca="false">AM7+0*AM8+0*AM10</f>
        <v>-3115.97592293962</v>
      </c>
      <c r="AN16" s="46" t="n">
        <f aca="false">SUM(D16:AM16)</f>
        <v>-297461.653163089</v>
      </c>
      <c r="AO16" s="46" t="n">
        <f aca="false">SUM(D16:O16)</f>
        <v>-197783.75824969</v>
      </c>
      <c r="AP16" s="46" t="n">
        <f aca="false">SUM(P16:AA16)</f>
        <v>-57687.2528625631</v>
      </c>
      <c r="AQ16" s="46" t="n">
        <f aca="false">SUM(AB16:AM16)</f>
        <v>-41990.6420508356</v>
      </c>
    </row>
    <row r="17" customFormat="false" ht="15" hidden="false" customHeight="false" outlineLevel="0" collapsed="false">
      <c r="A17" s="3" t="s">
        <v>778</v>
      </c>
      <c r="B17" s="17" t="s">
        <v>61</v>
      </c>
      <c r="C17" s="46" t="n">
        <f aca="false">Inputs!$B$8</f>
        <v>30000</v>
      </c>
      <c r="D17" s="8" t="n">
        <f aca="false">C17+D16</f>
        <v>-32740.9101761515</v>
      </c>
      <c r="E17" s="8" t="n">
        <f aca="false">D17+E16</f>
        <v>-86933.4703783457</v>
      </c>
      <c r="F17" s="8" t="n">
        <f aca="false">E17+F16</f>
        <v>-111221.461290039</v>
      </c>
      <c r="G17" s="8" t="n">
        <f aca="false">F17+G16</f>
        <v>-123919.96815265</v>
      </c>
      <c r="H17" s="8" t="n">
        <f aca="false">G17+H16</f>
        <v>-129484.093174746</v>
      </c>
      <c r="I17" s="8" t="n">
        <f aca="false">H17+I16</f>
        <v>-135053.663352191</v>
      </c>
      <c r="J17" s="8" t="n">
        <f aca="false">I17+J16</f>
        <v>-141043.383043199</v>
      </c>
      <c r="K17" s="8" t="n">
        <f aca="false">J17+K16</f>
        <v>-146639.138482336</v>
      </c>
      <c r="L17" s="8" t="n">
        <f aca="false">K17+L16</f>
        <v>-151971.659922992</v>
      </c>
      <c r="M17" s="8" t="n">
        <f aca="false">L17+M16</f>
        <v>-157284.816546257</v>
      </c>
      <c r="N17" s="8" t="n">
        <f aca="false">M17+N16</f>
        <v>-162561.097589187</v>
      </c>
      <c r="O17" s="8" t="n">
        <f aca="false">N17+O16</f>
        <v>-167783.75824969</v>
      </c>
      <c r="P17" s="8" t="n">
        <f aca="false">O17+P16</f>
        <v>-173180.906546513</v>
      </c>
      <c r="Q17" s="8" t="n">
        <f aca="false">P17+Q16</f>
        <v>-179045.27868002</v>
      </c>
      <c r="R17" s="8" t="n">
        <f aca="false">Q17+R16</f>
        <v>-184008.561293846</v>
      </c>
      <c r="S17" s="8" t="n">
        <f aca="false">R17+S16</f>
        <v>-188931.340369604</v>
      </c>
      <c r="T17" s="8" t="n">
        <f aca="false">S17+T16</f>
        <v>-193808.266438094</v>
      </c>
      <c r="U17" s="8" t="n">
        <f aca="false">T17+U16</f>
        <v>-198622.754083625</v>
      </c>
      <c r="V17" s="8" t="n">
        <f aca="false">U17+V16</f>
        <v>-203106.328261694</v>
      </c>
      <c r="W17" s="8" t="n">
        <f aca="false">V17+W16</f>
        <v>-207691.6232218</v>
      </c>
      <c r="X17" s="8" t="n">
        <f aca="false">W17+X16</f>
        <v>-212282.007775381</v>
      </c>
      <c r="Y17" s="8" t="n">
        <f aca="false">X17+Y16</f>
        <v>-216787.626408417</v>
      </c>
      <c r="Z17" s="8" t="n">
        <f aca="false">Y17+Z16</f>
        <v>-221189.647908711</v>
      </c>
      <c r="AA17" s="8" t="n">
        <f aca="false">Z17+AA16</f>
        <v>-225471.011112253</v>
      </c>
      <c r="AB17" s="8" t="n">
        <f aca="false">AA17+AB16</f>
        <v>-229299.86045744</v>
      </c>
      <c r="AC17" s="8" t="n">
        <f aca="false">AB17+AC16</f>
        <v>-232667.151735278</v>
      </c>
      <c r="AD17" s="8" t="n">
        <f aca="false">AC17+AD16</f>
        <v>-236849.812901388</v>
      </c>
      <c r="AE17" s="8" t="n">
        <f aca="false">AD17+AE16</f>
        <v>-240196.864729442</v>
      </c>
      <c r="AF17" s="8" t="n">
        <f aca="false">AE17+AF16</f>
        <v>-244105.350723669</v>
      </c>
      <c r="AG17" s="8" t="n">
        <f aca="false">AF17+AG16</f>
        <v>-247891.898790345</v>
      </c>
      <c r="AH17" s="8" t="n">
        <f aca="false">AG17+AH16</f>
        <v>-250650.829112302</v>
      </c>
      <c r="AI17" s="8" t="n">
        <f aca="false">AH17+AI16</f>
        <v>-253986.947303995</v>
      </c>
      <c r="AJ17" s="8" t="n">
        <f aca="false">AI17+AJ16</f>
        <v>-257589.891685761</v>
      </c>
      <c r="AK17" s="8" t="n">
        <f aca="false">AJ17+AK16</f>
        <v>-261049.388780999</v>
      </c>
      <c r="AL17" s="8" t="n">
        <f aca="false">AK17+AL16</f>
        <v>-264345.677240149</v>
      </c>
      <c r="AM17" s="8" t="n">
        <f aca="false">AL17+AM16</f>
        <v>-267461.653163089</v>
      </c>
    </row>
    <row r="18" customFormat="false" ht="15" hidden="false" customHeight="false" outlineLevel="0" collapsed="false">
      <c r="A18" s="17" t="s">
        <v>779</v>
      </c>
      <c r="B18" s="17" t="s">
        <v>61</v>
      </c>
      <c r="D18" s="46" t="n">
        <f aca="false">D11+0*D12+0*D13</f>
        <v>40650</v>
      </c>
      <c r="E18" s="46" t="n">
        <f aca="false">E11+0*E12+0*E13</f>
        <v>44130</v>
      </c>
      <c r="F18" s="46" t="n">
        <f aca="false">F11+0*F12+0*F13</f>
        <v>18840</v>
      </c>
      <c r="G18" s="46" t="n">
        <f aca="false">G11+0*G12+0*G13</f>
        <v>3480</v>
      </c>
      <c r="H18" s="46" t="n">
        <f aca="false">H11+0*H12+0*H13</f>
        <v>0</v>
      </c>
      <c r="I18" s="46" t="n">
        <f aca="false">I11+0*I12+0*I13</f>
        <v>0</v>
      </c>
      <c r="J18" s="46" t="n">
        <f aca="false">J11+0*J12+0*J13</f>
        <v>0</v>
      </c>
      <c r="K18" s="46" t="n">
        <f aca="false">K11+0*K12+0*K13</f>
        <v>0</v>
      </c>
      <c r="L18" s="46" t="n">
        <f aca="false">L11+0*L12+0*L13</f>
        <v>0</v>
      </c>
      <c r="M18" s="46" t="n">
        <f aca="false">M11+0*M12+0*M13</f>
        <v>0</v>
      </c>
      <c r="N18" s="46" t="n">
        <f aca="false">N11+0*N12+0*N13</f>
        <v>0</v>
      </c>
      <c r="O18" s="46" t="n">
        <f aca="false">O11+0*O12+0*O13</f>
        <v>0</v>
      </c>
      <c r="P18" s="46" t="n">
        <f aca="false">P11+0*P12+0*P13</f>
        <v>0</v>
      </c>
      <c r="Q18" s="46" t="n">
        <f aca="false">Q11+0*Q12+0*Q13</f>
        <v>0</v>
      </c>
      <c r="R18" s="46" t="n">
        <f aca="false">R11+0*R12+0*R13</f>
        <v>0</v>
      </c>
      <c r="S18" s="46" t="n">
        <f aca="false">S11+0*S12+0*S13</f>
        <v>0</v>
      </c>
      <c r="T18" s="46" t="n">
        <f aca="false">T11+0*T12+0*T13</f>
        <v>0</v>
      </c>
      <c r="U18" s="46" t="n">
        <f aca="false">U11+0*U12+0*U13</f>
        <v>0</v>
      </c>
      <c r="V18" s="46" t="n">
        <f aca="false">V11+0*V12+0*V13</f>
        <v>0</v>
      </c>
      <c r="W18" s="46" t="n">
        <f aca="false">W11+0*W12+0*W13</f>
        <v>0</v>
      </c>
      <c r="X18" s="46" t="n">
        <f aca="false">X11+0*X12+0*X13</f>
        <v>0</v>
      </c>
      <c r="Y18" s="46" t="n">
        <f aca="false">Y11+0*Y12+0*Y13</f>
        <v>0</v>
      </c>
      <c r="Z18" s="46" t="n">
        <f aca="false">Z11+0*Z12+0*Z13</f>
        <v>0</v>
      </c>
      <c r="AA18" s="46" t="n">
        <f aca="false">AA11+0*AA12+0*AA13</f>
        <v>0</v>
      </c>
      <c r="AB18" s="46" t="n">
        <f aca="false">AB11+0*AB12+0*AB13</f>
        <v>0</v>
      </c>
      <c r="AC18" s="46" t="n">
        <f aca="false">AC11+0*AC12+0*AC13</f>
        <v>0</v>
      </c>
      <c r="AD18" s="46" t="n">
        <f aca="false">AD11+0*AD12+0*AD13</f>
        <v>0</v>
      </c>
      <c r="AE18" s="46" t="n">
        <f aca="false">AE11+0*AE12+0*AE13</f>
        <v>0</v>
      </c>
      <c r="AF18" s="46" t="n">
        <f aca="false">AF11+0*AF12+0*AF13</f>
        <v>0</v>
      </c>
      <c r="AG18" s="46" t="n">
        <f aca="false">AG11+0*AG12+0*AG13</f>
        <v>0</v>
      </c>
      <c r="AH18" s="46" t="n">
        <f aca="false">AH11+0*AH12+0*AH13</f>
        <v>0</v>
      </c>
      <c r="AI18" s="46" t="n">
        <f aca="false">AI11+0*AI12+0*AI13</f>
        <v>0</v>
      </c>
      <c r="AJ18" s="46" t="n">
        <f aca="false">AJ11+0*AJ12+0*AJ13</f>
        <v>0</v>
      </c>
      <c r="AK18" s="46" t="n">
        <f aca="false">AK11+0*AK12+0*AK13</f>
        <v>0</v>
      </c>
      <c r="AL18" s="46" t="n">
        <f aca="false">AL11+0*AL12+0*AL13</f>
        <v>0</v>
      </c>
      <c r="AM18" s="46" t="n">
        <f aca="false">AM11+0*AM12+0*AM13</f>
        <v>0</v>
      </c>
      <c r="AN18" s="46" t="n">
        <f aca="false">SUM(D18:AM18)</f>
        <v>107100</v>
      </c>
      <c r="AO18" s="46" t="n">
        <f aca="false">SUM(D18:O18)</f>
        <v>107100</v>
      </c>
      <c r="AP18" s="46" t="n">
        <f aca="false">SUM(P18:AA18)</f>
        <v>0</v>
      </c>
      <c r="AQ18" s="46" t="n">
        <f aca="false">SUM(AB18:AM18)</f>
        <v>0</v>
      </c>
    </row>
    <row r="19" customFormat="false" ht="15" hidden="false" customHeight="false" outlineLevel="0" collapsed="false">
      <c r="A19" s="17" t="s">
        <v>780</v>
      </c>
      <c r="B19" s="17" t="s">
        <v>61</v>
      </c>
      <c r="D19" s="46" t="n">
        <f aca="false">SUM(D15)</f>
        <v>-62740.9101761515</v>
      </c>
      <c r="E19" s="46" t="n">
        <f aca="false">SUM(D15:E15)</f>
        <v>-116933.470378346</v>
      </c>
      <c r="F19" s="46" t="n">
        <f aca="false">SUM(D15:F15)</f>
        <v>-141221.461290039</v>
      </c>
      <c r="G19" s="46" t="n">
        <f aca="false">SUM(E15:G15)</f>
        <v>-91179.0579764989</v>
      </c>
      <c r="H19" s="46" t="n">
        <f aca="false">SUM(F15:H15)</f>
        <v>-42550.6227964008</v>
      </c>
      <c r="I19" s="46" t="n">
        <f aca="false">SUM(G15:I15)</f>
        <v>-23832.2020621518</v>
      </c>
      <c r="J19" s="46" t="n">
        <f aca="false">SUM(H15:J15)</f>
        <v>-17123.4148905491</v>
      </c>
      <c r="K19" s="46" t="n">
        <f aca="false">SUM(I15:K15)</f>
        <v>-17155.0453075891</v>
      </c>
      <c r="L19" s="46" t="n">
        <f aca="false">SUM(J15:L15)</f>
        <v>-16917.9965708007</v>
      </c>
      <c r="M19" s="46" t="n">
        <f aca="false">SUM(K15:M15)</f>
        <v>-16241.4335030576</v>
      </c>
      <c r="N19" s="46" t="n">
        <f aca="false">SUM(L15:N15)</f>
        <v>-15921.9591068511</v>
      </c>
      <c r="O19" s="46" t="n">
        <f aca="false">SUM(M15:O15)</f>
        <v>-15812.0983266984</v>
      </c>
      <c r="P19" s="46" t="n">
        <f aca="false">SUM(N15:P15)</f>
        <v>-15896.0900002563</v>
      </c>
      <c r="Q19" s="46" t="n">
        <f aca="false">SUM(O15:Q15)</f>
        <v>-16484.1810908338</v>
      </c>
      <c r="R19" s="46" t="n">
        <f aca="false">SUM(P15:R15)</f>
        <v>-16224.8030441558</v>
      </c>
      <c r="S19" s="46" t="n">
        <f aca="false">SUM(Q15:S15)</f>
        <v>-15750.433823091</v>
      </c>
      <c r="T19" s="46" t="n">
        <f aca="false">SUM(R15:T15)</f>
        <v>-14762.987758074</v>
      </c>
      <c r="U19" s="46" t="n">
        <f aca="false">SUM(S15:U15)</f>
        <v>-14614.1927897793</v>
      </c>
      <c r="V19" s="46" t="n">
        <f aca="false">SUM(T15:V15)</f>
        <v>-14174.9878920892</v>
      </c>
      <c r="W19" s="46" t="n">
        <f aca="false">SUM(U15:W15)</f>
        <v>-13883.3567837059</v>
      </c>
      <c r="X19" s="46" t="n">
        <f aca="false">SUM(V15:X15)</f>
        <v>-13659.2536917561</v>
      </c>
      <c r="Y19" s="46" t="n">
        <f aca="false">SUM(W15:Y15)</f>
        <v>-13681.2981467231</v>
      </c>
      <c r="Z19" s="46" t="n">
        <f aca="false">SUM(X15:Z15)</f>
        <v>-13498.0246869102</v>
      </c>
      <c r="AA19" s="46" t="n">
        <f aca="false">SUM(Y15:AA15)</f>
        <v>-13189.0033368719</v>
      </c>
      <c r="AB19" s="46" t="n">
        <f aca="false">SUM(Z15:AB15)</f>
        <v>-12512.234049023</v>
      </c>
      <c r="AC19" s="46" t="n">
        <f aca="false">SUM(AA15:AC15)</f>
        <v>-11477.5038265671</v>
      </c>
      <c r="AD19" s="46" t="n">
        <f aca="false">SUM(AB15:AD15)</f>
        <v>-11378.8017891346</v>
      </c>
      <c r="AE19" s="46" t="n">
        <f aca="false">SUM(AC15:AE15)</f>
        <v>-10897.0042720023</v>
      </c>
      <c r="AF19" s="46" t="n">
        <f aca="false">SUM(AD15:AF15)</f>
        <v>-11438.1989883917</v>
      </c>
      <c r="AG19" s="46" t="n">
        <f aca="false">SUM(AE15:AG15)</f>
        <v>-11042.0858889569</v>
      </c>
      <c r="AH19" s="46" t="n">
        <f aca="false">SUM(AF15:AH15)</f>
        <v>-10453.9643828598</v>
      </c>
      <c r="AI19" s="46" t="n">
        <f aca="false">SUM(AG15:AI15)</f>
        <v>-9881.59658032596</v>
      </c>
      <c r="AJ19" s="46" t="n">
        <f aca="false">SUM(AH15:AJ15)</f>
        <v>-9697.99289541669</v>
      </c>
      <c r="AK19" s="46" t="n">
        <f aca="false">SUM(AI15:AK15)</f>
        <v>-10398.5596686975</v>
      </c>
      <c r="AL19" s="46" t="n">
        <f aca="false">SUM(AJ15:AL15)</f>
        <v>-10358.7299361539</v>
      </c>
      <c r="AM19" s="46" t="n">
        <f aca="false">SUM(AK15:AM15)</f>
        <v>-9871.76147732743</v>
      </c>
    </row>
    <row r="20" customFormat="false" ht="15" hidden="false" customHeight="false" outlineLevel="0" collapsed="false">
      <c r="A20" s="17" t="s">
        <v>781</v>
      </c>
      <c r="B20" s="17" t="s">
        <v>562</v>
      </c>
      <c r="D20" s="49" t="str">
        <f aca="false">IF(MIN(D19:$AM19)&gt;=0,D$5,"")</f>
        <v/>
      </c>
      <c r="E20" s="49" t="str">
        <f aca="false">IF(MIN(E19:$AM19)&gt;=0,E$5,"")</f>
        <v/>
      </c>
      <c r="F20" s="49" t="str">
        <f aca="false">IF(MIN(F19:$AM19)&gt;=0,F$5,"")</f>
        <v/>
      </c>
      <c r="G20" s="49" t="str">
        <f aca="false">IF(MIN(G19:$AM19)&gt;=0,G$5,"")</f>
        <v/>
      </c>
      <c r="H20" s="49" t="str">
        <f aca="false">IF(MIN(H19:$AM19)&gt;=0,H$5,"")</f>
        <v/>
      </c>
      <c r="I20" s="49" t="str">
        <f aca="false">IF(MIN(I19:$AM19)&gt;=0,I$5,"")</f>
        <v/>
      </c>
      <c r="J20" s="49" t="str">
        <f aca="false">IF(MIN(J19:$AM19)&gt;=0,J$5,"")</f>
        <v/>
      </c>
      <c r="K20" s="49" t="str">
        <f aca="false">IF(MIN(K19:$AM19)&gt;=0,K$5,"")</f>
        <v/>
      </c>
      <c r="L20" s="49" t="str">
        <f aca="false">IF(MIN(L19:$AM19)&gt;=0,L$5,"")</f>
        <v/>
      </c>
      <c r="M20" s="49" t="str">
        <f aca="false">IF(MIN(M19:$AM19)&gt;=0,M$5,"")</f>
        <v/>
      </c>
      <c r="N20" s="49" t="str">
        <f aca="false">IF(MIN(N19:$AM19)&gt;=0,N$5,"")</f>
        <v/>
      </c>
      <c r="O20" s="49" t="str">
        <f aca="false">IF(MIN(O19:$AM19)&gt;=0,O$5,"")</f>
        <v/>
      </c>
      <c r="P20" s="49" t="str">
        <f aca="false">IF(MIN(P19:$AM19)&gt;=0,P$5,"")</f>
        <v/>
      </c>
      <c r="Q20" s="49" t="str">
        <f aca="false">IF(MIN(Q19:$AM19)&gt;=0,Q$5,"")</f>
        <v/>
      </c>
      <c r="R20" s="49" t="str">
        <f aca="false">IF(MIN(R19:$AM19)&gt;=0,R$5,"")</f>
        <v/>
      </c>
      <c r="S20" s="49" t="str">
        <f aca="false">IF(MIN(S19:$AM19)&gt;=0,S$5,"")</f>
        <v/>
      </c>
      <c r="T20" s="49" t="str">
        <f aca="false">IF(MIN(T19:$AM19)&gt;=0,T$5,"")</f>
        <v/>
      </c>
      <c r="U20" s="49" t="str">
        <f aca="false">IF(MIN(U19:$AM19)&gt;=0,U$5,"")</f>
        <v/>
      </c>
      <c r="V20" s="49" t="str">
        <f aca="false">IF(MIN(V19:$AM19)&gt;=0,V$5,"")</f>
        <v/>
      </c>
      <c r="W20" s="49" t="str">
        <f aca="false">IF(MIN(W19:$AM19)&gt;=0,W$5,"")</f>
        <v/>
      </c>
      <c r="X20" s="49" t="str">
        <f aca="false">IF(MIN(X19:$AM19)&gt;=0,X$5,"")</f>
        <v/>
      </c>
      <c r="Y20" s="49" t="str">
        <f aca="false">IF(MIN(Y19:$AM19)&gt;=0,Y$5,"")</f>
        <v/>
      </c>
      <c r="Z20" s="49" t="str">
        <f aca="false">IF(MIN(Z19:$AM19)&gt;=0,Z$5,"")</f>
        <v/>
      </c>
      <c r="AA20" s="49" t="str">
        <f aca="false">IF(MIN(AA19:$AM19)&gt;=0,AA$5,"")</f>
        <v/>
      </c>
      <c r="AB20" s="49" t="str">
        <f aca="false">IF(MIN(AB19:$AM19)&gt;=0,AB$5,"")</f>
        <v/>
      </c>
      <c r="AC20" s="49" t="str">
        <f aca="false">IF(MIN(AC19:$AM19)&gt;=0,AC$5,"")</f>
        <v/>
      </c>
      <c r="AD20" s="49" t="str">
        <f aca="false">IF(MIN(AD19:$AM19)&gt;=0,AD$5,"")</f>
        <v/>
      </c>
      <c r="AE20" s="49" t="str">
        <f aca="false">IF(MIN(AE19:$AM19)&gt;=0,AE$5,"")</f>
        <v/>
      </c>
      <c r="AF20" s="49" t="str">
        <f aca="false">IF(MIN(AF19:$AM19)&gt;=0,AF$5,"")</f>
        <v/>
      </c>
      <c r="AG20" s="49" t="str">
        <f aca="false">IF(MIN(AG19:$AM19)&gt;=0,AG$5,"")</f>
        <v/>
      </c>
      <c r="AH20" s="49" t="str">
        <f aca="false">IF(MIN(AH19:$AM19)&gt;=0,AH$5,"")</f>
        <v/>
      </c>
      <c r="AI20" s="49" t="str">
        <f aca="false">IF(MIN(AI19:$AM19)&gt;=0,AI$5,"")</f>
        <v/>
      </c>
      <c r="AJ20" s="49" t="str">
        <f aca="false">IF(MIN(AJ19:$AM19)&gt;=0,AJ$5,"")</f>
        <v/>
      </c>
      <c r="AK20" s="49" t="str">
        <f aca="false">IF(MIN(AK19:$AM19)&gt;=0,AK$5,"")</f>
        <v/>
      </c>
      <c r="AL20" s="49" t="str">
        <f aca="false">IF(MIN(AL19:$AM19)&gt;=0,AL$5,"")</f>
        <v/>
      </c>
      <c r="AM20" s="49" t="str">
        <f aca="false">IF(MIN(AM19:$AM19)&gt;=0,AM$5,"")</f>
        <v/>
      </c>
    </row>
    <row r="21" customFormat="false" ht="15" hidden="false" customHeight="false" outlineLevel="0" collapsed="false">
      <c r="A21" s="23" t="s">
        <v>782</v>
      </c>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row>
    <row r="22" customFormat="false" ht="15" hidden="false" customHeight="false" outlineLevel="0" collapsed="false">
      <c r="A22" s="17" t="s">
        <v>783</v>
      </c>
      <c r="B22" s="17" t="s">
        <v>61</v>
      </c>
      <c r="D22" s="46" t="n">
        <f aca="false">D7+1*D8+0*D9</f>
        <v>-80740.9101761515</v>
      </c>
      <c r="E22" s="46" t="n">
        <f aca="false">E7+1*E8+0*E9</f>
        <v>-65442.5602021942</v>
      </c>
      <c r="F22" s="46" t="n">
        <f aca="false">F7+1*F8+0*F9</f>
        <v>-35537.9909116936</v>
      </c>
      <c r="G22" s="46" t="n">
        <f aca="false">G7+1*G8+0*G9</f>
        <v>-21398.506862611</v>
      </c>
      <c r="H22" s="46" t="n">
        <f aca="false">H7+1*H8+0*H9</f>
        <v>-14264.1250220961</v>
      </c>
      <c r="I22" s="46" t="n">
        <f aca="false">I7+1*I8+0*I9</f>
        <v>-5569.57017744458</v>
      </c>
      <c r="J22" s="46" t="n">
        <f aca="false">J7+1*J8+0*J9</f>
        <v>-5989.71969100837</v>
      </c>
      <c r="K22" s="46" t="n">
        <f aca="false">K7+1*K8+0*K9</f>
        <v>-5889.70856413615</v>
      </c>
      <c r="L22" s="46" t="n">
        <f aca="false">L7+1*L8+0*L9</f>
        <v>-11320.6796970221</v>
      </c>
      <c r="M22" s="46" t="n">
        <f aca="false">M7+1*M8+0*M9</f>
        <v>-11295.7615148791</v>
      </c>
      <c r="N22" s="46" t="n">
        <f aca="false">N7+1*N8+0*N9</f>
        <v>-5553.56400888494</v>
      </c>
      <c r="O22" s="46" t="n">
        <f aca="false">O7+1*O8+0*O9</f>
        <v>-10294.8434945609</v>
      </c>
      <c r="P22" s="46" t="n">
        <f aca="false">P7+1*P8+0*P9</f>
        <v>-10464.4435493836</v>
      </c>
      <c r="Q22" s="46" t="n">
        <f aca="false">Q7+1*Q8+0*Q9</f>
        <v>-10926.983496833</v>
      </c>
      <c r="R22" s="46" t="n">
        <f aca="false">R7+1*R8+0*R9</f>
        <v>-5221.40529120876</v>
      </c>
      <c r="S22" s="46" t="n">
        <f aca="false">S7+1*S8+0*S9</f>
        <v>-5176.60013530174</v>
      </c>
      <c r="T22" s="46" t="n">
        <f aca="false">T7+1*T8+0*T9</f>
        <v>-5126.62478214431</v>
      </c>
      <c r="U22" s="46" t="n">
        <f aca="false">U7+1*U8+0*U9</f>
        <v>-5060.2358140041</v>
      </c>
      <c r="V22" s="46" t="n">
        <f aca="false">V7+1*V8+0*V9</f>
        <v>-4725.53644219349</v>
      </c>
      <c r="W22" s="46" t="n">
        <f aca="false">W7+1*W8+0*W9</f>
        <v>-4807.85411156622</v>
      </c>
      <c r="X22" s="46" t="n">
        <f aca="false">X7+1*X8+0*X9</f>
        <v>-4808.57733890675</v>
      </c>
      <c r="Y22" s="46" t="n">
        <f aca="false">Y7+1*Y8+0*Y9</f>
        <v>-4719.62702259449</v>
      </c>
      <c r="Z22" s="46" t="n">
        <f aca="false">Z7+1*Z8+0*Z9</f>
        <v>-4612.01988075222</v>
      </c>
      <c r="AA22" s="46" t="n">
        <f aca="false">AA7+1*AA8+0*AA9</f>
        <v>-4487.51869391971</v>
      </c>
      <c r="AB22" s="46" t="n">
        <f aca="false">AB7+1*AB8+0*AB9</f>
        <v>-4031.32209973777</v>
      </c>
      <c r="AC22" s="46" t="n">
        <f aca="false">AC7+1*AC8+0*AC9</f>
        <v>-3566.23477631515</v>
      </c>
      <c r="AD22" s="46" t="n">
        <f aca="false">AD7+1*AD8+0*AD9</f>
        <v>-4378.22249192347</v>
      </c>
      <c r="AE22" s="46" t="n">
        <f aca="false">AE7+1*AE8+0*AE9</f>
        <v>-3539.3719348438</v>
      </c>
      <c r="AF22" s="46" t="n">
        <f aca="false">AF7+1*AF8+0*AF9</f>
        <v>-4097.69996132406</v>
      </c>
      <c r="AG22" s="46" t="n">
        <f aca="false">AG7+1*AG8+0*AG9</f>
        <v>-3972.78534391467</v>
      </c>
      <c r="AH22" s="46" t="n">
        <f aca="false">AH7+1*AH8+0*AH9</f>
        <v>-2942.31496429209</v>
      </c>
      <c r="AI22" s="46" t="n">
        <f aca="false">AI7+1*AI8+0*AI9</f>
        <v>-3516.76908402868</v>
      </c>
      <c r="AJ22" s="46" t="n">
        <f aca="false">AJ7+1*AJ8+0*AJ9</f>
        <v>-3780.97545442098</v>
      </c>
      <c r="AK22" s="46" t="n">
        <f aca="false">AK7+1*AK8+0*AK9</f>
        <v>-3635.0175304327</v>
      </c>
      <c r="AL22" s="46" t="n">
        <f aca="false">AL7+1*AL8+0*AL9</f>
        <v>-3469.4028888844</v>
      </c>
      <c r="AM22" s="46" t="n">
        <f aca="false">AM7+1*AM8+0*AM9</f>
        <v>-3286.78461862527</v>
      </c>
      <c r="AN22" s="46" t="n">
        <f aca="false">SUM(D22:AM22)</f>
        <v>-387652.268030234</v>
      </c>
      <c r="AO22" s="46" t="n">
        <f aca="false">SUM(D22:O22)</f>
        <v>-273297.940322683</v>
      </c>
      <c r="AP22" s="46" t="n">
        <f aca="false">SUM(P22:AA22)</f>
        <v>-70137.4265588084</v>
      </c>
      <c r="AQ22" s="46" t="n">
        <f aca="false">SUM(AB22:AM22)</f>
        <v>-44216.901148743</v>
      </c>
    </row>
    <row r="23" customFormat="false" ht="15" hidden="false" customHeight="false" outlineLevel="0" collapsed="false">
      <c r="A23" s="17" t="s">
        <v>784</v>
      </c>
      <c r="B23" s="17" t="s">
        <v>61</v>
      </c>
      <c r="D23" s="46" t="n">
        <f aca="false">D7+1*D8+0*D10</f>
        <v>-80740.9101761515</v>
      </c>
      <c r="E23" s="46" t="n">
        <f aca="false">E7+1*E8+0*E10</f>
        <v>-65442.5602021942</v>
      </c>
      <c r="F23" s="46" t="n">
        <f aca="false">F7+1*F8+0*F10</f>
        <v>-35537.9909116936</v>
      </c>
      <c r="G23" s="46" t="n">
        <f aca="false">G7+1*G8+0*G10</f>
        <v>-21398.506862611</v>
      </c>
      <c r="H23" s="46" t="n">
        <f aca="false">H7+1*H8+0*H10</f>
        <v>-14264.1250220961</v>
      </c>
      <c r="I23" s="46" t="n">
        <f aca="false">I7+1*I8+0*I10</f>
        <v>-5569.57017744458</v>
      </c>
      <c r="J23" s="46" t="n">
        <f aca="false">J7+1*J8+0*J10</f>
        <v>-5989.71969100837</v>
      </c>
      <c r="K23" s="46" t="n">
        <f aca="false">K7+1*K8+0*K10</f>
        <v>-5889.70856413615</v>
      </c>
      <c r="L23" s="46" t="n">
        <f aca="false">L7+1*L8+0*L10</f>
        <v>-11320.6796970221</v>
      </c>
      <c r="M23" s="46" t="n">
        <f aca="false">M7+1*M8+0*M10</f>
        <v>-11295.7615148791</v>
      </c>
      <c r="N23" s="46" t="n">
        <f aca="false">N7+1*N8+0*N10</f>
        <v>-5553.56400888494</v>
      </c>
      <c r="O23" s="46" t="n">
        <f aca="false">O7+1*O8+0*O10</f>
        <v>-10294.8434945609</v>
      </c>
      <c r="P23" s="46" t="n">
        <f aca="false">P7+1*P8+0*P10</f>
        <v>-10464.4435493836</v>
      </c>
      <c r="Q23" s="46" t="n">
        <f aca="false">Q7+1*Q8+0*Q10</f>
        <v>-10926.983496833</v>
      </c>
      <c r="R23" s="46" t="n">
        <f aca="false">R7+1*R8+0*R10</f>
        <v>-5221.40529120876</v>
      </c>
      <c r="S23" s="46" t="n">
        <f aca="false">S7+1*S8+0*S10</f>
        <v>-5176.60013530174</v>
      </c>
      <c r="T23" s="46" t="n">
        <f aca="false">T7+1*T8+0*T10</f>
        <v>-5126.62478214431</v>
      </c>
      <c r="U23" s="46" t="n">
        <f aca="false">U7+1*U8+0*U10</f>
        <v>-5060.2358140041</v>
      </c>
      <c r="V23" s="46" t="n">
        <f aca="false">V7+1*V8+0*V10</f>
        <v>-4725.53644219349</v>
      </c>
      <c r="W23" s="46" t="n">
        <f aca="false">W7+1*W8+0*W10</f>
        <v>-4807.85411156622</v>
      </c>
      <c r="X23" s="46" t="n">
        <f aca="false">X7+1*X8+0*X10</f>
        <v>-4808.57733890675</v>
      </c>
      <c r="Y23" s="46" t="n">
        <f aca="false">Y7+1*Y8+0*Y10</f>
        <v>-4719.62702259449</v>
      </c>
      <c r="Z23" s="46" t="n">
        <f aca="false">Z7+1*Z8+0*Z10</f>
        <v>-4612.01988075222</v>
      </c>
      <c r="AA23" s="46" t="n">
        <f aca="false">AA7+1*AA8+0*AA10</f>
        <v>-4487.51869391971</v>
      </c>
      <c r="AB23" s="46" t="n">
        <f aca="false">AB7+1*AB8+0*AB10</f>
        <v>-4031.32209973777</v>
      </c>
      <c r="AC23" s="46" t="n">
        <f aca="false">AC7+1*AC8+0*AC10</f>
        <v>-3566.23477631515</v>
      </c>
      <c r="AD23" s="46" t="n">
        <f aca="false">AD7+1*AD8+0*AD10</f>
        <v>-4378.22249192347</v>
      </c>
      <c r="AE23" s="46" t="n">
        <f aca="false">AE7+1*AE8+0*AE10</f>
        <v>-3539.3719348438</v>
      </c>
      <c r="AF23" s="46" t="n">
        <f aca="false">AF7+1*AF8+0*AF10</f>
        <v>-4097.69996132406</v>
      </c>
      <c r="AG23" s="46" t="n">
        <f aca="false">AG7+1*AG8+0*AG10</f>
        <v>-3972.78534391467</v>
      </c>
      <c r="AH23" s="46" t="n">
        <f aca="false">AH7+1*AH8+0*AH10</f>
        <v>-2942.31496429209</v>
      </c>
      <c r="AI23" s="46" t="n">
        <f aca="false">AI7+1*AI8+0*AI10</f>
        <v>-3516.76908402868</v>
      </c>
      <c r="AJ23" s="46" t="n">
        <f aca="false">AJ7+1*AJ8+0*AJ10</f>
        <v>-3780.97545442098</v>
      </c>
      <c r="AK23" s="46" t="n">
        <f aca="false">AK7+1*AK8+0*AK10</f>
        <v>-3635.0175304327</v>
      </c>
      <c r="AL23" s="46" t="n">
        <f aca="false">AL7+1*AL8+0*AL10</f>
        <v>-3469.4028888844</v>
      </c>
      <c r="AM23" s="46" t="n">
        <f aca="false">AM7+1*AM8+0*AM10</f>
        <v>-3286.78461862527</v>
      </c>
      <c r="AN23" s="46" t="n">
        <f aca="false">SUM(D23:AM23)</f>
        <v>-387652.268030234</v>
      </c>
      <c r="AO23" s="46" t="n">
        <f aca="false">SUM(D23:O23)</f>
        <v>-273297.940322683</v>
      </c>
      <c r="AP23" s="46" t="n">
        <f aca="false">SUM(P23:AA23)</f>
        <v>-70137.4265588084</v>
      </c>
      <c r="AQ23" s="46" t="n">
        <f aca="false">SUM(AB23:AM23)</f>
        <v>-44216.901148743</v>
      </c>
    </row>
    <row r="24" customFormat="false" ht="15" hidden="false" customHeight="false" outlineLevel="0" collapsed="false">
      <c r="A24" s="3" t="s">
        <v>785</v>
      </c>
      <c r="B24" s="17" t="s">
        <v>61</v>
      </c>
      <c r="C24" s="46" t="n">
        <f aca="false">Inputs!$B$8</f>
        <v>30000</v>
      </c>
      <c r="D24" s="8" t="n">
        <f aca="false">C24+D23</f>
        <v>-50740.9101761515</v>
      </c>
      <c r="E24" s="8" t="n">
        <f aca="false">D24+E23</f>
        <v>-116183.470378346</v>
      </c>
      <c r="F24" s="8" t="n">
        <f aca="false">E24+F23</f>
        <v>-151721.461290039</v>
      </c>
      <c r="G24" s="8" t="n">
        <f aca="false">F24+G23</f>
        <v>-173119.96815265</v>
      </c>
      <c r="H24" s="8" t="n">
        <f aca="false">G24+H23</f>
        <v>-187384.093174747</v>
      </c>
      <c r="I24" s="8" t="n">
        <f aca="false">H24+I23</f>
        <v>-192953.663352191</v>
      </c>
      <c r="J24" s="8" t="n">
        <f aca="false">I24+J23</f>
        <v>-198943.383043199</v>
      </c>
      <c r="K24" s="8" t="n">
        <f aca="false">J24+K23</f>
        <v>-204833.091607336</v>
      </c>
      <c r="L24" s="8" t="n">
        <f aca="false">K24+L23</f>
        <v>-216153.771304358</v>
      </c>
      <c r="M24" s="8" t="n">
        <f aca="false">L24+M23</f>
        <v>-227449.532819237</v>
      </c>
      <c r="N24" s="8" t="n">
        <f aca="false">M24+N23</f>
        <v>-233003.096828122</v>
      </c>
      <c r="O24" s="8" t="n">
        <f aca="false">N24+O23</f>
        <v>-243297.940322683</v>
      </c>
      <c r="P24" s="8" t="n">
        <f aca="false">O24+P23</f>
        <v>-253762.383872066</v>
      </c>
      <c r="Q24" s="8" t="n">
        <f aca="false">P24+Q23</f>
        <v>-264689.367368899</v>
      </c>
      <c r="R24" s="8" t="n">
        <f aca="false">Q24+R23</f>
        <v>-269910.772660108</v>
      </c>
      <c r="S24" s="8" t="n">
        <f aca="false">R24+S23</f>
        <v>-275087.37279541</v>
      </c>
      <c r="T24" s="8" t="n">
        <f aca="false">S24+T23</f>
        <v>-280213.997577554</v>
      </c>
      <c r="U24" s="8" t="n">
        <f aca="false">T24+U23</f>
        <v>-285274.233391558</v>
      </c>
      <c r="V24" s="8" t="n">
        <f aca="false">U24+V23</f>
        <v>-289999.769833752</v>
      </c>
      <c r="W24" s="8" t="n">
        <f aca="false">V24+W23</f>
        <v>-294807.623945318</v>
      </c>
      <c r="X24" s="8" t="n">
        <f aca="false">W24+X23</f>
        <v>-299616.201284225</v>
      </c>
      <c r="Y24" s="8" t="n">
        <f aca="false">X24+Y23</f>
        <v>-304335.828306819</v>
      </c>
      <c r="Z24" s="8" t="n">
        <f aca="false">Y24+Z23</f>
        <v>-308947.848187571</v>
      </c>
      <c r="AA24" s="8" t="n">
        <f aca="false">Z24+AA23</f>
        <v>-313435.366881491</v>
      </c>
      <c r="AB24" s="8" t="n">
        <f aca="false">AA24+AB23</f>
        <v>-317466.688981229</v>
      </c>
      <c r="AC24" s="8" t="n">
        <f aca="false">AB24+AC23</f>
        <v>-321032.923757544</v>
      </c>
      <c r="AD24" s="8" t="n">
        <f aca="false">AC24+AD23</f>
        <v>-325411.146249467</v>
      </c>
      <c r="AE24" s="8" t="n">
        <f aca="false">AD24+AE23</f>
        <v>-328950.518184311</v>
      </c>
      <c r="AF24" s="8" t="n">
        <f aca="false">AE24+AF23</f>
        <v>-333048.218145635</v>
      </c>
      <c r="AG24" s="8" t="n">
        <f aca="false">AF24+AG23</f>
        <v>-337021.00348955</v>
      </c>
      <c r="AH24" s="8" t="n">
        <f aca="false">AG24+AH23</f>
        <v>-339963.318453842</v>
      </c>
      <c r="AI24" s="8" t="n">
        <f aca="false">AH24+AI23</f>
        <v>-343480.087537871</v>
      </c>
      <c r="AJ24" s="8" t="n">
        <f aca="false">AI24+AJ23</f>
        <v>-347261.062992292</v>
      </c>
      <c r="AK24" s="8" t="n">
        <f aca="false">AJ24+AK23</f>
        <v>-350896.080522724</v>
      </c>
      <c r="AL24" s="8" t="n">
        <f aca="false">AK24+AL23</f>
        <v>-354365.483411609</v>
      </c>
      <c r="AM24" s="8" t="n">
        <f aca="false">AL24+AM23</f>
        <v>-357652.268030234</v>
      </c>
    </row>
    <row r="25" customFormat="false" ht="15" hidden="false" customHeight="false" outlineLevel="0" collapsed="false">
      <c r="A25" s="17" t="s">
        <v>786</v>
      </c>
      <c r="B25" s="17" t="s">
        <v>61</v>
      </c>
      <c r="D25" s="46" t="n">
        <f aca="false">D11+1*D12+0*D13</f>
        <v>58650</v>
      </c>
      <c r="E25" s="46" t="n">
        <f aca="false">E11+1*E12+0*E13</f>
        <v>55380</v>
      </c>
      <c r="F25" s="46" t="n">
        <f aca="false">F11+1*F12+0*F13</f>
        <v>30090</v>
      </c>
      <c r="G25" s="46" t="n">
        <f aca="false">G11+1*G12+0*G13</f>
        <v>12180</v>
      </c>
      <c r="H25" s="46" t="n">
        <f aca="false">H11+1*H12+0*H13</f>
        <v>8700</v>
      </c>
      <c r="I25" s="46" t="n">
        <f aca="false">I11+1*I12+0*I13</f>
        <v>0</v>
      </c>
      <c r="J25" s="46" t="n">
        <f aca="false">J11+1*J12+0*J13</f>
        <v>0</v>
      </c>
      <c r="K25" s="46" t="n">
        <f aca="false">K11+1*K12+0*K13</f>
        <v>0</v>
      </c>
      <c r="L25" s="46" t="n">
        <f aca="false">L11+1*L12+0*L13</f>
        <v>5700</v>
      </c>
      <c r="M25" s="46" t="n">
        <f aca="false">M11+1*M12+0*M13</f>
        <v>5700</v>
      </c>
      <c r="N25" s="46" t="n">
        <f aca="false">N11+1*N12+0*N13</f>
        <v>0</v>
      </c>
      <c r="O25" s="46" t="n">
        <f aca="false">O11+1*O12+0*O13</f>
        <v>4800</v>
      </c>
      <c r="P25" s="46" t="n">
        <f aca="false">P11+1*P12+0*P13</f>
        <v>4800</v>
      </c>
      <c r="Q25" s="46" t="n">
        <f aca="false">Q11+1*Q12+0*Q13</f>
        <v>4800</v>
      </c>
      <c r="R25" s="46" t="n">
        <f aca="false">R11+1*R12+0*R13</f>
        <v>0</v>
      </c>
      <c r="S25" s="46" t="n">
        <f aca="false">S11+1*S12+0*S13</f>
        <v>0</v>
      </c>
      <c r="T25" s="46" t="n">
        <f aca="false">T11+1*T12+0*T13</f>
        <v>0</v>
      </c>
      <c r="U25" s="46" t="n">
        <f aca="false">U11+1*U12+0*U13</f>
        <v>0</v>
      </c>
      <c r="V25" s="46" t="n">
        <f aca="false">V11+1*V12+0*V13</f>
        <v>0</v>
      </c>
      <c r="W25" s="46" t="n">
        <f aca="false">W11+1*W12+0*W13</f>
        <v>0</v>
      </c>
      <c r="X25" s="46" t="n">
        <f aca="false">X11+1*X12+0*X13</f>
        <v>0</v>
      </c>
      <c r="Y25" s="46" t="n">
        <f aca="false">Y11+1*Y12+0*Y13</f>
        <v>0</v>
      </c>
      <c r="Z25" s="46" t="n">
        <f aca="false">Z11+1*Z12+0*Z13</f>
        <v>0</v>
      </c>
      <c r="AA25" s="46" t="n">
        <f aca="false">AA11+1*AA12+0*AA13</f>
        <v>0</v>
      </c>
      <c r="AB25" s="46" t="n">
        <f aca="false">AB11+1*AB12+0*AB13</f>
        <v>0</v>
      </c>
      <c r="AC25" s="46" t="n">
        <f aca="false">AC11+1*AC12+0*AC13</f>
        <v>0</v>
      </c>
      <c r="AD25" s="46" t="n">
        <f aca="false">AD11+1*AD12+0*AD13</f>
        <v>0</v>
      </c>
      <c r="AE25" s="46" t="n">
        <f aca="false">AE11+1*AE12+0*AE13</f>
        <v>0</v>
      </c>
      <c r="AF25" s="46" t="n">
        <f aca="false">AF11+1*AF12+0*AF13</f>
        <v>0</v>
      </c>
      <c r="AG25" s="46" t="n">
        <f aca="false">AG11+1*AG12+0*AG13</f>
        <v>0</v>
      </c>
      <c r="AH25" s="46" t="n">
        <f aca="false">AH11+1*AH12+0*AH13</f>
        <v>0</v>
      </c>
      <c r="AI25" s="46" t="n">
        <f aca="false">AI11+1*AI12+0*AI13</f>
        <v>0</v>
      </c>
      <c r="AJ25" s="46" t="n">
        <f aca="false">AJ11+1*AJ12+0*AJ13</f>
        <v>0</v>
      </c>
      <c r="AK25" s="46" t="n">
        <f aca="false">AK11+1*AK12+0*AK13</f>
        <v>0</v>
      </c>
      <c r="AL25" s="46" t="n">
        <f aca="false">AL11+1*AL12+0*AL13</f>
        <v>0</v>
      </c>
      <c r="AM25" s="46" t="n">
        <f aca="false">AM11+1*AM12+0*AM13</f>
        <v>0</v>
      </c>
      <c r="AN25" s="46" t="n">
        <f aca="false">SUM(D25:AM25)</f>
        <v>190800</v>
      </c>
      <c r="AO25" s="46" t="n">
        <f aca="false">SUM(D25:O25)</f>
        <v>181200</v>
      </c>
      <c r="AP25" s="46" t="n">
        <f aca="false">SUM(P25:AA25)</f>
        <v>9600</v>
      </c>
      <c r="AQ25" s="46" t="n">
        <f aca="false">SUM(AB25:AM25)</f>
        <v>0</v>
      </c>
    </row>
    <row r="26" customFormat="false" ht="15" hidden="false" customHeight="false" outlineLevel="0" collapsed="false">
      <c r="A26" s="17" t="s">
        <v>787</v>
      </c>
      <c r="B26" s="17" t="s">
        <v>61</v>
      </c>
      <c r="D26" s="46" t="n">
        <f aca="false">SUM(D22)</f>
        <v>-80740.9101761515</v>
      </c>
      <c r="E26" s="46" t="n">
        <f aca="false">SUM(D22:E22)</f>
        <v>-146183.470378346</v>
      </c>
      <c r="F26" s="46" t="n">
        <f aca="false">SUM(D22:F22)</f>
        <v>-181721.461290039</v>
      </c>
      <c r="G26" s="46" t="n">
        <f aca="false">SUM(E22:G22)</f>
        <v>-122379.057976499</v>
      </c>
      <c r="H26" s="46" t="n">
        <f aca="false">SUM(F22:H22)</f>
        <v>-71200.6227964008</v>
      </c>
      <c r="I26" s="46" t="n">
        <f aca="false">SUM(G22:I22)</f>
        <v>-41232.2020621518</v>
      </c>
      <c r="J26" s="46" t="n">
        <f aca="false">SUM(H22:J22)</f>
        <v>-25823.4148905491</v>
      </c>
      <c r="K26" s="46" t="n">
        <f aca="false">SUM(I22:K22)</f>
        <v>-17448.9984325891</v>
      </c>
      <c r="L26" s="46" t="n">
        <f aca="false">SUM(J22:L22)</f>
        <v>-23200.1079521666</v>
      </c>
      <c r="M26" s="46" t="n">
        <f aca="false">SUM(K22:M22)</f>
        <v>-28506.1497760374</v>
      </c>
      <c r="N26" s="46" t="n">
        <f aca="false">SUM(L22:N22)</f>
        <v>-28170.0052207862</v>
      </c>
      <c r="O26" s="46" t="n">
        <f aca="false">SUM(M22:O22)</f>
        <v>-27144.1690183249</v>
      </c>
      <c r="P26" s="46" t="n">
        <f aca="false">SUM(N22:P22)</f>
        <v>-26312.8510528294</v>
      </c>
      <c r="Q26" s="46" t="n">
        <f aca="false">SUM(O22:Q22)</f>
        <v>-31686.2705407774</v>
      </c>
      <c r="R26" s="46" t="n">
        <f aca="false">SUM(P22:R22)</f>
        <v>-26612.8323374253</v>
      </c>
      <c r="S26" s="46" t="n">
        <f aca="false">SUM(Q22:S22)</f>
        <v>-21324.9889233435</v>
      </c>
      <c r="T26" s="46" t="n">
        <f aca="false">SUM(R22:T22)</f>
        <v>-15524.6302086548</v>
      </c>
      <c r="U26" s="46" t="n">
        <f aca="false">SUM(S22:U22)</f>
        <v>-15363.4607314501</v>
      </c>
      <c r="V26" s="46" t="n">
        <f aca="false">SUM(T22:V22)</f>
        <v>-14912.3970383419</v>
      </c>
      <c r="W26" s="46" t="n">
        <f aca="false">SUM(U22:W22)</f>
        <v>-14593.6263677638</v>
      </c>
      <c r="X26" s="46" t="n">
        <f aca="false">SUM(V22:X22)</f>
        <v>-14341.9678926665</v>
      </c>
      <c r="Y26" s="46" t="n">
        <f aca="false">SUM(W22:Y22)</f>
        <v>-14336.0584730675</v>
      </c>
      <c r="Z26" s="46" t="n">
        <f aca="false">SUM(X22:Z22)</f>
        <v>-14140.2242422535</v>
      </c>
      <c r="AA26" s="46" t="n">
        <f aca="false">SUM(Y22:AA22)</f>
        <v>-13819.1655972664</v>
      </c>
      <c r="AB26" s="46" t="n">
        <f aca="false">SUM(Z22:AB22)</f>
        <v>-13130.8606744097</v>
      </c>
      <c r="AC26" s="46" t="n">
        <f aca="false">SUM(AA22:AC22)</f>
        <v>-12085.0755699726</v>
      </c>
      <c r="AD26" s="46" t="n">
        <f aca="false">SUM(AB22:AD22)</f>
        <v>-11975.7793679764</v>
      </c>
      <c r="AE26" s="46" t="n">
        <f aca="false">SUM(AC22:AE22)</f>
        <v>-11483.8292030824</v>
      </c>
      <c r="AF26" s="46" t="n">
        <f aca="false">SUM(AD22:AF22)</f>
        <v>-12015.2943880913</v>
      </c>
      <c r="AG26" s="46" t="n">
        <f aca="false">SUM(AE22:AG22)</f>
        <v>-11609.8572400825</v>
      </c>
      <c r="AH26" s="46" t="n">
        <f aca="false">SUM(AF22:AH22)</f>
        <v>-11012.8002695308</v>
      </c>
      <c r="AI26" s="46" t="n">
        <f aca="false">SUM(AG22:AI22)</f>
        <v>-10431.8693922354</v>
      </c>
      <c r="AJ26" s="46" t="n">
        <f aca="false">SUM(AH22:AJ22)</f>
        <v>-10240.0595027417</v>
      </c>
      <c r="AK26" s="46" t="n">
        <f aca="false">SUM(AI22:AK22)</f>
        <v>-10932.7620688824</v>
      </c>
      <c r="AL26" s="46" t="n">
        <f aca="false">SUM(AJ22:AL22)</f>
        <v>-10885.3958737381</v>
      </c>
      <c r="AM26" s="46" t="n">
        <f aca="false">SUM(AK22:AM22)</f>
        <v>-10391.2050379424</v>
      </c>
    </row>
    <row r="27" customFormat="false" ht="15" hidden="false" customHeight="false" outlineLevel="0" collapsed="false">
      <c r="A27" s="17" t="s">
        <v>788</v>
      </c>
      <c r="B27" s="17" t="s">
        <v>562</v>
      </c>
      <c r="D27" s="49" t="str">
        <f aca="false">IF(MIN(D26:$AM26)&gt;=0,D$5,"")</f>
        <v/>
      </c>
      <c r="E27" s="49" t="str">
        <f aca="false">IF(MIN(E26:$AM26)&gt;=0,E$5,"")</f>
        <v/>
      </c>
      <c r="F27" s="49" t="str">
        <f aca="false">IF(MIN(F26:$AM26)&gt;=0,F$5,"")</f>
        <v/>
      </c>
      <c r="G27" s="49" t="str">
        <f aca="false">IF(MIN(G26:$AM26)&gt;=0,G$5,"")</f>
        <v/>
      </c>
      <c r="H27" s="49" t="str">
        <f aca="false">IF(MIN(H26:$AM26)&gt;=0,H$5,"")</f>
        <v/>
      </c>
      <c r="I27" s="49" t="str">
        <f aca="false">IF(MIN(I26:$AM26)&gt;=0,I$5,"")</f>
        <v/>
      </c>
      <c r="J27" s="49" t="str">
        <f aca="false">IF(MIN(J26:$AM26)&gt;=0,J$5,"")</f>
        <v/>
      </c>
      <c r="K27" s="49" t="str">
        <f aca="false">IF(MIN(K26:$AM26)&gt;=0,K$5,"")</f>
        <v/>
      </c>
      <c r="L27" s="49" t="str">
        <f aca="false">IF(MIN(L26:$AM26)&gt;=0,L$5,"")</f>
        <v/>
      </c>
      <c r="M27" s="49" t="str">
        <f aca="false">IF(MIN(M26:$AM26)&gt;=0,M$5,"")</f>
        <v/>
      </c>
      <c r="N27" s="49" t="str">
        <f aca="false">IF(MIN(N26:$AM26)&gt;=0,N$5,"")</f>
        <v/>
      </c>
      <c r="O27" s="49" t="str">
        <f aca="false">IF(MIN(O26:$AM26)&gt;=0,O$5,"")</f>
        <v/>
      </c>
      <c r="P27" s="49" t="str">
        <f aca="false">IF(MIN(P26:$AM26)&gt;=0,P$5,"")</f>
        <v/>
      </c>
      <c r="Q27" s="49" t="str">
        <f aca="false">IF(MIN(Q26:$AM26)&gt;=0,Q$5,"")</f>
        <v/>
      </c>
      <c r="R27" s="49" t="str">
        <f aca="false">IF(MIN(R26:$AM26)&gt;=0,R$5,"")</f>
        <v/>
      </c>
      <c r="S27" s="49" t="str">
        <f aca="false">IF(MIN(S26:$AM26)&gt;=0,S$5,"")</f>
        <v/>
      </c>
      <c r="T27" s="49" t="str">
        <f aca="false">IF(MIN(T26:$AM26)&gt;=0,T$5,"")</f>
        <v/>
      </c>
      <c r="U27" s="49" t="str">
        <f aca="false">IF(MIN(U26:$AM26)&gt;=0,U$5,"")</f>
        <v/>
      </c>
      <c r="V27" s="49" t="str">
        <f aca="false">IF(MIN(V26:$AM26)&gt;=0,V$5,"")</f>
        <v/>
      </c>
      <c r="W27" s="49" t="str">
        <f aca="false">IF(MIN(W26:$AM26)&gt;=0,W$5,"")</f>
        <v/>
      </c>
      <c r="X27" s="49" t="str">
        <f aca="false">IF(MIN(X26:$AM26)&gt;=0,X$5,"")</f>
        <v/>
      </c>
      <c r="Y27" s="49" t="str">
        <f aca="false">IF(MIN(Y26:$AM26)&gt;=0,Y$5,"")</f>
        <v/>
      </c>
      <c r="Z27" s="49" t="str">
        <f aca="false">IF(MIN(Z26:$AM26)&gt;=0,Z$5,"")</f>
        <v/>
      </c>
      <c r="AA27" s="49" t="str">
        <f aca="false">IF(MIN(AA26:$AM26)&gt;=0,AA$5,"")</f>
        <v/>
      </c>
      <c r="AB27" s="49" t="str">
        <f aca="false">IF(MIN(AB26:$AM26)&gt;=0,AB$5,"")</f>
        <v/>
      </c>
      <c r="AC27" s="49" t="str">
        <f aca="false">IF(MIN(AC26:$AM26)&gt;=0,AC$5,"")</f>
        <v/>
      </c>
      <c r="AD27" s="49" t="str">
        <f aca="false">IF(MIN(AD26:$AM26)&gt;=0,AD$5,"")</f>
        <v/>
      </c>
      <c r="AE27" s="49" t="str">
        <f aca="false">IF(MIN(AE26:$AM26)&gt;=0,AE$5,"")</f>
        <v/>
      </c>
      <c r="AF27" s="49" t="str">
        <f aca="false">IF(MIN(AF26:$AM26)&gt;=0,AF$5,"")</f>
        <v/>
      </c>
      <c r="AG27" s="49" t="str">
        <f aca="false">IF(MIN(AG26:$AM26)&gt;=0,AG$5,"")</f>
        <v/>
      </c>
      <c r="AH27" s="49" t="str">
        <f aca="false">IF(MIN(AH26:$AM26)&gt;=0,AH$5,"")</f>
        <v/>
      </c>
      <c r="AI27" s="49" t="str">
        <f aca="false">IF(MIN(AI26:$AM26)&gt;=0,AI$5,"")</f>
        <v/>
      </c>
      <c r="AJ27" s="49" t="str">
        <f aca="false">IF(MIN(AJ26:$AM26)&gt;=0,AJ$5,"")</f>
        <v/>
      </c>
      <c r="AK27" s="49" t="str">
        <f aca="false">IF(MIN(AK26:$AM26)&gt;=0,AK$5,"")</f>
        <v/>
      </c>
      <c r="AL27" s="49" t="str">
        <f aca="false">IF(MIN(AL26:$AM26)&gt;=0,AL$5,"")</f>
        <v/>
      </c>
      <c r="AM27" s="49" t="str">
        <f aca="false">IF(MIN(AM26:$AM26)&gt;=0,AM$5,"")</f>
        <v/>
      </c>
    </row>
    <row r="28" customFormat="false" ht="15" hidden="false" customHeight="false" outlineLevel="0" collapsed="false">
      <c r="A28" s="23" t="s">
        <v>789</v>
      </c>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4"/>
      <c r="AN28" s="24"/>
      <c r="AO28" s="24"/>
      <c r="AP28" s="24"/>
      <c r="AQ28" s="24"/>
    </row>
    <row r="29" customFormat="false" ht="15" hidden="false" customHeight="false" outlineLevel="0" collapsed="false">
      <c r="A29" s="17" t="s">
        <v>790</v>
      </c>
      <c r="B29" s="17" t="s">
        <v>61</v>
      </c>
      <c r="D29" s="46" t="n">
        <f aca="false">D7+0*D8+1*D9</f>
        <v>-62740.9101761515</v>
      </c>
      <c r="E29" s="46" t="n">
        <f aca="false">E7+0*E8+1*E9</f>
        <v>-54192.5602021942</v>
      </c>
      <c r="F29" s="46" t="n">
        <f aca="false">F7+0*F8+1*F9</f>
        <v>-24287.9909116936</v>
      </c>
      <c r="G29" s="46" t="n">
        <f aca="false">G7+0*G8+1*G9</f>
        <v>-12698.506862611</v>
      </c>
      <c r="H29" s="46" t="n">
        <f aca="false">H7+0*H8+1*H9</f>
        <v>-5564.12502209614</v>
      </c>
      <c r="I29" s="46" t="n">
        <f aca="false">I7+0*I8+1*I9</f>
        <v>-5569.57017744458</v>
      </c>
      <c r="J29" s="46" t="n">
        <f aca="false">J7+0*J8+1*J9</f>
        <v>-17528.0530243417</v>
      </c>
      <c r="K29" s="46" t="n">
        <f aca="false">K7+0*K8+1*K9</f>
        <v>-17134.0887724695</v>
      </c>
      <c r="L29" s="46" t="n">
        <f aca="false">L7+0*L8+1*L9</f>
        <v>-16870.8547739895</v>
      </c>
      <c r="M29" s="46" t="n">
        <f aca="false">M7+0*M8+1*M9</f>
        <v>-5313.15662326534</v>
      </c>
      <c r="N29" s="46" t="n">
        <f aca="false">N7+0*N8+1*N9</f>
        <v>-5276.28104292958</v>
      </c>
      <c r="O29" s="46" t="n">
        <f aca="false">O7+0*O8+1*O9</f>
        <v>-5222.66066050349</v>
      </c>
      <c r="P29" s="46" t="n">
        <f aca="false">P7+0*P8+1*P9</f>
        <v>-5397.14829682327</v>
      </c>
      <c r="Q29" s="46" t="n">
        <f aca="false">Q7+0*Q8+1*Q9</f>
        <v>-5864.37213350708</v>
      </c>
      <c r="R29" s="46" t="n">
        <f aca="false">R7+0*R8+1*R9</f>
        <v>-4963.28261382542</v>
      </c>
      <c r="S29" s="46" t="n">
        <f aca="false">S7+0*S8+1*S9</f>
        <v>-4922.77907575852</v>
      </c>
      <c r="T29" s="46" t="n">
        <f aca="false">T7+0*T8+1*T9</f>
        <v>-4876.92606849005</v>
      </c>
      <c r="U29" s="46" t="n">
        <f aca="false">U7+0*U8+1*U9</f>
        <v>-4814.48764553072</v>
      </c>
      <c r="V29" s="46" t="n">
        <f aca="false">V7+0*V8+1*V9</f>
        <v>-4483.5741780684</v>
      </c>
      <c r="W29" s="46" t="n">
        <f aca="false">W7+0*W8+1*W9</f>
        <v>-4585.29496010681</v>
      </c>
      <c r="X29" s="46" t="n">
        <f aca="false">X7+0*X8+1*X9</f>
        <v>-4590.3845535809</v>
      </c>
      <c r="Y29" s="46" t="n">
        <f aca="false">Y7+0*Y8+1*Y9</f>
        <v>-4505.61863303539</v>
      </c>
      <c r="Z29" s="46" t="n">
        <f aca="false">Z7+0*Z8+1*Z9</f>
        <v>-4402.02150029388</v>
      </c>
      <c r="AA29" s="46" t="n">
        <f aca="false">AA7+0*AA8+1*AA9</f>
        <v>-4281.36320354265</v>
      </c>
      <c r="AB29" s="46" t="n">
        <f aca="false">AB7+0*AB8+1*AB9</f>
        <v>-3828.84934518642</v>
      </c>
      <c r="AC29" s="46" t="n">
        <f aca="false">AC7+0*AC8+1*AC9</f>
        <v>-3367.29127783804</v>
      </c>
      <c r="AD29" s="46" t="n">
        <f aca="false">AD7+0*AD8+1*AD9</f>
        <v>-4182.6611661101</v>
      </c>
      <c r="AE29" s="46" t="n">
        <f aca="false">AE7+0*AE8+1*AE9</f>
        <v>-3347.05182805415</v>
      </c>
      <c r="AF29" s="46" t="n">
        <f aca="false">AF7+0*AF8+1*AF9</f>
        <v>-3908.48599422749</v>
      </c>
      <c r="AG29" s="46" t="n">
        <f aca="false">AG7+0*AG8+1*AG9</f>
        <v>-3786.54806667532</v>
      </c>
      <c r="AH29" s="46" t="n">
        <f aca="false">AH7+0*AH8+1*AH9</f>
        <v>-2758.93032195702</v>
      </c>
      <c r="AI29" s="46" t="n">
        <f aca="false">AI7+0*AI8+1*AI9</f>
        <v>-3336.11819169362</v>
      </c>
      <c r="AJ29" s="46" t="n">
        <f aca="false">AJ7+0*AJ8+1*AJ9</f>
        <v>-3602.94438176605</v>
      </c>
      <c r="AK29" s="46" t="n">
        <f aca="false">AK7+0*AK8+1*AK9</f>
        <v>-3459.49709523783</v>
      </c>
      <c r="AL29" s="46" t="n">
        <f aca="false">AL7+0*AL8+1*AL9</f>
        <v>-3296.28845914998</v>
      </c>
      <c r="AM29" s="46" t="n">
        <f aca="false">AM7+0*AM8+1*AM9</f>
        <v>-3115.97592293962</v>
      </c>
      <c r="AN29" s="46" t="n">
        <f aca="false">SUM(D29:AM29)</f>
        <v>-332076.653163089</v>
      </c>
      <c r="AO29" s="46" t="n">
        <f aca="false">SUM(D29:O29)</f>
        <v>-232398.75824969</v>
      </c>
      <c r="AP29" s="46" t="n">
        <f aca="false">SUM(P29:AA29)</f>
        <v>-57687.2528625631</v>
      </c>
      <c r="AQ29" s="46" t="n">
        <f aca="false">SUM(AB29:AM29)</f>
        <v>-41990.6420508356</v>
      </c>
    </row>
    <row r="30" customFormat="false" ht="15" hidden="false" customHeight="false" outlineLevel="0" collapsed="false">
      <c r="A30" s="17" t="s">
        <v>791</v>
      </c>
      <c r="B30" s="17" t="s">
        <v>61</v>
      </c>
      <c r="D30" s="46" t="n">
        <f aca="false">D7+0*D8+1*D10</f>
        <v>-62740.9101761515</v>
      </c>
      <c r="E30" s="46" t="n">
        <f aca="false">E7+0*E8+1*E10</f>
        <v>-54192.5602021942</v>
      </c>
      <c r="F30" s="46" t="n">
        <f aca="false">F7+0*F8+1*F10</f>
        <v>-24287.9909116936</v>
      </c>
      <c r="G30" s="46" t="n">
        <f aca="false">G7+0*G8+1*G10</f>
        <v>-12698.506862611</v>
      </c>
      <c r="H30" s="46" t="n">
        <f aca="false">H7+0*H8+1*H10</f>
        <v>-5564.12502209614</v>
      </c>
      <c r="I30" s="46" t="n">
        <f aca="false">I7+0*I8+1*I10</f>
        <v>-5569.57017744458</v>
      </c>
      <c r="J30" s="46" t="n">
        <f aca="false">J7+0*J8+1*J10</f>
        <v>-17528.0530243417</v>
      </c>
      <c r="K30" s="46" t="n">
        <f aca="false">K7+0*K8+1*K10</f>
        <v>-17134.0887724695</v>
      </c>
      <c r="L30" s="46" t="n">
        <f aca="false">L7+0*L8+1*L10</f>
        <v>-16870.8547739895</v>
      </c>
      <c r="M30" s="46" t="n">
        <f aca="false">M7+0*M8+1*M10</f>
        <v>-5313.15662326534</v>
      </c>
      <c r="N30" s="46" t="n">
        <f aca="false">N7+0*N8+1*N10</f>
        <v>-5276.28104292958</v>
      </c>
      <c r="O30" s="46" t="n">
        <f aca="false">O7+0*O8+1*O10</f>
        <v>-5222.66066050349</v>
      </c>
      <c r="P30" s="46" t="n">
        <f aca="false">P7+0*P8+1*P10</f>
        <v>-5397.14829682327</v>
      </c>
      <c r="Q30" s="46" t="n">
        <f aca="false">Q7+0*Q8+1*Q10</f>
        <v>-5864.37213350708</v>
      </c>
      <c r="R30" s="46" t="n">
        <f aca="false">R7+0*R8+1*R10</f>
        <v>-4963.28261382542</v>
      </c>
      <c r="S30" s="46" t="n">
        <f aca="false">S7+0*S8+1*S10</f>
        <v>-4922.77907575852</v>
      </c>
      <c r="T30" s="46" t="n">
        <f aca="false">T7+0*T8+1*T10</f>
        <v>-4876.92606849005</v>
      </c>
      <c r="U30" s="46" t="n">
        <f aca="false">U7+0*U8+1*U10</f>
        <v>-4814.48764553072</v>
      </c>
      <c r="V30" s="46" t="n">
        <f aca="false">V7+0*V8+1*V10</f>
        <v>-4483.5741780684</v>
      </c>
      <c r="W30" s="46" t="n">
        <f aca="false">W7+0*W8+1*W10</f>
        <v>-4585.29496010681</v>
      </c>
      <c r="X30" s="46" t="n">
        <f aca="false">X7+0*X8+1*X10</f>
        <v>-4590.3845535809</v>
      </c>
      <c r="Y30" s="46" t="n">
        <f aca="false">Y7+0*Y8+1*Y10</f>
        <v>-4505.61863303539</v>
      </c>
      <c r="Z30" s="46" t="n">
        <f aca="false">Z7+0*Z8+1*Z10</f>
        <v>-4402.02150029388</v>
      </c>
      <c r="AA30" s="46" t="n">
        <f aca="false">AA7+0*AA8+1*AA10</f>
        <v>-4281.36320354265</v>
      </c>
      <c r="AB30" s="46" t="n">
        <f aca="false">AB7+0*AB8+1*AB10</f>
        <v>-3828.84934518642</v>
      </c>
      <c r="AC30" s="46" t="n">
        <f aca="false">AC7+0*AC8+1*AC10</f>
        <v>-3367.29127783804</v>
      </c>
      <c r="AD30" s="46" t="n">
        <f aca="false">AD7+0*AD8+1*AD10</f>
        <v>-4182.6611661101</v>
      </c>
      <c r="AE30" s="46" t="n">
        <f aca="false">AE7+0*AE8+1*AE10</f>
        <v>-3347.05182805415</v>
      </c>
      <c r="AF30" s="46" t="n">
        <f aca="false">AF7+0*AF8+1*AF10</f>
        <v>-3908.48599422749</v>
      </c>
      <c r="AG30" s="46" t="n">
        <f aca="false">AG7+0*AG8+1*AG10</f>
        <v>-3786.54806667532</v>
      </c>
      <c r="AH30" s="46" t="n">
        <f aca="false">AH7+0*AH8+1*AH10</f>
        <v>-2758.93032195702</v>
      </c>
      <c r="AI30" s="46" t="n">
        <f aca="false">AI7+0*AI8+1*AI10</f>
        <v>-3336.11819169362</v>
      </c>
      <c r="AJ30" s="46" t="n">
        <f aca="false">AJ7+0*AJ8+1*AJ10</f>
        <v>-3602.94438176605</v>
      </c>
      <c r="AK30" s="46" t="n">
        <f aca="false">AK7+0*AK8+1*AK10</f>
        <v>-3459.49709523783</v>
      </c>
      <c r="AL30" s="46" t="n">
        <f aca="false">AL7+0*AL8+1*AL10</f>
        <v>-3296.28845914998</v>
      </c>
      <c r="AM30" s="46" t="n">
        <f aca="false">AM7+0*AM8+1*AM10</f>
        <v>-3115.97592293962</v>
      </c>
      <c r="AN30" s="46" t="n">
        <f aca="false">SUM(D30:AM30)</f>
        <v>-332076.653163089</v>
      </c>
      <c r="AO30" s="46" t="n">
        <f aca="false">SUM(D30:O30)</f>
        <v>-232398.75824969</v>
      </c>
      <c r="AP30" s="46" t="n">
        <f aca="false">SUM(P30:AA30)</f>
        <v>-57687.2528625631</v>
      </c>
      <c r="AQ30" s="46" t="n">
        <f aca="false">SUM(AB30:AM30)</f>
        <v>-41990.6420508356</v>
      </c>
    </row>
    <row r="31" customFormat="false" ht="15" hidden="false" customHeight="false" outlineLevel="0" collapsed="false">
      <c r="A31" s="3" t="s">
        <v>792</v>
      </c>
      <c r="B31" s="17" t="s">
        <v>61</v>
      </c>
      <c r="C31" s="46" t="n">
        <f aca="false">Inputs!$B$8</f>
        <v>30000</v>
      </c>
      <c r="D31" s="8" t="n">
        <f aca="false">C31+D30</f>
        <v>-32740.9101761515</v>
      </c>
      <c r="E31" s="8" t="n">
        <f aca="false">D31+E30</f>
        <v>-86933.4703783457</v>
      </c>
      <c r="F31" s="8" t="n">
        <f aca="false">E31+F30</f>
        <v>-111221.461290039</v>
      </c>
      <c r="G31" s="8" t="n">
        <f aca="false">F31+G30</f>
        <v>-123919.96815265</v>
      </c>
      <c r="H31" s="8" t="n">
        <f aca="false">G31+H30</f>
        <v>-129484.093174746</v>
      </c>
      <c r="I31" s="8" t="n">
        <f aca="false">H31+I30</f>
        <v>-135053.663352191</v>
      </c>
      <c r="J31" s="8" t="n">
        <f aca="false">I31+J30</f>
        <v>-152581.716376533</v>
      </c>
      <c r="K31" s="8" t="n">
        <f aca="false">J31+K30</f>
        <v>-169715.805149002</v>
      </c>
      <c r="L31" s="8" t="n">
        <f aca="false">K31+L30</f>
        <v>-186586.659922992</v>
      </c>
      <c r="M31" s="8" t="n">
        <f aca="false">L31+M30</f>
        <v>-191899.816546257</v>
      </c>
      <c r="N31" s="8" t="n">
        <f aca="false">M31+N30</f>
        <v>-197176.097589187</v>
      </c>
      <c r="O31" s="8" t="n">
        <f aca="false">N31+O30</f>
        <v>-202398.75824969</v>
      </c>
      <c r="P31" s="8" t="n">
        <f aca="false">O31+P30</f>
        <v>-207795.906546513</v>
      </c>
      <c r="Q31" s="8" t="n">
        <f aca="false">P31+Q30</f>
        <v>-213660.278680021</v>
      </c>
      <c r="R31" s="8" t="n">
        <f aca="false">Q31+R30</f>
        <v>-218623.561293846</v>
      </c>
      <c r="S31" s="8" t="n">
        <f aca="false">R31+S30</f>
        <v>-223546.340369604</v>
      </c>
      <c r="T31" s="8" t="n">
        <f aca="false">S31+T30</f>
        <v>-228423.266438095</v>
      </c>
      <c r="U31" s="8" t="n">
        <f aca="false">T31+U30</f>
        <v>-233237.754083625</v>
      </c>
      <c r="V31" s="8" t="n">
        <f aca="false">U31+V30</f>
        <v>-237721.328261694</v>
      </c>
      <c r="W31" s="8" t="n">
        <f aca="false">V31+W30</f>
        <v>-242306.6232218</v>
      </c>
      <c r="X31" s="8" t="n">
        <f aca="false">W31+X30</f>
        <v>-246897.007775381</v>
      </c>
      <c r="Y31" s="8" t="n">
        <f aca="false">X31+Y30</f>
        <v>-251402.626408417</v>
      </c>
      <c r="Z31" s="8" t="n">
        <f aca="false">Y31+Z30</f>
        <v>-255804.647908711</v>
      </c>
      <c r="AA31" s="8" t="n">
        <f aca="false">Z31+AA30</f>
        <v>-260086.011112253</v>
      </c>
      <c r="AB31" s="8" t="n">
        <f aca="false">AA31+AB30</f>
        <v>-263914.86045744</v>
      </c>
      <c r="AC31" s="8" t="n">
        <f aca="false">AB31+AC30</f>
        <v>-267282.151735278</v>
      </c>
      <c r="AD31" s="8" t="n">
        <f aca="false">AC31+AD30</f>
        <v>-271464.812901388</v>
      </c>
      <c r="AE31" s="8" t="n">
        <f aca="false">AD31+AE30</f>
        <v>-274811.864729442</v>
      </c>
      <c r="AF31" s="8" t="n">
        <f aca="false">AE31+AF30</f>
        <v>-278720.350723669</v>
      </c>
      <c r="AG31" s="8" t="n">
        <f aca="false">AF31+AG30</f>
        <v>-282506.898790345</v>
      </c>
      <c r="AH31" s="8" t="n">
        <f aca="false">AG31+AH30</f>
        <v>-285265.829112302</v>
      </c>
      <c r="AI31" s="8" t="n">
        <f aca="false">AH31+AI30</f>
        <v>-288601.947303995</v>
      </c>
      <c r="AJ31" s="8" t="n">
        <f aca="false">AI31+AJ30</f>
        <v>-292204.891685761</v>
      </c>
      <c r="AK31" s="8" t="n">
        <f aca="false">AJ31+AK30</f>
        <v>-295664.388780999</v>
      </c>
      <c r="AL31" s="8" t="n">
        <f aca="false">AK31+AL30</f>
        <v>-298960.677240149</v>
      </c>
      <c r="AM31" s="8" t="n">
        <f aca="false">AL31+AM30</f>
        <v>-302076.653163089</v>
      </c>
    </row>
    <row r="32" customFormat="false" ht="15" hidden="false" customHeight="false" outlineLevel="0" collapsed="false">
      <c r="A32" s="17" t="s">
        <v>793</v>
      </c>
      <c r="B32" s="17" t="s">
        <v>61</v>
      </c>
      <c r="D32" s="46" t="n">
        <f aca="false">D11+0*D12+1*D13</f>
        <v>40650</v>
      </c>
      <c r="E32" s="46" t="n">
        <f aca="false">E11+0*E12+1*E13</f>
        <v>44130</v>
      </c>
      <c r="F32" s="46" t="n">
        <f aca="false">F11+0*F12+1*F13</f>
        <v>18840</v>
      </c>
      <c r="G32" s="46" t="n">
        <f aca="false">G11+0*G12+1*G13</f>
        <v>3480</v>
      </c>
      <c r="H32" s="46" t="n">
        <f aca="false">H11+0*H12+1*H13</f>
        <v>0</v>
      </c>
      <c r="I32" s="46" t="n">
        <f aca="false">I11+0*I12+1*I13</f>
        <v>0</v>
      </c>
      <c r="J32" s="46" t="n">
        <f aca="false">J11+0*J12+1*J13</f>
        <v>11538.3333333333</v>
      </c>
      <c r="K32" s="46" t="n">
        <f aca="false">K11+0*K12+1*K13</f>
        <v>11538.3333333333</v>
      </c>
      <c r="L32" s="46" t="n">
        <f aca="false">L11+0*L12+1*L13</f>
        <v>11538.3333333333</v>
      </c>
      <c r="M32" s="46" t="n">
        <f aca="false">M11+0*M12+1*M13</f>
        <v>0</v>
      </c>
      <c r="N32" s="46" t="n">
        <f aca="false">N11+0*N12+1*N13</f>
        <v>0</v>
      </c>
      <c r="O32" s="46" t="n">
        <f aca="false">O11+0*O12+1*O13</f>
        <v>0</v>
      </c>
      <c r="P32" s="46" t="n">
        <f aca="false">P11+0*P12+1*P13</f>
        <v>0</v>
      </c>
      <c r="Q32" s="46" t="n">
        <f aca="false">Q11+0*Q12+1*Q13</f>
        <v>0</v>
      </c>
      <c r="R32" s="46" t="n">
        <f aca="false">R11+0*R12+1*R13</f>
        <v>0</v>
      </c>
      <c r="S32" s="46" t="n">
        <f aca="false">S11+0*S12+1*S13</f>
        <v>0</v>
      </c>
      <c r="T32" s="46" t="n">
        <f aca="false">T11+0*T12+1*T13</f>
        <v>0</v>
      </c>
      <c r="U32" s="46" t="n">
        <f aca="false">U11+0*U12+1*U13</f>
        <v>0</v>
      </c>
      <c r="V32" s="46" t="n">
        <f aca="false">V11+0*V12+1*V13</f>
        <v>0</v>
      </c>
      <c r="W32" s="46" t="n">
        <f aca="false">W11+0*W12+1*W13</f>
        <v>0</v>
      </c>
      <c r="X32" s="46" t="n">
        <f aca="false">X11+0*X12+1*X13</f>
        <v>0</v>
      </c>
      <c r="Y32" s="46" t="n">
        <f aca="false">Y11+0*Y12+1*Y13</f>
        <v>0</v>
      </c>
      <c r="Z32" s="46" t="n">
        <f aca="false">Z11+0*Z12+1*Z13</f>
        <v>0</v>
      </c>
      <c r="AA32" s="46" t="n">
        <f aca="false">AA11+0*AA12+1*AA13</f>
        <v>0</v>
      </c>
      <c r="AB32" s="46" t="n">
        <f aca="false">AB11+0*AB12+1*AB13</f>
        <v>0</v>
      </c>
      <c r="AC32" s="46" t="n">
        <f aca="false">AC11+0*AC12+1*AC13</f>
        <v>0</v>
      </c>
      <c r="AD32" s="46" t="n">
        <f aca="false">AD11+0*AD12+1*AD13</f>
        <v>0</v>
      </c>
      <c r="AE32" s="46" t="n">
        <f aca="false">AE11+0*AE12+1*AE13</f>
        <v>0</v>
      </c>
      <c r="AF32" s="46" t="n">
        <f aca="false">AF11+0*AF12+1*AF13</f>
        <v>0</v>
      </c>
      <c r="AG32" s="46" t="n">
        <f aca="false">AG11+0*AG12+1*AG13</f>
        <v>0</v>
      </c>
      <c r="AH32" s="46" t="n">
        <f aca="false">AH11+0*AH12+1*AH13</f>
        <v>0</v>
      </c>
      <c r="AI32" s="46" t="n">
        <f aca="false">AI11+0*AI12+1*AI13</f>
        <v>0</v>
      </c>
      <c r="AJ32" s="46" t="n">
        <f aca="false">AJ11+0*AJ12+1*AJ13</f>
        <v>0</v>
      </c>
      <c r="AK32" s="46" t="n">
        <f aca="false">AK11+0*AK12+1*AK13</f>
        <v>0</v>
      </c>
      <c r="AL32" s="46" t="n">
        <f aca="false">AL11+0*AL12+1*AL13</f>
        <v>0</v>
      </c>
      <c r="AM32" s="46" t="n">
        <f aca="false">AM11+0*AM12+1*AM13</f>
        <v>0</v>
      </c>
      <c r="AN32" s="46" t="n">
        <f aca="false">SUM(D32:AM32)</f>
        <v>141715</v>
      </c>
      <c r="AO32" s="46" t="n">
        <f aca="false">SUM(D32:O32)</f>
        <v>141715</v>
      </c>
      <c r="AP32" s="46" t="n">
        <f aca="false">SUM(P32:AA32)</f>
        <v>0</v>
      </c>
      <c r="AQ32" s="46" t="n">
        <f aca="false">SUM(AB32:AM32)</f>
        <v>0</v>
      </c>
    </row>
    <row r="33" customFormat="false" ht="15" hidden="false" customHeight="false" outlineLevel="0" collapsed="false">
      <c r="A33" s="17" t="s">
        <v>794</v>
      </c>
      <c r="B33" s="17" t="s">
        <v>61</v>
      </c>
      <c r="D33" s="46" t="n">
        <f aca="false">SUM(D29)</f>
        <v>-62740.9101761515</v>
      </c>
      <c r="E33" s="46" t="n">
        <f aca="false">SUM(D29:E29)</f>
        <v>-116933.470378346</v>
      </c>
      <c r="F33" s="46" t="n">
        <f aca="false">SUM(D29:F29)</f>
        <v>-141221.461290039</v>
      </c>
      <c r="G33" s="46" t="n">
        <f aca="false">SUM(E29:G29)</f>
        <v>-91179.0579764989</v>
      </c>
      <c r="H33" s="46" t="n">
        <f aca="false">SUM(F29:H29)</f>
        <v>-42550.6227964008</v>
      </c>
      <c r="I33" s="46" t="n">
        <f aca="false">SUM(G29:I29)</f>
        <v>-23832.2020621518</v>
      </c>
      <c r="J33" s="46" t="n">
        <f aca="false">SUM(H29:J29)</f>
        <v>-28661.7482238824</v>
      </c>
      <c r="K33" s="46" t="n">
        <f aca="false">SUM(I29:K29)</f>
        <v>-40231.7119742558</v>
      </c>
      <c r="L33" s="46" t="n">
        <f aca="false">SUM(J29:L29)</f>
        <v>-51532.9965708007</v>
      </c>
      <c r="M33" s="46" t="n">
        <f aca="false">SUM(K29:M29)</f>
        <v>-39318.1001697243</v>
      </c>
      <c r="N33" s="46" t="n">
        <f aca="false">SUM(L29:N29)</f>
        <v>-27460.2924401844</v>
      </c>
      <c r="O33" s="46" t="n">
        <f aca="false">SUM(M29:O29)</f>
        <v>-15812.0983266984</v>
      </c>
      <c r="P33" s="46" t="n">
        <f aca="false">SUM(N29:P29)</f>
        <v>-15896.0900002563</v>
      </c>
      <c r="Q33" s="46" t="n">
        <f aca="false">SUM(O29:Q29)</f>
        <v>-16484.1810908338</v>
      </c>
      <c r="R33" s="46" t="n">
        <f aca="false">SUM(P29:R29)</f>
        <v>-16224.8030441558</v>
      </c>
      <c r="S33" s="46" t="n">
        <f aca="false">SUM(Q29:S29)</f>
        <v>-15750.433823091</v>
      </c>
      <c r="T33" s="46" t="n">
        <f aca="false">SUM(R29:T29)</f>
        <v>-14762.987758074</v>
      </c>
      <c r="U33" s="46" t="n">
        <f aca="false">SUM(S29:U29)</f>
        <v>-14614.1927897793</v>
      </c>
      <c r="V33" s="46" t="n">
        <f aca="false">SUM(T29:V29)</f>
        <v>-14174.9878920892</v>
      </c>
      <c r="W33" s="46" t="n">
        <f aca="false">SUM(U29:W29)</f>
        <v>-13883.3567837059</v>
      </c>
      <c r="X33" s="46" t="n">
        <f aca="false">SUM(V29:X29)</f>
        <v>-13659.2536917561</v>
      </c>
      <c r="Y33" s="46" t="n">
        <f aca="false">SUM(W29:Y29)</f>
        <v>-13681.2981467231</v>
      </c>
      <c r="Z33" s="46" t="n">
        <f aca="false">SUM(X29:Z29)</f>
        <v>-13498.0246869102</v>
      </c>
      <c r="AA33" s="46" t="n">
        <f aca="false">SUM(Y29:AA29)</f>
        <v>-13189.0033368719</v>
      </c>
      <c r="AB33" s="46" t="n">
        <f aca="false">SUM(Z29:AB29)</f>
        <v>-12512.234049023</v>
      </c>
      <c r="AC33" s="46" t="n">
        <f aca="false">SUM(AA29:AC29)</f>
        <v>-11477.5038265671</v>
      </c>
      <c r="AD33" s="46" t="n">
        <f aca="false">SUM(AB29:AD29)</f>
        <v>-11378.8017891346</v>
      </c>
      <c r="AE33" s="46" t="n">
        <f aca="false">SUM(AC29:AE29)</f>
        <v>-10897.0042720023</v>
      </c>
      <c r="AF33" s="46" t="n">
        <f aca="false">SUM(AD29:AF29)</f>
        <v>-11438.1989883917</v>
      </c>
      <c r="AG33" s="46" t="n">
        <f aca="false">SUM(AE29:AG29)</f>
        <v>-11042.0858889569</v>
      </c>
      <c r="AH33" s="46" t="n">
        <f aca="false">SUM(AF29:AH29)</f>
        <v>-10453.9643828598</v>
      </c>
      <c r="AI33" s="46" t="n">
        <f aca="false">SUM(AG29:AI29)</f>
        <v>-9881.59658032596</v>
      </c>
      <c r="AJ33" s="46" t="n">
        <f aca="false">SUM(AH29:AJ29)</f>
        <v>-9697.99289541669</v>
      </c>
      <c r="AK33" s="46" t="n">
        <f aca="false">SUM(AI29:AK29)</f>
        <v>-10398.5596686975</v>
      </c>
      <c r="AL33" s="46" t="n">
        <f aca="false">SUM(AJ29:AL29)</f>
        <v>-10358.7299361539</v>
      </c>
      <c r="AM33" s="46" t="n">
        <f aca="false">SUM(AK29:AM29)</f>
        <v>-9871.76147732743</v>
      </c>
    </row>
    <row r="34" customFormat="false" ht="15" hidden="false" customHeight="false" outlineLevel="0" collapsed="false">
      <c r="A34" s="17" t="s">
        <v>795</v>
      </c>
      <c r="B34" s="17" t="s">
        <v>562</v>
      </c>
      <c r="D34" s="49" t="str">
        <f aca="false">IF(MIN(D33:$AM33)&gt;=0,D$5,"")</f>
        <v/>
      </c>
      <c r="E34" s="49" t="str">
        <f aca="false">IF(MIN(E33:$AM33)&gt;=0,E$5,"")</f>
        <v/>
      </c>
      <c r="F34" s="49" t="str">
        <f aca="false">IF(MIN(F33:$AM33)&gt;=0,F$5,"")</f>
        <v/>
      </c>
      <c r="G34" s="49" t="str">
        <f aca="false">IF(MIN(G33:$AM33)&gt;=0,G$5,"")</f>
        <v/>
      </c>
      <c r="H34" s="49" t="str">
        <f aca="false">IF(MIN(H33:$AM33)&gt;=0,H$5,"")</f>
        <v/>
      </c>
      <c r="I34" s="49" t="str">
        <f aca="false">IF(MIN(I33:$AM33)&gt;=0,I$5,"")</f>
        <v/>
      </c>
      <c r="J34" s="49" t="str">
        <f aca="false">IF(MIN(J33:$AM33)&gt;=0,J$5,"")</f>
        <v/>
      </c>
      <c r="K34" s="49" t="str">
        <f aca="false">IF(MIN(K33:$AM33)&gt;=0,K$5,"")</f>
        <v/>
      </c>
      <c r="L34" s="49" t="str">
        <f aca="false">IF(MIN(L33:$AM33)&gt;=0,L$5,"")</f>
        <v/>
      </c>
      <c r="M34" s="49" t="str">
        <f aca="false">IF(MIN(M33:$AM33)&gt;=0,M$5,"")</f>
        <v/>
      </c>
      <c r="N34" s="49" t="str">
        <f aca="false">IF(MIN(N33:$AM33)&gt;=0,N$5,"")</f>
        <v/>
      </c>
      <c r="O34" s="49" t="str">
        <f aca="false">IF(MIN(O33:$AM33)&gt;=0,O$5,"")</f>
        <v/>
      </c>
      <c r="P34" s="49" t="str">
        <f aca="false">IF(MIN(P33:$AM33)&gt;=0,P$5,"")</f>
        <v/>
      </c>
      <c r="Q34" s="49" t="str">
        <f aca="false">IF(MIN(Q33:$AM33)&gt;=0,Q$5,"")</f>
        <v/>
      </c>
      <c r="R34" s="49" t="str">
        <f aca="false">IF(MIN(R33:$AM33)&gt;=0,R$5,"")</f>
        <v/>
      </c>
      <c r="S34" s="49" t="str">
        <f aca="false">IF(MIN(S33:$AM33)&gt;=0,S$5,"")</f>
        <v/>
      </c>
      <c r="T34" s="49" t="str">
        <f aca="false">IF(MIN(T33:$AM33)&gt;=0,T$5,"")</f>
        <v/>
      </c>
      <c r="U34" s="49" t="str">
        <f aca="false">IF(MIN(U33:$AM33)&gt;=0,U$5,"")</f>
        <v/>
      </c>
      <c r="V34" s="49" t="str">
        <f aca="false">IF(MIN(V33:$AM33)&gt;=0,V$5,"")</f>
        <v/>
      </c>
      <c r="W34" s="49" t="str">
        <f aca="false">IF(MIN(W33:$AM33)&gt;=0,W$5,"")</f>
        <v/>
      </c>
      <c r="X34" s="49" t="str">
        <f aca="false">IF(MIN(X33:$AM33)&gt;=0,X$5,"")</f>
        <v/>
      </c>
      <c r="Y34" s="49" t="str">
        <f aca="false">IF(MIN(Y33:$AM33)&gt;=0,Y$5,"")</f>
        <v/>
      </c>
      <c r="Z34" s="49" t="str">
        <f aca="false">IF(MIN(Z33:$AM33)&gt;=0,Z$5,"")</f>
        <v/>
      </c>
      <c r="AA34" s="49" t="str">
        <f aca="false">IF(MIN(AA33:$AM33)&gt;=0,AA$5,"")</f>
        <v/>
      </c>
      <c r="AB34" s="49" t="str">
        <f aca="false">IF(MIN(AB33:$AM33)&gt;=0,AB$5,"")</f>
        <v/>
      </c>
      <c r="AC34" s="49" t="str">
        <f aca="false">IF(MIN(AC33:$AM33)&gt;=0,AC$5,"")</f>
        <v/>
      </c>
      <c r="AD34" s="49" t="str">
        <f aca="false">IF(MIN(AD33:$AM33)&gt;=0,AD$5,"")</f>
        <v/>
      </c>
      <c r="AE34" s="49" t="str">
        <f aca="false">IF(MIN(AE33:$AM33)&gt;=0,AE$5,"")</f>
        <v/>
      </c>
      <c r="AF34" s="49" t="str">
        <f aca="false">IF(MIN(AF33:$AM33)&gt;=0,AF$5,"")</f>
        <v/>
      </c>
      <c r="AG34" s="49" t="str">
        <f aca="false">IF(MIN(AG33:$AM33)&gt;=0,AG$5,"")</f>
        <v/>
      </c>
      <c r="AH34" s="49" t="str">
        <f aca="false">IF(MIN(AH33:$AM33)&gt;=0,AH$5,"")</f>
        <v/>
      </c>
      <c r="AI34" s="49" t="str">
        <f aca="false">IF(MIN(AI33:$AM33)&gt;=0,AI$5,"")</f>
        <v/>
      </c>
      <c r="AJ34" s="49" t="str">
        <f aca="false">IF(MIN(AJ33:$AM33)&gt;=0,AJ$5,"")</f>
        <v/>
      </c>
      <c r="AK34" s="49" t="str">
        <f aca="false">IF(MIN(AK33:$AM33)&gt;=0,AK$5,"")</f>
        <v/>
      </c>
      <c r="AL34" s="49" t="str">
        <f aca="false">IF(MIN(AL33:$AM33)&gt;=0,AL$5,"")</f>
        <v/>
      </c>
      <c r="AM34" s="49" t="str">
        <f aca="false">IF(MIN(AM33:$AM33)&gt;=0,AM$5,"")</f>
        <v/>
      </c>
    </row>
    <row r="35" customFormat="false" ht="15" hidden="false" customHeight="false" outlineLevel="0" collapsed="false">
      <c r="A35" s="23" t="s">
        <v>796</v>
      </c>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row>
    <row r="36" customFormat="false" ht="15" hidden="false" customHeight="false" outlineLevel="0" collapsed="false">
      <c r="A36" s="17" t="s">
        <v>797</v>
      </c>
      <c r="B36" s="17" t="s">
        <v>61</v>
      </c>
      <c r="D36" s="46" t="n">
        <f aca="false">D7+1*D8+1*D9</f>
        <v>-80740.9101761515</v>
      </c>
      <c r="E36" s="46" t="n">
        <f aca="false">E7+1*E8+1*E9</f>
        <v>-65442.5602021942</v>
      </c>
      <c r="F36" s="46" t="n">
        <f aca="false">F7+1*F8+1*F9</f>
        <v>-35537.9909116936</v>
      </c>
      <c r="G36" s="46" t="n">
        <f aca="false">G7+1*G8+1*G9</f>
        <v>-21398.506862611</v>
      </c>
      <c r="H36" s="46" t="n">
        <f aca="false">H7+1*H8+1*H9</f>
        <v>-14264.1250220961</v>
      </c>
      <c r="I36" s="46" t="n">
        <f aca="false">I7+1*I8+1*I9</f>
        <v>-5569.57017744458</v>
      </c>
      <c r="J36" s="46" t="n">
        <f aca="false">J7+1*J8+1*J9</f>
        <v>-17528.0530243417</v>
      </c>
      <c r="K36" s="46" t="n">
        <f aca="false">K7+1*K8+1*K9</f>
        <v>-17428.0418974695</v>
      </c>
      <c r="L36" s="46" t="n">
        <f aca="false">L7+1*L8+1*L9</f>
        <v>-22859.0130303554</v>
      </c>
      <c r="M36" s="46" t="n">
        <f aca="false">M7+1*M8+1*M9</f>
        <v>-11295.7615148791</v>
      </c>
      <c r="N36" s="46" t="n">
        <f aca="false">N7+1*N8+1*N9</f>
        <v>-5553.56400888494</v>
      </c>
      <c r="O36" s="46" t="n">
        <f aca="false">O7+1*O8+1*O9</f>
        <v>-10294.8434945609</v>
      </c>
      <c r="P36" s="46" t="n">
        <f aca="false">P7+1*P8+1*P9</f>
        <v>-10464.4435493836</v>
      </c>
      <c r="Q36" s="46" t="n">
        <f aca="false">Q7+1*Q8+1*Q9</f>
        <v>-10926.983496833</v>
      </c>
      <c r="R36" s="46" t="n">
        <f aca="false">R7+1*R8+1*R9</f>
        <v>-5221.40529120876</v>
      </c>
      <c r="S36" s="46" t="n">
        <f aca="false">S7+1*S8+1*S9</f>
        <v>-5176.60013530174</v>
      </c>
      <c r="T36" s="46" t="n">
        <f aca="false">T7+1*T8+1*T9</f>
        <v>-5126.62478214431</v>
      </c>
      <c r="U36" s="46" t="n">
        <f aca="false">U7+1*U8+1*U9</f>
        <v>-5060.2358140041</v>
      </c>
      <c r="V36" s="46" t="n">
        <f aca="false">V7+1*V8+1*V9</f>
        <v>-4725.53644219349</v>
      </c>
      <c r="W36" s="46" t="n">
        <f aca="false">W7+1*W8+1*W9</f>
        <v>-4807.85411156622</v>
      </c>
      <c r="X36" s="46" t="n">
        <f aca="false">X7+1*X8+1*X9</f>
        <v>-4808.57733890675</v>
      </c>
      <c r="Y36" s="46" t="n">
        <f aca="false">Y7+1*Y8+1*Y9</f>
        <v>-4719.62702259449</v>
      </c>
      <c r="Z36" s="46" t="n">
        <f aca="false">Z7+1*Z8+1*Z9</f>
        <v>-4612.01988075222</v>
      </c>
      <c r="AA36" s="46" t="n">
        <f aca="false">AA7+1*AA8+1*AA9</f>
        <v>-4487.51869391971</v>
      </c>
      <c r="AB36" s="46" t="n">
        <f aca="false">AB7+1*AB8+1*AB9</f>
        <v>-4031.32209973777</v>
      </c>
      <c r="AC36" s="46" t="n">
        <f aca="false">AC7+1*AC8+1*AC9</f>
        <v>-3566.23477631515</v>
      </c>
      <c r="AD36" s="46" t="n">
        <f aca="false">AD7+1*AD8+1*AD9</f>
        <v>-4378.22249192347</v>
      </c>
      <c r="AE36" s="46" t="n">
        <f aca="false">AE7+1*AE8+1*AE9</f>
        <v>-3539.3719348438</v>
      </c>
      <c r="AF36" s="46" t="n">
        <f aca="false">AF7+1*AF8+1*AF9</f>
        <v>-4097.69996132406</v>
      </c>
      <c r="AG36" s="46" t="n">
        <f aca="false">AG7+1*AG8+1*AG9</f>
        <v>-3972.78534391467</v>
      </c>
      <c r="AH36" s="46" t="n">
        <f aca="false">AH7+1*AH8+1*AH9</f>
        <v>-2942.31496429209</v>
      </c>
      <c r="AI36" s="46" t="n">
        <f aca="false">AI7+1*AI8+1*AI9</f>
        <v>-3516.76908402868</v>
      </c>
      <c r="AJ36" s="46" t="n">
        <f aca="false">AJ7+1*AJ8+1*AJ9</f>
        <v>-3780.97545442098</v>
      </c>
      <c r="AK36" s="46" t="n">
        <f aca="false">AK7+1*AK8+1*AK9</f>
        <v>-3635.0175304327</v>
      </c>
      <c r="AL36" s="46" t="n">
        <f aca="false">AL7+1*AL8+1*AL9</f>
        <v>-3469.4028888844</v>
      </c>
      <c r="AM36" s="46" t="n">
        <f aca="false">AM7+1*AM8+1*AM9</f>
        <v>-3286.78461862527</v>
      </c>
      <c r="AN36" s="46" t="n">
        <f aca="false">SUM(D36:AM36)</f>
        <v>-422267.268030234</v>
      </c>
      <c r="AO36" s="46" t="n">
        <f aca="false">SUM(D36:O36)</f>
        <v>-307912.940322683</v>
      </c>
      <c r="AP36" s="46" t="n">
        <f aca="false">SUM(P36:AA36)</f>
        <v>-70137.4265588084</v>
      </c>
      <c r="AQ36" s="46" t="n">
        <f aca="false">SUM(AB36:AM36)</f>
        <v>-44216.901148743</v>
      </c>
    </row>
    <row r="37" customFormat="false" ht="15" hidden="false" customHeight="false" outlineLevel="0" collapsed="false">
      <c r="A37" s="17" t="s">
        <v>798</v>
      </c>
      <c r="B37" s="17" t="s">
        <v>61</v>
      </c>
      <c r="D37" s="46" t="n">
        <f aca="false">D7+1*D8+1*D10</f>
        <v>-80740.9101761515</v>
      </c>
      <c r="E37" s="46" t="n">
        <f aca="false">E7+1*E8+1*E10</f>
        <v>-65442.5602021942</v>
      </c>
      <c r="F37" s="46" t="n">
        <f aca="false">F7+1*F8+1*F10</f>
        <v>-35537.9909116936</v>
      </c>
      <c r="G37" s="46" t="n">
        <f aca="false">G7+1*G8+1*G10</f>
        <v>-21398.506862611</v>
      </c>
      <c r="H37" s="46" t="n">
        <f aca="false">H7+1*H8+1*H10</f>
        <v>-14264.1250220961</v>
      </c>
      <c r="I37" s="46" t="n">
        <f aca="false">I7+1*I8+1*I10</f>
        <v>-5569.57017744458</v>
      </c>
      <c r="J37" s="46" t="n">
        <f aca="false">J7+1*J8+1*J10</f>
        <v>-17528.0530243417</v>
      </c>
      <c r="K37" s="46" t="n">
        <f aca="false">K7+1*K8+1*K10</f>
        <v>-17428.0418974695</v>
      </c>
      <c r="L37" s="46" t="n">
        <f aca="false">L7+1*L8+1*L10</f>
        <v>-22859.0130303554</v>
      </c>
      <c r="M37" s="46" t="n">
        <f aca="false">M7+1*M8+1*M10</f>
        <v>-11295.7615148791</v>
      </c>
      <c r="N37" s="46" t="n">
        <f aca="false">N7+1*N8+1*N10</f>
        <v>-5553.56400888494</v>
      </c>
      <c r="O37" s="46" t="n">
        <f aca="false">O7+1*O8+1*O10</f>
        <v>-10294.8434945609</v>
      </c>
      <c r="P37" s="46" t="n">
        <f aca="false">P7+1*P8+1*P10</f>
        <v>-10464.4435493836</v>
      </c>
      <c r="Q37" s="46" t="n">
        <f aca="false">Q7+1*Q8+1*Q10</f>
        <v>-10926.983496833</v>
      </c>
      <c r="R37" s="46" t="n">
        <f aca="false">R7+1*R8+1*R10</f>
        <v>-5221.40529120876</v>
      </c>
      <c r="S37" s="46" t="n">
        <f aca="false">S7+1*S8+1*S10</f>
        <v>-5176.60013530174</v>
      </c>
      <c r="T37" s="46" t="n">
        <f aca="false">T7+1*T8+1*T10</f>
        <v>-5126.62478214431</v>
      </c>
      <c r="U37" s="46" t="n">
        <f aca="false">U7+1*U8+1*U10</f>
        <v>-5060.2358140041</v>
      </c>
      <c r="V37" s="46" t="n">
        <f aca="false">V7+1*V8+1*V10</f>
        <v>-4725.53644219349</v>
      </c>
      <c r="W37" s="46" t="n">
        <f aca="false">W7+1*W8+1*W10</f>
        <v>-4807.85411156622</v>
      </c>
      <c r="X37" s="46" t="n">
        <f aca="false">X7+1*X8+1*X10</f>
        <v>-4808.57733890675</v>
      </c>
      <c r="Y37" s="46" t="n">
        <f aca="false">Y7+1*Y8+1*Y10</f>
        <v>-4719.62702259449</v>
      </c>
      <c r="Z37" s="46" t="n">
        <f aca="false">Z7+1*Z8+1*Z10</f>
        <v>-4612.01988075222</v>
      </c>
      <c r="AA37" s="46" t="n">
        <f aca="false">AA7+1*AA8+1*AA10</f>
        <v>-4487.51869391971</v>
      </c>
      <c r="AB37" s="46" t="n">
        <f aca="false">AB7+1*AB8+1*AB10</f>
        <v>-4031.32209973777</v>
      </c>
      <c r="AC37" s="46" t="n">
        <f aca="false">AC7+1*AC8+1*AC10</f>
        <v>-3566.23477631515</v>
      </c>
      <c r="AD37" s="46" t="n">
        <f aca="false">AD7+1*AD8+1*AD10</f>
        <v>-4378.22249192347</v>
      </c>
      <c r="AE37" s="46" t="n">
        <f aca="false">AE7+1*AE8+1*AE10</f>
        <v>-3539.3719348438</v>
      </c>
      <c r="AF37" s="46" t="n">
        <f aca="false">AF7+1*AF8+1*AF10</f>
        <v>-4097.69996132406</v>
      </c>
      <c r="AG37" s="46" t="n">
        <f aca="false">AG7+1*AG8+1*AG10</f>
        <v>-3972.78534391467</v>
      </c>
      <c r="AH37" s="46" t="n">
        <f aca="false">AH7+1*AH8+1*AH10</f>
        <v>-2942.31496429209</v>
      </c>
      <c r="AI37" s="46" t="n">
        <f aca="false">AI7+1*AI8+1*AI10</f>
        <v>-3516.76908402868</v>
      </c>
      <c r="AJ37" s="46" t="n">
        <f aca="false">AJ7+1*AJ8+1*AJ10</f>
        <v>-3780.97545442098</v>
      </c>
      <c r="AK37" s="46" t="n">
        <f aca="false">AK7+1*AK8+1*AK10</f>
        <v>-3635.0175304327</v>
      </c>
      <c r="AL37" s="46" t="n">
        <f aca="false">AL7+1*AL8+1*AL10</f>
        <v>-3469.4028888844</v>
      </c>
      <c r="AM37" s="46" t="n">
        <f aca="false">AM7+1*AM8+1*AM10</f>
        <v>-3286.78461862527</v>
      </c>
      <c r="AN37" s="46" t="n">
        <f aca="false">SUM(D37:AM37)</f>
        <v>-422267.268030234</v>
      </c>
      <c r="AO37" s="46" t="n">
        <f aca="false">SUM(D37:O37)</f>
        <v>-307912.940322683</v>
      </c>
      <c r="AP37" s="46" t="n">
        <f aca="false">SUM(P37:AA37)</f>
        <v>-70137.4265588084</v>
      </c>
      <c r="AQ37" s="46" t="n">
        <f aca="false">SUM(AB37:AM37)</f>
        <v>-44216.901148743</v>
      </c>
    </row>
    <row r="38" customFormat="false" ht="15" hidden="false" customHeight="false" outlineLevel="0" collapsed="false">
      <c r="A38" s="3" t="s">
        <v>799</v>
      </c>
      <c r="B38" s="17" t="s">
        <v>61</v>
      </c>
      <c r="C38" s="46" t="n">
        <f aca="false">Inputs!$B$8</f>
        <v>30000</v>
      </c>
      <c r="D38" s="8" t="n">
        <f aca="false">C38+D37</f>
        <v>-50740.9101761515</v>
      </c>
      <c r="E38" s="8" t="n">
        <f aca="false">D38+E37</f>
        <v>-116183.470378346</v>
      </c>
      <c r="F38" s="8" t="n">
        <f aca="false">E38+F37</f>
        <v>-151721.461290039</v>
      </c>
      <c r="G38" s="8" t="n">
        <f aca="false">F38+G37</f>
        <v>-173119.96815265</v>
      </c>
      <c r="H38" s="8" t="n">
        <f aca="false">G38+H37</f>
        <v>-187384.093174747</v>
      </c>
      <c r="I38" s="8" t="n">
        <f aca="false">H38+I37</f>
        <v>-192953.663352191</v>
      </c>
      <c r="J38" s="8" t="n">
        <f aca="false">I38+J37</f>
        <v>-210481.716376533</v>
      </c>
      <c r="K38" s="8" t="n">
        <f aca="false">J38+K37</f>
        <v>-227909.758274002</v>
      </c>
      <c r="L38" s="8" t="n">
        <f aca="false">K38+L37</f>
        <v>-250768.771304358</v>
      </c>
      <c r="M38" s="8" t="n">
        <f aca="false">L38+M37</f>
        <v>-262064.532819237</v>
      </c>
      <c r="N38" s="8" t="n">
        <f aca="false">M38+N37</f>
        <v>-267618.096828122</v>
      </c>
      <c r="O38" s="8" t="n">
        <f aca="false">N38+O37</f>
        <v>-277912.940322683</v>
      </c>
      <c r="P38" s="8" t="n">
        <f aca="false">O38+P37</f>
        <v>-288377.383872066</v>
      </c>
      <c r="Q38" s="8" t="n">
        <f aca="false">P38+Q37</f>
        <v>-299304.367368899</v>
      </c>
      <c r="R38" s="8" t="n">
        <f aca="false">Q38+R37</f>
        <v>-304525.772660108</v>
      </c>
      <c r="S38" s="8" t="n">
        <f aca="false">R38+S37</f>
        <v>-309702.37279541</v>
      </c>
      <c r="T38" s="8" t="n">
        <f aca="false">S38+T37</f>
        <v>-314828.997577554</v>
      </c>
      <c r="U38" s="8" t="n">
        <f aca="false">T38+U37</f>
        <v>-319889.233391558</v>
      </c>
      <c r="V38" s="8" t="n">
        <f aca="false">U38+V37</f>
        <v>-324614.769833752</v>
      </c>
      <c r="W38" s="8" t="n">
        <f aca="false">V38+W37</f>
        <v>-329422.623945318</v>
      </c>
      <c r="X38" s="8" t="n">
        <f aca="false">W38+X37</f>
        <v>-334231.201284225</v>
      </c>
      <c r="Y38" s="8" t="n">
        <f aca="false">X38+Y37</f>
        <v>-338950.828306819</v>
      </c>
      <c r="Z38" s="8" t="n">
        <f aca="false">Y38+Z37</f>
        <v>-343562.848187571</v>
      </c>
      <c r="AA38" s="8" t="n">
        <f aca="false">Z38+AA37</f>
        <v>-348050.366881491</v>
      </c>
      <c r="AB38" s="8" t="n">
        <f aca="false">AA38+AB37</f>
        <v>-352081.688981229</v>
      </c>
      <c r="AC38" s="8" t="n">
        <f aca="false">AB38+AC37</f>
        <v>-355647.923757544</v>
      </c>
      <c r="AD38" s="8" t="n">
        <f aca="false">AC38+AD37</f>
        <v>-360026.146249467</v>
      </c>
      <c r="AE38" s="8" t="n">
        <f aca="false">AD38+AE37</f>
        <v>-363565.518184311</v>
      </c>
      <c r="AF38" s="8" t="n">
        <f aca="false">AE38+AF37</f>
        <v>-367663.218145635</v>
      </c>
      <c r="AG38" s="8" t="n">
        <f aca="false">AF38+AG37</f>
        <v>-371636.00348955</v>
      </c>
      <c r="AH38" s="8" t="n">
        <f aca="false">AG38+AH37</f>
        <v>-374578.318453842</v>
      </c>
      <c r="AI38" s="8" t="n">
        <f aca="false">AH38+AI37</f>
        <v>-378095.087537871</v>
      </c>
      <c r="AJ38" s="8" t="n">
        <f aca="false">AI38+AJ37</f>
        <v>-381876.062992292</v>
      </c>
      <c r="AK38" s="8" t="n">
        <f aca="false">AJ38+AK37</f>
        <v>-385511.080522724</v>
      </c>
      <c r="AL38" s="8" t="n">
        <f aca="false">AK38+AL37</f>
        <v>-388980.483411609</v>
      </c>
      <c r="AM38" s="8" t="n">
        <f aca="false">AL38+AM37</f>
        <v>-392267.268030234</v>
      </c>
    </row>
    <row r="39" customFormat="false" ht="15" hidden="false" customHeight="false" outlineLevel="0" collapsed="false">
      <c r="A39" s="17" t="s">
        <v>800</v>
      </c>
      <c r="B39" s="17" t="s">
        <v>61</v>
      </c>
      <c r="D39" s="46" t="n">
        <f aca="false">D11+1*D12+1*D13</f>
        <v>58650</v>
      </c>
      <c r="E39" s="46" t="n">
        <f aca="false">E11+1*E12+1*E13</f>
        <v>55380</v>
      </c>
      <c r="F39" s="46" t="n">
        <f aca="false">F11+1*F12+1*F13</f>
        <v>30090</v>
      </c>
      <c r="G39" s="46" t="n">
        <f aca="false">G11+1*G12+1*G13</f>
        <v>12180</v>
      </c>
      <c r="H39" s="46" t="n">
        <f aca="false">H11+1*H12+1*H13</f>
        <v>8700</v>
      </c>
      <c r="I39" s="46" t="n">
        <f aca="false">I11+1*I12+1*I13</f>
        <v>0</v>
      </c>
      <c r="J39" s="46" t="n">
        <f aca="false">J11+1*J12+1*J13</f>
        <v>11538.3333333333</v>
      </c>
      <c r="K39" s="46" t="n">
        <f aca="false">K11+1*K12+1*K13</f>
        <v>11538.3333333333</v>
      </c>
      <c r="L39" s="46" t="n">
        <f aca="false">L11+1*L12+1*L13</f>
        <v>17238.3333333333</v>
      </c>
      <c r="M39" s="46" t="n">
        <f aca="false">M11+1*M12+1*M13</f>
        <v>5700</v>
      </c>
      <c r="N39" s="46" t="n">
        <f aca="false">N11+1*N12+1*N13</f>
        <v>0</v>
      </c>
      <c r="O39" s="46" t="n">
        <f aca="false">O11+1*O12+1*O13</f>
        <v>4800</v>
      </c>
      <c r="P39" s="46" t="n">
        <f aca="false">P11+1*P12+1*P13</f>
        <v>4800</v>
      </c>
      <c r="Q39" s="46" t="n">
        <f aca="false">Q11+1*Q12+1*Q13</f>
        <v>4800</v>
      </c>
      <c r="R39" s="46" t="n">
        <f aca="false">R11+1*R12+1*R13</f>
        <v>0</v>
      </c>
      <c r="S39" s="46" t="n">
        <f aca="false">S11+1*S12+1*S13</f>
        <v>0</v>
      </c>
      <c r="T39" s="46" t="n">
        <f aca="false">T11+1*T12+1*T13</f>
        <v>0</v>
      </c>
      <c r="U39" s="46" t="n">
        <f aca="false">U11+1*U12+1*U13</f>
        <v>0</v>
      </c>
      <c r="V39" s="46" t="n">
        <f aca="false">V11+1*V12+1*V13</f>
        <v>0</v>
      </c>
      <c r="W39" s="46" t="n">
        <f aca="false">W11+1*W12+1*W13</f>
        <v>0</v>
      </c>
      <c r="X39" s="46" t="n">
        <f aca="false">X11+1*X12+1*X13</f>
        <v>0</v>
      </c>
      <c r="Y39" s="46" t="n">
        <f aca="false">Y11+1*Y12+1*Y13</f>
        <v>0</v>
      </c>
      <c r="Z39" s="46" t="n">
        <f aca="false">Z11+1*Z12+1*Z13</f>
        <v>0</v>
      </c>
      <c r="AA39" s="46" t="n">
        <f aca="false">AA11+1*AA12+1*AA13</f>
        <v>0</v>
      </c>
      <c r="AB39" s="46" t="n">
        <f aca="false">AB11+1*AB12+1*AB13</f>
        <v>0</v>
      </c>
      <c r="AC39" s="46" t="n">
        <f aca="false">AC11+1*AC12+1*AC13</f>
        <v>0</v>
      </c>
      <c r="AD39" s="46" t="n">
        <f aca="false">AD11+1*AD12+1*AD13</f>
        <v>0</v>
      </c>
      <c r="AE39" s="46" t="n">
        <f aca="false">AE11+1*AE12+1*AE13</f>
        <v>0</v>
      </c>
      <c r="AF39" s="46" t="n">
        <f aca="false">AF11+1*AF12+1*AF13</f>
        <v>0</v>
      </c>
      <c r="AG39" s="46" t="n">
        <f aca="false">AG11+1*AG12+1*AG13</f>
        <v>0</v>
      </c>
      <c r="AH39" s="46" t="n">
        <f aca="false">AH11+1*AH12+1*AH13</f>
        <v>0</v>
      </c>
      <c r="AI39" s="46" t="n">
        <f aca="false">AI11+1*AI12+1*AI13</f>
        <v>0</v>
      </c>
      <c r="AJ39" s="46" t="n">
        <f aca="false">AJ11+1*AJ12+1*AJ13</f>
        <v>0</v>
      </c>
      <c r="AK39" s="46" t="n">
        <f aca="false">AK11+1*AK12+1*AK13</f>
        <v>0</v>
      </c>
      <c r="AL39" s="46" t="n">
        <f aca="false">AL11+1*AL12+1*AL13</f>
        <v>0</v>
      </c>
      <c r="AM39" s="46" t="n">
        <f aca="false">AM11+1*AM12+1*AM13</f>
        <v>0</v>
      </c>
      <c r="AN39" s="46" t="n">
        <f aca="false">SUM(D39:AM39)</f>
        <v>225415</v>
      </c>
      <c r="AO39" s="46" t="n">
        <f aca="false">SUM(D39:O39)</f>
        <v>215815</v>
      </c>
      <c r="AP39" s="46" t="n">
        <f aca="false">SUM(P39:AA39)</f>
        <v>9600</v>
      </c>
      <c r="AQ39" s="46" t="n">
        <f aca="false">SUM(AB39:AM39)</f>
        <v>0</v>
      </c>
    </row>
    <row r="40" customFormat="false" ht="15" hidden="false" customHeight="false" outlineLevel="0" collapsed="false">
      <c r="A40" s="17" t="s">
        <v>801</v>
      </c>
      <c r="B40" s="17" t="s">
        <v>61</v>
      </c>
      <c r="D40" s="46" t="n">
        <f aca="false">SUM(D36)</f>
        <v>-80740.9101761515</v>
      </c>
      <c r="E40" s="46" t="n">
        <f aca="false">SUM(D36:E36)</f>
        <v>-146183.470378346</v>
      </c>
      <c r="F40" s="46" t="n">
        <f aca="false">SUM(D36:F36)</f>
        <v>-181721.461290039</v>
      </c>
      <c r="G40" s="46" t="n">
        <f aca="false">SUM(E36:G36)</f>
        <v>-122379.057976499</v>
      </c>
      <c r="H40" s="46" t="n">
        <f aca="false">SUM(F36:H36)</f>
        <v>-71200.6227964008</v>
      </c>
      <c r="I40" s="46" t="n">
        <f aca="false">SUM(G36:I36)</f>
        <v>-41232.2020621518</v>
      </c>
      <c r="J40" s="46" t="n">
        <f aca="false">SUM(H36:J36)</f>
        <v>-37361.7482238824</v>
      </c>
      <c r="K40" s="46" t="n">
        <f aca="false">SUM(I36:K36)</f>
        <v>-40525.6650992558</v>
      </c>
      <c r="L40" s="46" t="n">
        <f aca="false">SUM(J36:L36)</f>
        <v>-57815.1079521666</v>
      </c>
      <c r="M40" s="46" t="n">
        <f aca="false">SUM(K36:M36)</f>
        <v>-51582.8164427041</v>
      </c>
      <c r="N40" s="46" t="n">
        <f aca="false">SUM(L36:N36)</f>
        <v>-39708.3385541195</v>
      </c>
      <c r="O40" s="46" t="n">
        <f aca="false">SUM(M36:O36)</f>
        <v>-27144.1690183249</v>
      </c>
      <c r="P40" s="46" t="n">
        <f aca="false">SUM(N36:P36)</f>
        <v>-26312.8510528294</v>
      </c>
      <c r="Q40" s="46" t="n">
        <f aca="false">SUM(O36:Q36)</f>
        <v>-31686.2705407774</v>
      </c>
      <c r="R40" s="46" t="n">
        <f aca="false">SUM(P36:R36)</f>
        <v>-26612.8323374253</v>
      </c>
      <c r="S40" s="46" t="n">
        <f aca="false">SUM(Q36:S36)</f>
        <v>-21324.9889233435</v>
      </c>
      <c r="T40" s="46" t="n">
        <f aca="false">SUM(R36:T36)</f>
        <v>-15524.6302086548</v>
      </c>
      <c r="U40" s="46" t="n">
        <f aca="false">SUM(S36:U36)</f>
        <v>-15363.4607314501</v>
      </c>
      <c r="V40" s="46" t="n">
        <f aca="false">SUM(T36:V36)</f>
        <v>-14912.3970383419</v>
      </c>
      <c r="W40" s="46" t="n">
        <f aca="false">SUM(U36:W36)</f>
        <v>-14593.6263677638</v>
      </c>
      <c r="X40" s="46" t="n">
        <f aca="false">SUM(V36:X36)</f>
        <v>-14341.9678926665</v>
      </c>
      <c r="Y40" s="46" t="n">
        <f aca="false">SUM(W36:Y36)</f>
        <v>-14336.0584730675</v>
      </c>
      <c r="Z40" s="46" t="n">
        <f aca="false">SUM(X36:Z36)</f>
        <v>-14140.2242422535</v>
      </c>
      <c r="AA40" s="46" t="n">
        <f aca="false">SUM(Y36:AA36)</f>
        <v>-13819.1655972664</v>
      </c>
      <c r="AB40" s="46" t="n">
        <f aca="false">SUM(Z36:AB36)</f>
        <v>-13130.8606744097</v>
      </c>
      <c r="AC40" s="46" t="n">
        <f aca="false">SUM(AA36:AC36)</f>
        <v>-12085.0755699726</v>
      </c>
      <c r="AD40" s="46" t="n">
        <f aca="false">SUM(AB36:AD36)</f>
        <v>-11975.7793679764</v>
      </c>
      <c r="AE40" s="46" t="n">
        <f aca="false">SUM(AC36:AE36)</f>
        <v>-11483.8292030824</v>
      </c>
      <c r="AF40" s="46" t="n">
        <f aca="false">SUM(AD36:AF36)</f>
        <v>-12015.2943880913</v>
      </c>
      <c r="AG40" s="46" t="n">
        <f aca="false">SUM(AE36:AG36)</f>
        <v>-11609.8572400825</v>
      </c>
      <c r="AH40" s="46" t="n">
        <f aca="false">SUM(AF36:AH36)</f>
        <v>-11012.8002695308</v>
      </c>
      <c r="AI40" s="46" t="n">
        <f aca="false">SUM(AG36:AI36)</f>
        <v>-10431.8693922354</v>
      </c>
      <c r="AJ40" s="46" t="n">
        <f aca="false">SUM(AH36:AJ36)</f>
        <v>-10240.0595027417</v>
      </c>
      <c r="AK40" s="46" t="n">
        <f aca="false">SUM(AI36:AK36)</f>
        <v>-10932.7620688824</v>
      </c>
      <c r="AL40" s="46" t="n">
        <f aca="false">SUM(AJ36:AL36)</f>
        <v>-10885.3958737381</v>
      </c>
      <c r="AM40" s="46" t="n">
        <f aca="false">SUM(AK36:AM36)</f>
        <v>-10391.2050379424</v>
      </c>
    </row>
    <row r="41" customFormat="false" ht="15" hidden="false" customHeight="false" outlineLevel="0" collapsed="false">
      <c r="A41" s="17" t="s">
        <v>802</v>
      </c>
      <c r="B41" s="17" t="s">
        <v>562</v>
      </c>
      <c r="D41" s="49" t="str">
        <f aca="false">IF(MIN(D40:$AM40)&gt;=0,D$5,"")</f>
        <v/>
      </c>
      <c r="E41" s="49" t="str">
        <f aca="false">IF(MIN(E40:$AM40)&gt;=0,E$5,"")</f>
        <v/>
      </c>
      <c r="F41" s="49" t="str">
        <f aca="false">IF(MIN(F40:$AM40)&gt;=0,F$5,"")</f>
        <v/>
      </c>
      <c r="G41" s="49" t="str">
        <f aca="false">IF(MIN(G40:$AM40)&gt;=0,G$5,"")</f>
        <v/>
      </c>
      <c r="H41" s="49" t="str">
        <f aca="false">IF(MIN(H40:$AM40)&gt;=0,H$5,"")</f>
        <v/>
      </c>
      <c r="I41" s="49" t="str">
        <f aca="false">IF(MIN(I40:$AM40)&gt;=0,I$5,"")</f>
        <v/>
      </c>
      <c r="J41" s="49" t="str">
        <f aca="false">IF(MIN(J40:$AM40)&gt;=0,J$5,"")</f>
        <v/>
      </c>
      <c r="K41" s="49" t="str">
        <f aca="false">IF(MIN(K40:$AM40)&gt;=0,K$5,"")</f>
        <v/>
      </c>
      <c r="L41" s="49" t="str">
        <f aca="false">IF(MIN(L40:$AM40)&gt;=0,L$5,"")</f>
        <v/>
      </c>
      <c r="M41" s="49" t="str">
        <f aca="false">IF(MIN(M40:$AM40)&gt;=0,M$5,"")</f>
        <v/>
      </c>
      <c r="N41" s="49" t="str">
        <f aca="false">IF(MIN(N40:$AM40)&gt;=0,N$5,"")</f>
        <v/>
      </c>
      <c r="O41" s="49" t="str">
        <f aca="false">IF(MIN(O40:$AM40)&gt;=0,O$5,"")</f>
        <v/>
      </c>
      <c r="P41" s="49" t="str">
        <f aca="false">IF(MIN(P40:$AM40)&gt;=0,P$5,"")</f>
        <v/>
      </c>
      <c r="Q41" s="49" t="str">
        <f aca="false">IF(MIN(Q40:$AM40)&gt;=0,Q$5,"")</f>
        <v/>
      </c>
      <c r="R41" s="49" t="str">
        <f aca="false">IF(MIN(R40:$AM40)&gt;=0,R$5,"")</f>
        <v/>
      </c>
      <c r="S41" s="49" t="str">
        <f aca="false">IF(MIN(S40:$AM40)&gt;=0,S$5,"")</f>
        <v/>
      </c>
      <c r="T41" s="49" t="str">
        <f aca="false">IF(MIN(T40:$AM40)&gt;=0,T$5,"")</f>
        <v/>
      </c>
      <c r="U41" s="49" t="str">
        <f aca="false">IF(MIN(U40:$AM40)&gt;=0,U$5,"")</f>
        <v/>
      </c>
      <c r="V41" s="49" t="str">
        <f aca="false">IF(MIN(V40:$AM40)&gt;=0,V$5,"")</f>
        <v/>
      </c>
      <c r="W41" s="49" t="str">
        <f aca="false">IF(MIN(W40:$AM40)&gt;=0,W$5,"")</f>
        <v/>
      </c>
      <c r="X41" s="49" t="str">
        <f aca="false">IF(MIN(X40:$AM40)&gt;=0,X$5,"")</f>
        <v/>
      </c>
      <c r="Y41" s="49" t="str">
        <f aca="false">IF(MIN(Y40:$AM40)&gt;=0,Y$5,"")</f>
        <v/>
      </c>
      <c r="Z41" s="49" t="str">
        <f aca="false">IF(MIN(Z40:$AM40)&gt;=0,Z$5,"")</f>
        <v/>
      </c>
      <c r="AA41" s="49" t="str">
        <f aca="false">IF(MIN(AA40:$AM40)&gt;=0,AA$5,"")</f>
        <v/>
      </c>
      <c r="AB41" s="49" t="str">
        <f aca="false">IF(MIN(AB40:$AM40)&gt;=0,AB$5,"")</f>
        <v/>
      </c>
      <c r="AC41" s="49" t="str">
        <f aca="false">IF(MIN(AC40:$AM40)&gt;=0,AC$5,"")</f>
        <v/>
      </c>
      <c r="AD41" s="49" t="str">
        <f aca="false">IF(MIN(AD40:$AM40)&gt;=0,AD$5,"")</f>
        <v/>
      </c>
      <c r="AE41" s="49" t="str">
        <f aca="false">IF(MIN(AE40:$AM40)&gt;=0,AE$5,"")</f>
        <v/>
      </c>
      <c r="AF41" s="49" t="str">
        <f aca="false">IF(MIN(AF40:$AM40)&gt;=0,AF$5,"")</f>
        <v/>
      </c>
      <c r="AG41" s="49" t="str">
        <f aca="false">IF(MIN(AG40:$AM40)&gt;=0,AG$5,"")</f>
        <v/>
      </c>
      <c r="AH41" s="49" t="str">
        <f aca="false">IF(MIN(AH40:$AM40)&gt;=0,AH$5,"")</f>
        <v/>
      </c>
      <c r="AI41" s="49" t="str">
        <f aca="false">IF(MIN(AI40:$AM40)&gt;=0,AI$5,"")</f>
        <v/>
      </c>
      <c r="AJ41" s="49" t="str">
        <f aca="false">IF(MIN(AJ40:$AM40)&gt;=0,AJ$5,"")</f>
        <v/>
      </c>
      <c r="AK41" s="49" t="str">
        <f aca="false">IF(MIN(AK40:$AM40)&gt;=0,AK$5,"")</f>
        <v/>
      </c>
      <c r="AL41" s="49" t="str">
        <f aca="false">IF(MIN(AL40:$AM40)&gt;=0,AL$5,"")</f>
        <v/>
      </c>
      <c r="AM41" s="49" t="str">
        <f aca="false">IF(MIN(AM40:$AM40)&gt;=0,AM$5,"")</f>
        <v/>
      </c>
    </row>
    <row r="42" customFormat="false" ht="15" hidden="false" customHeight="false" outlineLevel="0" collapsed="false">
      <c r="A42" s="23" t="s">
        <v>803</v>
      </c>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row>
    <row r="43" customFormat="false" ht="15" hidden="false" customHeight="false" outlineLevel="0" collapsed="false">
      <c r="A43" s="17" t="s">
        <v>804</v>
      </c>
      <c r="B43" s="17" t="s">
        <v>61</v>
      </c>
      <c r="D43" s="46" t="n">
        <f aca="false">D7+Scenarios!$B$43*D8+Scenarios!$B$42*D9</f>
        <v>-62740.9101761515</v>
      </c>
      <c r="E43" s="46" t="n">
        <f aca="false">E7+Scenarios!$B$43*E8+Scenarios!$B$42*E9</f>
        <v>-54192.5602021942</v>
      </c>
      <c r="F43" s="46" t="n">
        <f aca="false">F7+Scenarios!$B$43*F8+Scenarios!$B$42*F9</f>
        <v>-24287.9909116936</v>
      </c>
      <c r="G43" s="46" t="n">
        <f aca="false">G7+Scenarios!$B$43*G8+Scenarios!$B$42*G9</f>
        <v>-12698.506862611</v>
      </c>
      <c r="H43" s="46" t="n">
        <f aca="false">H7+Scenarios!$B$43*H8+Scenarios!$B$42*H9</f>
        <v>-5564.12502209614</v>
      </c>
      <c r="I43" s="46" t="n">
        <f aca="false">I7+Scenarios!$B$43*I8+Scenarios!$B$42*I9</f>
        <v>-5569.57017744458</v>
      </c>
      <c r="J43" s="46" t="n">
        <f aca="false">J7+Scenarios!$B$43*J8+Scenarios!$B$42*J9</f>
        <v>-5989.71969100837</v>
      </c>
      <c r="K43" s="46" t="n">
        <f aca="false">K7+Scenarios!$B$43*K8+Scenarios!$B$42*K9</f>
        <v>-5595.75543913615</v>
      </c>
      <c r="L43" s="46" t="n">
        <f aca="false">L7+Scenarios!$B$43*L8+Scenarios!$B$42*L9</f>
        <v>-5332.52144065615</v>
      </c>
      <c r="M43" s="46" t="n">
        <f aca="false">M7+Scenarios!$B$43*M8+Scenarios!$B$42*M9</f>
        <v>-5313.15662326534</v>
      </c>
      <c r="N43" s="46" t="n">
        <f aca="false">N7+Scenarios!$B$43*N8+Scenarios!$B$42*N9</f>
        <v>-5276.28104292958</v>
      </c>
      <c r="O43" s="46" t="n">
        <f aca="false">O7+Scenarios!$B$43*O8+Scenarios!$B$42*O9</f>
        <v>-5222.66066050349</v>
      </c>
      <c r="P43" s="46" t="n">
        <f aca="false">P7+Scenarios!$B$43*P8+Scenarios!$B$42*P9</f>
        <v>-5397.14829682327</v>
      </c>
      <c r="Q43" s="46" t="n">
        <f aca="false">Q7+Scenarios!$B$43*Q8+Scenarios!$B$42*Q9</f>
        <v>-5864.37213350708</v>
      </c>
      <c r="R43" s="46" t="n">
        <f aca="false">R7+Scenarios!$B$43*R8+Scenarios!$B$42*R9</f>
        <v>-4963.28261382542</v>
      </c>
      <c r="S43" s="46" t="n">
        <f aca="false">S7+Scenarios!$B$43*S8+Scenarios!$B$42*S9</f>
        <v>-4922.77907575852</v>
      </c>
      <c r="T43" s="46" t="n">
        <f aca="false">T7+Scenarios!$B$43*T8+Scenarios!$B$42*T9</f>
        <v>-4876.92606849005</v>
      </c>
      <c r="U43" s="46" t="n">
        <f aca="false">U7+Scenarios!$B$43*U8+Scenarios!$B$42*U9</f>
        <v>-4814.48764553072</v>
      </c>
      <c r="V43" s="46" t="n">
        <f aca="false">V7+Scenarios!$B$43*V8+Scenarios!$B$42*V9</f>
        <v>-4483.5741780684</v>
      </c>
      <c r="W43" s="46" t="n">
        <f aca="false">W7+Scenarios!$B$43*W8+Scenarios!$B$42*W9</f>
        <v>-4585.29496010681</v>
      </c>
      <c r="X43" s="46" t="n">
        <f aca="false">X7+Scenarios!$B$43*X8+Scenarios!$B$42*X9</f>
        <v>-4590.3845535809</v>
      </c>
      <c r="Y43" s="46" t="n">
        <f aca="false">Y7+Scenarios!$B$43*Y8+Scenarios!$B$42*Y9</f>
        <v>-4505.61863303539</v>
      </c>
      <c r="Z43" s="46" t="n">
        <f aca="false">Z7+Scenarios!$B$43*Z8+Scenarios!$B$42*Z9</f>
        <v>-4402.02150029388</v>
      </c>
      <c r="AA43" s="46" t="n">
        <f aca="false">AA7+Scenarios!$B$43*AA8+Scenarios!$B$42*AA9</f>
        <v>-4281.36320354265</v>
      </c>
      <c r="AB43" s="46" t="n">
        <f aca="false">AB7+Scenarios!$B$43*AB8+Scenarios!$B$42*AB9</f>
        <v>-3828.84934518642</v>
      </c>
      <c r="AC43" s="46" t="n">
        <f aca="false">AC7+Scenarios!$B$43*AC8+Scenarios!$B$42*AC9</f>
        <v>-3367.29127783804</v>
      </c>
      <c r="AD43" s="46" t="n">
        <f aca="false">AD7+Scenarios!$B$43*AD8+Scenarios!$B$42*AD9</f>
        <v>-4182.6611661101</v>
      </c>
      <c r="AE43" s="46" t="n">
        <f aca="false">AE7+Scenarios!$B$43*AE8+Scenarios!$B$42*AE9</f>
        <v>-3347.05182805415</v>
      </c>
      <c r="AF43" s="46" t="n">
        <f aca="false">AF7+Scenarios!$B$43*AF8+Scenarios!$B$42*AF9</f>
        <v>-3908.48599422749</v>
      </c>
      <c r="AG43" s="46" t="n">
        <f aca="false">AG7+Scenarios!$B$43*AG8+Scenarios!$B$42*AG9</f>
        <v>-3786.54806667532</v>
      </c>
      <c r="AH43" s="46" t="n">
        <f aca="false">AH7+Scenarios!$B$43*AH8+Scenarios!$B$42*AH9</f>
        <v>-2758.93032195702</v>
      </c>
      <c r="AI43" s="46" t="n">
        <f aca="false">AI7+Scenarios!$B$43*AI8+Scenarios!$B$42*AI9</f>
        <v>-3336.11819169362</v>
      </c>
      <c r="AJ43" s="46" t="n">
        <f aca="false">AJ7+Scenarios!$B$43*AJ8+Scenarios!$B$42*AJ9</f>
        <v>-3602.94438176605</v>
      </c>
      <c r="AK43" s="46" t="n">
        <f aca="false">AK7+Scenarios!$B$43*AK8+Scenarios!$B$42*AK9</f>
        <v>-3459.49709523783</v>
      </c>
      <c r="AL43" s="46" t="n">
        <f aca="false">AL7+Scenarios!$B$43*AL8+Scenarios!$B$42*AL9</f>
        <v>-3296.28845914998</v>
      </c>
      <c r="AM43" s="46" t="n">
        <f aca="false">AM7+Scenarios!$B$43*AM8+Scenarios!$B$42*AM9</f>
        <v>-3115.97592293962</v>
      </c>
      <c r="AN43" s="46" t="n">
        <f aca="false">SUM(D43:AM43)</f>
        <v>-297461.653163089</v>
      </c>
      <c r="AO43" s="46" t="n">
        <f aca="false">SUM(D43:O43)</f>
        <v>-197783.75824969</v>
      </c>
      <c r="AP43" s="46" t="n">
        <f aca="false">SUM(P43:AA43)</f>
        <v>-57687.2528625631</v>
      </c>
      <c r="AQ43" s="46" t="n">
        <f aca="false">SUM(AB43:AM43)</f>
        <v>-41990.6420508356</v>
      </c>
    </row>
    <row r="44" customFormat="false" ht="15" hidden="false" customHeight="false" outlineLevel="0" collapsed="false">
      <c r="A44" s="17" t="s">
        <v>805</v>
      </c>
      <c r="B44" s="17" t="s">
        <v>61</v>
      </c>
      <c r="D44" s="46" t="n">
        <f aca="false">D7+Scenarios!$B$43*D8+Scenarios!$B$42*D10</f>
        <v>-62740.9101761515</v>
      </c>
      <c r="E44" s="46" t="n">
        <f aca="false">E7+Scenarios!$B$43*E8+Scenarios!$B$42*E10</f>
        <v>-54192.5602021942</v>
      </c>
      <c r="F44" s="46" t="n">
        <f aca="false">F7+Scenarios!$B$43*F8+Scenarios!$B$42*F10</f>
        <v>-24287.9909116936</v>
      </c>
      <c r="G44" s="46" t="n">
        <f aca="false">G7+Scenarios!$B$43*G8+Scenarios!$B$42*G10</f>
        <v>-12698.506862611</v>
      </c>
      <c r="H44" s="46" t="n">
        <f aca="false">H7+Scenarios!$B$43*H8+Scenarios!$B$42*H10</f>
        <v>-5564.12502209614</v>
      </c>
      <c r="I44" s="46" t="n">
        <f aca="false">I7+Scenarios!$B$43*I8+Scenarios!$B$42*I10</f>
        <v>-5569.57017744458</v>
      </c>
      <c r="J44" s="46" t="n">
        <f aca="false">J7+Scenarios!$B$43*J8+Scenarios!$B$42*J10</f>
        <v>-5989.71969100837</v>
      </c>
      <c r="K44" s="46" t="n">
        <f aca="false">K7+Scenarios!$B$43*K8+Scenarios!$B$42*K10</f>
        <v>-5595.75543913615</v>
      </c>
      <c r="L44" s="46" t="n">
        <f aca="false">L7+Scenarios!$B$43*L8+Scenarios!$B$42*L10</f>
        <v>-5332.52144065615</v>
      </c>
      <c r="M44" s="46" t="n">
        <f aca="false">M7+Scenarios!$B$43*M8+Scenarios!$B$42*M10</f>
        <v>-5313.15662326534</v>
      </c>
      <c r="N44" s="46" t="n">
        <f aca="false">N7+Scenarios!$B$43*N8+Scenarios!$B$42*N10</f>
        <v>-5276.28104292958</v>
      </c>
      <c r="O44" s="46" t="n">
        <f aca="false">O7+Scenarios!$B$43*O8+Scenarios!$B$42*O10</f>
        <v>-5222.66066050349</v>
      </c>
      <c r="P44" s="46" t="n">
        <f aca="false">P7+Scenarios!$B$43*P8+Scenarios!$B$42*P10</f>
        <v>-5397.14829682327</v>
      </c>
      <c r="Q44" s="46" t="n">
        <f aca="false">Q7+Scenarios!$B$43*Q8+Scenarios!$B$42*Q10</f>
        <v>-5864.37213350708</v>
      </c>
      <c r="R44" s="46" t="n">
        <f aca="false">R7+Scenarios!$B$43*R8+Scenarios!$B$42*R10</f>
        <v>-4963.28261382542</v>
      </c>
      <c r="S44" s="46" t="n">
        <f aca="false">S7+Scenarios!$B$43*S8+Scenarios!$B$42*S10</f>
        <v>-4922.77907575852</v>
      </c>
      <c r="T44" s="46" t="n">
        <f aca="false">T7+Scenarios!$B$43*T8+Scenarios!$B$42*T10</f>
        <v>-4876.92606849005</v>
      </c>
      <c r="U44" s="46" t="n">
        <f aca="false">U7+Scenarios!$B$43*U8+Scenarios!$B$42*U10</f>
        <v>-4814.48764553072</v>
      </c>
      <c r="V44" s="46" t="n">
        <f aca="false">V7+Scenarios!$B$43*V8+Scenarios!$B$42*V10</f>
        <v>-4483.5741780684</v>
      </c>
      <c r="W44" s="46" t="n">
        <f aca="false">W7+Scenarios!$B$43*W8+Scenarios!$B$42*W10</f>
        <v>-4585.29496010681</v>
      </c>
      <c r="X44" s="46" t="n">
        <f aca="false">X7+Scenarios!$B$43*X8+Scenarios!$B$42*X10</f>
        <v>-4590.3845535809</v>
      </c>
      <c r="Y44" s="46" t="n">
        <f aca="false">Y7+Scenarios!$B$43*Y8+Scenarios!$B$42*Y10</f>
        <v>-4505.61863303539</v>
      </c>
      <c r="Z44" s="46" t="n">
        <f aca="false">Z7+Scenarios!$B$43*Z8+Scenarios!$B$42*Z10</f>
        <v>-4402.02150029388</v>
      </c>
      <c r="AA44" s="46" t="n">
        <f aca="false">AA7+Scenarios!$B$43*AA8+Scenarios!$B$42*AA10</f>
        <v>-4281.36320354265</v>
      </c>
      <c r="AB44" s="46" t="n">
        <f aca="false">AB7+Scenarios!$B$43*AB8+Scenarios!$B$42*AB10</f>
        <v>-3828.84934518642</v>
      </c>
      <c r="AC44" s="46" t="n">
        <f aca="false">AC7+Scenarios!$B$43*AC8+Scenarios!$B$42*AC10</f>
        <v>-3367.29127783804</v>
      </c>
      <c r="AD44" s="46" t="n">
        <f aca="false">AD7+Scenarios!$B$43*AD8+Scenarios!$B$42*AD10</f>
        <v>-4182.6611661101</v>
      </c>
      <c r="AE44" s="46" t="n">
        <f aca="false">AE7+Scenarios!$B$43*AE8+Scenarios!$B$42*AE10</f>
        <v>-3347.05182805415</v>
      </c>
      <c r="AF44" s="46" t="n">
        <f aca="false">AF7+Scenarios!$B$43*AF8+Scenarios!$B$42*AF10</f>
        <v>-3908.48599422749</v>
      </c>
      <c r="AG44" s="46" t="n">
        <f aca="false">AG7+Scenarios!$B$43*AG8+Scenarios!$B$42*AG10</f>
        <v>-3786.54806667532</v>
      </c>
      <c r="AH44" s="46" t="n">
        <f aca="false">AH7+Scenarios!$B$43*AH8+Scenarios!$B$42*AH10</f>
        <v>-2758.93032195702</v>
      </c>
      <c r="AI44" s="46" t="n">
        <f aca="false">AI7+Scenarios!$B$43*AI8+Scenarios!$B$42*AI10</f>
        <v>-3336.11819169362</v>
      </c>
      <c r="AJ44" s="46" t="n">
        <f aca="false">AJ7+Scenarios!$B$43*AJ8+Scenarios!$B$42*AJ10</f>
        <v>-3602.94438176605</v>
      </c>
      <c r="AK44" s="46" t="n">
        <f aca="false">AK7+Scenarios!$B$43*AK8+Scenarios!$B$42*AK10</f>
        <v>-3459.49709523783</v>
      </c>
      <c r="AL44" s="46" t="n">
        <f aca="false">AL7+Scenarios!$B$43*AL8+Scenarios!$B$42*AL10</f>
        <v>-3296.28845914998</v>
      </c>
      <c r="AM44" s="46" t="n">
        <f aca="false">AM7+Scenarios!$B$43*AM8+Scenarios!$B$42*AM10</f>
        <v>-3115.97592293962</v>
      </c>
      <c r="AN44" s="46" t="n">
        <f aca="false">SUM(D44:AM44)</f>
        <v>-297461.653163089</v>
      </c>
      <c r="AO44" s="46" t="n">
        <f aca="false">SUM(D44:O44)</f>
        <v>-197783.75824969</v>
      </c>
      <c r="AP44" s="46" t="n">
        <f aca="false">SUM(P44:AA44)</f>
        <v>-57687.2528625631</v>
      </c>
      <c r="AQ44" s="46" t="n">
        <f aca="false">SUM(AB44:AM44)</f>
        <v>-41990.6420508356</v>
      </c>
    </row>
    <row r="45" customFormat="false" ht="15" hidden="false" customHeight="false" outlineLevel="0" collapsed="false">
      <c r="A45" s="3" t="s">
        <v>806</v>
      </c>
      <c r="B45" s="17" t="s">
        <v>61</v>
      </c>
      <c r="C45" s="46" t="n">
        <f aca="false">Inputs!$B$8</f>
        <v>30000</v>
      </c>
      <c r="D45" s="8" t="n">
        <f aca="false">C45+D44</f>
        <v>-32740.9101761515</v>
      </c>
      <c r="E45" s="8" t="n">
        <f aca="false">D45+E44</f>
        <v>-86933.4703783457</v>
      </c>
      <c r="F45" s="8" t="n">
        <f aca="false">E45+F44</f>
        <v>-111221.461290039</v>
      </c>
      <c r="G45" s="8" t="n">
        <f aca="false">F45+G44</f>
        <v>-123919.96815265</v>
      </c>
      <c r="H45" s="8" t="n">
        <f aca="false">G45+H44</f>
        <v>-129484.093174746</v>
      </c>
      <c r="I45" s="8" t="n">
        <f aca="false">H45+I44</f>
        <v>-135053.663352191</v>
      </c>
      <c r="J45" s="8" t="n">
        <f aca="false">I45+J44</f>
        <v>-141043.383043199</v>
      </c>
      <c r="K45" s="8" t="n">
        <f aca="false">J45+K44</f>
        <v>-146639.138482336</v>
      </c>
      <c r="L45" s="8" t="n">
        <f aca="false">K45+L44</f>
        <v>-151971.659922992</v>
      </c>
      <c r="M45" s="8" t="n">
        <f aca="false">L45+M44</f>
        <v>-157284.816546257</v>
      </c>
      <c r="N45" s="8" t="n">
        <f aca="false">M45+N44</f>
        <v>-162561.097589187</v>
      </c>
      <c r="O45" s="8" t="n">
        <f aca="false">N45+O44</f>
        <v>-167783.75824969</v>
      </c>
      <c r="P45" s="8" t="n">
        <f aca="false">O45+P44</f>
        <v>-173180.906546513</v>
      </c>
      <c r="Q45" s="8" t="n">
        <f aca="false">P45+Q44</f>
        <v>-179045.27868002</v>
      </c>
      <c r="R45" s="8" t="n">
        <f aca="false">Q45+R44</f>
        <v>-184008.561293846</v>
      </c>
      <c r="S45" s="8" t="n">
        <f aca="false">R45+S44</f>
        <v>-188931.340369604</v>
      </c>
      <c r="T45" s="8" t="n">
        <f aca="false">S45+T44</f>
        <v>-193808.266438094</v>
      </c>
      <c r="U45" s="8" t="n">
        <f aca="false">T45+U44</f>
        <v>-198622.754083625</v>
      </c>
      <c r="V45" s="8" t="n">
        <f aca="false">U45+V44</f>
        <v>-203106.328261694</v>
      </c>
      <c r="W45" s="8" t="n">
        <f aca="false">V45+W44</f>
        <v>-207691.6232218</v>
      </c>
      <c r="X45" s="8" t="n">
        <f aca="false">W45+X44</f>
        <v>-212282.007775381</v>
      </c>
      <c r="Y45" s="8" t="n">
        <f aca="false">X45+Y44</f>
        <v>-216787.626408417</v>
      </c>
      <c r="Z45" s="8" t="n">
        <f aca="false">Y45+Z44</f>
        <v>-221189.647908711</v>
      </c>
      <c r="AA45" s="8" t="n">
        <f aca="false">Z45+AA44</f>
        <v>-225471.011112253</v>
      </c>
      <c r="AB45" s="8" t="n">
        <f aca="false">AA45+AB44</f>
        <v>-229299.86045744</v>
      </c>
      <c r="AC45" s="8" t="n">
        <f aca="false">AB45+AC44</f>
        <v>-232667.151735278</v>
      </c>
      <c r="AD45" s="8" t="n">
        <f aca="false">AC45+AD44</f>
        <v>-236849.812901388</v>
      </c>
      <c r="AE45" s="8" t="n">
        <f aca="false">AD45+AE44</f>
        <v>-240196.864729442</v>
      </c>
      <c r="AF45" s="8" t="n">
        <f aca="false">AE45+AF44</f>
        <v>-244105.350723669</v>
      </c>
      <c r="AG45" s="8" t="n">
        <f aca="false">AF45+AG44</f>
        <v>-247891.898790345</v>
      </c>
      <c r="AH45" s="8" t="n">
        <f aca="false">AG45+AH44</f>
        <v>-250650.829112302</v>
      </c>
      <c r="AI45" s="8" t="n">
        <f aca="false">AH45+AI44</f>
        <v>-253986.947303995</v>
      </c>
      <c r="AJ45" s="8" t="n">
        <f aca="false">AI45+AJ44</f>
        <v>-257589.891685761</v>
      </c>
      <c r="AK45" s="8" t="n">
        <f aca="false">AJ45+AK44</f>
        <v>-261049.388780999</v>
      </c>
      <c r="AL45" s="8" t="n">
        <f aca="false">AK45+AL44</f>
        <v>-264345.677240149</v>
      </c>
      <c r="AM45" s="8" t="n">
        <f aca="false">AL45+AM44</f>
        <v>-267461.653163089</v>
      </c>
    </row>
    <row r="46" customFormat="false" ht="15" hidden="false" customHeight="false" outlineLevel="0" collapsed="false">
      <c r="A46" s="17" t="s">
        <v>807</v>
      </c>
      <c r="B46" s="17" t="s">
        <v>61</v>
      </c>
      <c r="D46" s="46" t="n">
        <f aca="false">D11+Scenarios!$B$43*D12+Scenarios!$B$42*D13</f>
        <v>40650</v>
      </c>
      <c r="E46" s="46" t="n">
        <f aca="false">E11+Scenarios!$B$43*E12+Scenarios!$B$42*E13</f>
        <v>44130</v>
      </c>
      <c r="F46" s="46" t="n">
        <f aca="false">F11+Scenarios!$B$43*F12+Scenarios!$B$42*F13</f>
        <v>18840</v>
      </c>
      <c r="G46" s="46" t="n">
        <f aca="false">G11+Scenarios!$B$43*G12+Scenarios!$B$42*G13</f>
        <v>3480</v>
      </c>
      <c r="H46" s="46" t="n">
        <f aca="false">H11+Scenarios!$B$43*H12+Scenarios!$B$42*H13</f>
        <v>0</v>
      </c>
      <c r="I46" s="46" t="n">
        <f aca="false">I11+Scenarios!$B$43*I12+Scenarios!$B$42*I13</f>
        <v>0</v>
      </c>
      <c r="J46" s="46" t="n">
        <f aca="false">J11+Scenarios!$B$43*J12+Scenarios!$B$42*J13</f>
        <v>0</v>
      </c>
      <c r="K46" s="46" t="n">
        <f aca="false">K11+Scenarios!$B$43*K12+Scenarios!$B$42*K13</f>
        <v>0</v>
      </c>
      <c r="L46" s="46" t="n">
        <f aca="false">L11+Scenarios!$B$43*L12+Scenarios!$B$42*L13</f>
        <v>0</v>
      </c>
      <c r="M46" s="46" t="n">
        <f aca="false">M11+Scenarios!$B$43*M12+Scenarios!$B$42*M13</f>
        <v>0</v>
      </c>
      <c r="N46" s="46" t="n">
        <f aca="false">N11+Scenarios!$B$43*N12+Scenarios!$B$42*N13</f>
        <v>0</v>
      </c>
      <c r="O46" s="46" t="n">
        <f aca="false">O11+Scenarios!$B$43*O12+Scenarios!$B$42*O13</f>
        <v>0</v>
      </c>
      <c r="P46" s="46" t="n">
        <f aca="false">P11+Scenarios!$B$43*P12+Scenarios!$B$42*P13</f>
        <v>0</v>
      </c>
      <c r="Q46" s="46" t="n">
        <f aca="false">Q11+Scenarios!$B$43*Q12+Scenarios!$B$42*Q13</f>
        <v>0</v>
      </c>
      <c r="R46" s="46" t="n">
        <f aca="false">R11+Scenarios!$B$43*R12+Scenarios!$B$42*R13</f>
        <v>0</v>
      </c>
      <c r="S46" s="46" t="n">
        <f aca="false">S11+Scenarios!$B$43*S12+Scenarios!$B$42*S13</f>
        <v>0</v>
      </c>
      <c r="T46" s="46" t="n">
        <f aca="false">T11+Scenarios!$B$43*T12+Scenarios!$B$42*T13</f>
        <v>0</v>
      </c>
      <c r="U46" s="46" t="n">
        <f aca="false">U11+Scenarios!$B$43*U12+Scenarios!$B$42*U13</f>
        <v>0</v>
      </c>
      <c r="V46" s="46" t="n">
        <f aca="false">V11+Scenarios!$B$43*V12+Scenarios!$B$42*V13</f>
        <v>0</v>
      </c>
      <c r="W46" s="46" t="n">
        <f aca="false">W11+Scenarios!$B$43*W12+Scenarios!$B$42*W13</f>
        <v>0</v>
      </c>
      <c r="X46" s="46" t="n">
        <f aca="false">X11+Scenarios!$B$43*X12+Scenarios!$B$42*X13</f>
        <v>0</v>
      </c>
      <c r="Y46" s="46" t="n">
        <f aca="false">Y11+Scenarios!$B$43*Y12+Scenarios!$B$42*Y13</f>
        <v>0</v>
      </c>
      <c r="Z46" s="46" t="n">
        <f aca="false">Z11+Scenarios!$B$43*Z12+Scenarios!$B$42*Z13</f>
        <v>0</v>
      </c>
      <c r="AA46" s="46" t="n">
        <f aca="false">AA11+Scenarios!$B$43*AA12+Scenarios!$B$42*AA13</f>
        <v>0</v>
      </c>
      <c r="AB46" s="46" t="n">
        <f aca="false">AB11+Scenarios!$B$43*AB12+Scenarios!$B$42*AB13</f>
        <v>0</v>
      </c>
      <c r="AC46" s="46" t="n">
        <f aca="false">AC11+Scenarios!$B$43*AC12+Scenarios!$B$42*AC13</f>
        <v>0</v>
      </c>
      <c r="AD46" s="46" t="n">
        <f aca="false">AD11+Scenarios!$B$43*AD12+Scenarios!$B$42*AD13</f>
        <v>0</v>
      </c>
      <c r="AE46" s="46" t="n">
        <f aca="false">AE11+Scenarios!$B$43*AE12+Scenarios!$B$42*AE13</f>
        <v>0</v>
      </c>
      <c r="AF46" s="46" t="n">
        <f aca="false">AF11+Scenarios!$B$43*AF12+Scenarios!$B$42*AF13</f>
        <v>0</v>
      </c>
      <c r="AG46" s="46" t="n">
        <f aca="false">AG11+Scenarios!$B$43*AG12+Scenarios!$B$42*AG13</f>
        <v>0</v>
      </c>
      <c r="AH46" s="46" t="n">
        <f aca="false">AH11+Scenarios!$B$43*AH12+Scenarios!$B$42*AH13</f>
        <v>0</v>
      </c>
      <c r="AI46" s="46" t="n">
        <f aca="false">AI11+Scenarios!$B$43*AI12+Scenarios!$B$42*AI13</f>
        <v>0</v>
      </c>
      <c r="AJ46" s="46" t="n">
        <f aca="false">AJ11+Scenarios!$B$43*AJ12+Scenarios!$B$42*AJ13</f>
        <v>0</v>
      </c>
      <c r="AK46" s="46" t="n">
        <f aca="false">AK11+Scenarios!$B$43*AK12+Scenarios!$B$42*AK13</f>
        <v>0</v>
      </c>
      <c r="AL46" s="46" t="n">
        <f aca="false">AL11+Scenarios!$B$43*AL12+Scenarios!$B$42*AL13</f>
        <v>0</v>
      </c>
      <c r="AM46" s="46" t="n">
        <f aca="false">AM11+Scenarios!$B$43*AM12+Scenarios!$B$42*AM13</f>
        <v>0</v>
      </c>
      <c r="AN46" s="46" t="n">
        <f aca="false">SUM(D46:AM46)</f>
        <v>107100</v>
      </c>
      <c r="AO46" s="46" t="n">
        <f aca="false">SUM(D46:O46)</f>
        <v>107100</v>
      </c>
      <c r="AP46" s="46" t="n">
        <f aca="false">SUM(P46:AA46)</f>
        <v>0</v>
      </c>
      <c r="AQ46" s="46" t="n">
        <f aca="false">SUM(AB46:AM46)</f>
        <v>0</v>
      </c>
    </row>
    <row r="47" customFormat="false" ht="15" hidden="false" customHeight="false" outlineLevel="0" collapsed="false">
      <c r="A47" s="17" t="s">
        <v>808</v>
      </c>
      <c r="B47" s="17" t="s">
        <v>61</v>
      </c>
      <c r="D47" s="46" t="n">
        <f aca="false">SUM(D43)</f>
        <v>-62740.9101761515</v>
      </c>
      <c r="E47" s="46" t="n">
        <f aca="false">SUM(D43:E43)</f>
        <v>-116933.470378346</v>
      </c>
      <c r="F47" s="46" t="n">
        <f aca="false">SUM(D43:F43)</f>
        <v>-141221.461290039</v>
      </c>
      <c r="G47" s="46" t="n">
        <f aca="false">SUM(E43:G43)</f>
        <v>-91179.0579764989</v>
      </c>
      <c r="H47" s="46" t="n">
        <f aca="false">SUM(F43:H43)</f>
        <v>-42550.6227964008</v>
      </c>
      <c r="I47" s="46" t="n">
        <f aca="false">SUM(G43:I43)</f>
        <v>-23832.2020621518</v>
      </c>
      <c r="J47" s="46" t="n">
        <f aca="false">SUM(H43:J43)</f>
        <v>-17123.4148905491</v>
      </c>
      <c r="K47" s="46" t="n">
        <f aca="false">SUM(I43:K43)</f>
        <v>-17155.0453075891</v>
      </c>
      <c r="L47" s="46" t="n">
        <f aca="false">SUM(J43:L43)</f>
        <v>-16917.9965708007</v>
      </c>
      <c r="M47" s="46" t="n">
        <f aca="false">SUM(K43:M43)</f>
        <v>-16241.4335030576</v>
      </c>
      <c r="N47" s="46" t="n">
        <f aca="false">SUM(L43:N43)</f>
        <v>-15921.9591068511</v>
      </c>
      <c r="O47" s="46" t="n">
        <f aca="false">SUM(M43:O43)</f>
        <v>-15812.0983266984</v>
      </c>
      <c r="P47" s="46" t="n">
        <f aca="false">SUM(N43:P43)</f>
        <v>-15896.0900002563</v>
      </c>
      <c r="Q47" s="46" t="n">
        <f aca="false">SUM(O43:Q43)</f>
        <v>-16484.1810908338</v>
      </c>
      <c r="R47" s="46" t="n">
        <f aca="false">SUM(P43:R43)</f>
        <v>-16224.8030441558</v>
      </c>
      <c r="S47" s="46" t="n">
        <f aca="false">SUM(Q43:S43)</f>
        <v>-15750.433823091</v>
      </c>
      <c r="T47" s="46" t="n">
        <f aca="false">SUM(R43:T43)</f>
        <v>-14762.987758074</v>
      </c>
      <c r="U47" s="46" t="n">
        <f aca="false">SUM(S43:U43)</f>
        <v>-14614.1927897793</v>
      </c>
      <c r="V47" s="46" t="n">
        <f aca="false">SUM(T43:V43)</f>
        <v>-14174.9878920892</v>
      </c>
      <c r="W47" s="46" t="n">
        <f aca="false">SUM(U43:W43)</f>
        <v>-13883.3567837059</v>
      </c>
      <c r="X47" s="46" t="n">
        <f aca="false">SUM(V43:X43)</f>
        <v>-13659.2536917561</v>
      </c>
      <c r="Y47" s="46" t="n">
        <f aca="false">SUM(W43:Y43)</f>
        <v>-13681.2981467231</v>
      </c>
      <c r="Z47" s="46" t="n">
        <f aca="false">SUM(X43:Z43)</f>
        <v>-13498.0246869102</v>
      </c>
      <c r="AA47" s="46" t="n">
        <f aca="false">SUM(Y43:AA43)</f>
        <v>-13189.0033368719</v>
      </c>
      <c r="AB47" s="46" t="n">
        <f aca="false">SUM(Z43:AB43)</f>
        <v>-12512.234049023</v>
      </c>
      <c r="AC47" s="46" t="n">
        <f aca="false">SUM(AA43:AC43)</f>
        <v>-11477.5038265671</v>
      </c>
      <c r="AD47" s="46" t="n">
        <f aca="false">SUM(AB43:AD43)</f>
        <v>-11378.8017891346</v>
      </c>
      <c r="AE47" s="46" t="n">
        <f aca="false">SUM(AC43:AE43)</f>
        <v>-10897.0042720023</v>
      </c>
      <c r="AF47" s="46" t="n">
        <f aca="false">SUM(AD43:AF43)</f>
        <v>-11438.1989883917</v>
      </c>
      <c r="AG47" s="46" t="n">
        <f aca="false">SUM(AE43:AG43)</f>
        <v>-11042.0858889569</v>
      </c>
      <c r="AH47" s="46" t="n">
        <f aca="false">SUM(AF43:AH43)</f>
        <v>-10453.9643828598</v>
      </c>
      <c r="AI47" s="46" t="n">
        <f aca="false">SUM(AG43:AI43)</f>
        <v>-9881.59658032596</v>
      </c>
      <c r="AJ47" s="46" t="n">
        <f aca="false">SUM(AH43:AJ43)</f>
        <v>-9697.99289541669</v>
      </c>
      <c r="AK47" s="46" t="n">
        <f aca="false">SUM(AI43:AK43)</f>
        <v>-10398.5596686975</v>
      </c>
      <c r="AL47" s="46" t="n">
        <f aca="false">SUM(AJ43:AL43)</f>
        <v>-10358.7299361539</v>
      </c>
      <c r="AM47" s="46" t="n">
        <f aca="false">SUM(AK43:AM43)</f>
        <v>-9871.76147732743</v>
      </c>
    </row>
    <row r="48" customFormat="false" ht="15" hidden="false" customHeight="false" outlineLevel="0" collapsed="false">
      <c r="A48" s="17" t="s">
        <v>809</v>
      </c>
      <c r="B48" s="17" t="s">
        <v>562</v>
      </c>
      <c r="D48" s="49" t="str">
        <f aca="false">IF(MIN(D47:$AM47)&gt;=0,D$5,"")</f>
        <v/>
      </c>
      <c r="E48" s="49" t="str">
        <f aca="false">IF(MIN(E47:$AM47)&gt;=0,E$5,"")</f>
        <v/>
      </c>
      <c r="F48" s="49" t="str">
        <f aca="false">IF(MIN(F47:$AM47)&gt;=0,F$5,"")</f>
        <v/>
      </c>
      <c r="G48" s="49" t="str">
        <f aca="false">IF(MIN(G47:$AM47)&gt;=0,G$5,"")</f>
        <v/>
      </c>
      <c r="H48" s="49" t="str">
        <f aca="false">IF(MIN(H47:$AM47)&gt;=0,H$5,"")</f>
        <v/>
      </c>
      <c r="I48" s="49" t="str">
        <f aca="false">IF(MIN(I47:$AM47)&gt;=0,I$5,"")</f>
        <v/>
      </c>
      <c r="J48" s="49" t="str">
        <f aca="false">IF(MIN(J47:$AM47)&gt;=0,J$5,"")</f>
        <v/>
      </c>
      <c r="K48" s="49" t="str">
        <f aca="false">IF(MIN(K47:$AM47)&gt;=0,K$5,"")</f>
        <v/>
      </c>
      <c r="L48" s="49" t="str">
        <f aca="false">IF(MIN(L47:$AM47)&gt;=0,L$5,"")</f>
        <v/>
      </c>
      <c r="M48" s="49" t="str">
        <f aca="false">IF(MIN(M47:$AM47)&gt;=0,M$5,"")</f>
        <v/>
      </c>
      <c r="N48" s="49" t="str">
        <f aca="false">IF(MIN(N47:$AM47)&gt;=0,N$5,"")</f>
        <v/>
      </c>
      <c r="O48" s="49" t="str">
        <f aca="false">IF(MIN(O47:$AM47)&gt;=0,O$5,"")</f>
        <v/>
      </c>
      <c r="P48" s="49" t="str">
        <f aca="false">IF(MIN(P47:$AM47)&gt;=0,P$5,"")</f>
        <v/>
      </c>
      <c r="Q48" s="49" t="str">
        <f aca="false">IF(MIN(Q47:$AM47)&gt;=0,Q$5,"")</f>
        <v/>
      </c>
      <c r="R48" s="49" t="str">
        <f aca="false">IF(MIN(R47:$AM47)&gt;=0,R$5,"")</f>
        <v/>
      </c>
      <c r="S48" s="49" t="str">
        <f aca="false">IF(MIN(S47:$AM47)&gt;=0,S$5,"")</f>
        <v/>
      </c>
      <c r="T48" s="49" t="str">
        <f aca="false">IF(MIN(T47:$AM47)&gt;=0,T$5,"")</f>
        <v/>
      </c>
      <c r="U48" s="49" t="str">
        <f aca="false">IF(MIN(U47:$AM47)&gt;=0,U$5,"")</f>
        <v/>
      </c>
      <c r="V48" s="49" t="str">
        <f aca="false">IF(MIN(V47:$AM47)&gt;=0,V$5,"")</f>
        <v/>
      </c>
      <c r="W48" s="49" t="str">
        <f aca="false">IF(MIN(W47:$AM47)&gt;=0,W$5,"")</f>
        <v/>
      </c>
      <c r="X48" s="49" t="str">
        <f aca="false">IF(MIN(X47:$AM47)&gt;=0,X$5,"")</f>
        <v/>
      </c>
      <c r="Y48" s="49" t="str">
        <f aca="false">IF(MIN(Y47:$AM47)&gt;=0,Y$5,"")</f>
        <v/>
      </c>
      <c r="Z48" s="49" t="str">
        <f aca="false">IF(MIN(Z47:$AM47)&gt;=0,Z$5,"")</f>
        <v/>
      </c>
      <c r="AA48" s="49" t="str">
        <f aca="false">IF(MIN(AA47:$AM47)&gt;=0,AA$5,"")</f>
        <v/>
      </c>
      <c r="AB48" s="49" t="str">
        <f aca="false">IF(MIN(AB47:$AM47)&gt;=0,AB$5,"")</f>
        <v/>
      </c>
      <c r="AC48" s="49" t="str">
        <f aca="false">IF(MIN(AC47:$AM47)&gt;=0,AC$5,"")</f>
        <v/>
      </c>
      <c r="AD48" s="49" t="str">
        <f aca="false">IF(MIN(AD47:$AM47)&gt;=0,AD$5,"")</f>
        <v/>
      </c>
      <c r="AE48" s="49" t="str">
        <f aca="false">IF(MIN(AE47:$AM47)&gt;=0,AE$5,"")</f>
        <v/>
      </c>
      <c r="AF48" s="49" t="str">
        <f aca="false">IF(MIN(AF47:$AM47)&gt;=0,AF$5,"")</f>
        <v/>
      </c>
      <c r="AG48" s="49" t="str">
        <f aca="false">IF(MIN(AG47:$AM47)&gt;=0,AG$5,"")</f>
        <v/>
      </c>
      <c r="AH48" s="49" t="str">
        <f aca="false">IF(MIN(AH47:$AM47)&gt;=0,AH$5,"")</f>
        <v/>
      </c>
      <c r="AI48" s="49" t="str">
        <f aca="false">IF(MIN(AI47:$AM47)&gt;=0,AI$5,"")</f>
        <v/>
      </c>
      <c r="AJ48" s="49" t="str">
        <f aca="false">IF(MIN(AJ47:$AM47)&gt;=0,AJ$5,"")</f>
        <v/>
      </c>
      <c r="AK48" s="49" t="str">
        <f aca="false">IF(MIN(AK47:$AM47)&gt;=0,AK$5,"")</f>
        <v/>
      </c>
      <c r="AL48" s="49" t="str">
        <f aca="false">IF(MIN(AL47:$AM47)&gt;=0,AL$5,"")</f>
        <v/>
      </c>
      <c r="AM48" s="49" t="str">
        <f aca="false">IF(MIN(AM47:$AM47)&gt;=0,AM$5,"")</f>
        <v/>
      </c>
    </row>
    <row r="50" customFormat="false" ht="15" hidden="false" customHeight="false" outlineLevel="0" collapsed="false">
      <c r="A50" s="23" t="s">
        <v>810</v>
      </c>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row>
    <row r="51" customFormat="false" ht="35.5" hidden="false" customHeight="false" outlineLevel="0" collapsed="false">
      <c r="A51" s="15" t="s">
        <v>811</v>
      </c>
      <c r="B51" s="62" t="s">
        <v>33</v>
      </c>
      <c r="C51" s="62" t="s">
        <v>812</v>
      </c>
      <c r="D51" s="62" t="s">
        <v>35</v>
      </c>
      <c r="E51" s="62" t="s">
        <v>36</v>
      </c>
      <c r="F51" s="62" t="s">
        <v>813</v>
      </c>
    </row>
    <row r="52" customFormat="false" ht="15" hidden="false" customHeight="false" outlineLevel="0" collapsed="false">
      <c r="A52" s="17" t="s">
        <v>37</v>
      </c>
      <c r="B52" s="46" t="n">
        <f aca="false">O17</f>
        <v>-167783.75824969</v>
      </c>
      <c r="C52" s="46" t="n">
        <f aca="false">O24</f>
        <v>-243297.940322683</v>
      </c>
      <c r="D52" s="46" t="n">
        <f aca="false">O31</f>
        <v>-202398.75824969</v>
      </c>
      <c r="E52" s="46" t="n">
        <f aca="false">O38</f>
        <v>-277912.940322683</v>
      </c>
      <c r="F52" s="46" t="n">
        <f aca="false">O45</f>
        <v>-167783.75824969</v>
      </c>
    </row>
    <row r="53" customFormat="false" ht="15" hidden="false" customHeight="false" outlineLevel="0" collapsed="false">
      <c r="A53" s="17" t="s">
        <v>38</v>
      </c>
      <c r="B53" s="46" t="n">
        <f aca="false">AA17</f>
        <v>-225471.011112253</v>
      </c>
      <c r="C53" s="46" t="n">
        <f aca="false">AA24</f>
        <v>-313435.366881491</v>
      </c>
      <c r="D53" s="46" t="n">
        <f aca="false">AA31</f>
        <v>-260086.011112253</v>
      </c>
      <c r="E53" s="46" t="n">
        <f aca="false">AA38</f>
        <v>-348050.366881491</v>
      </c>
      <c r="F53" s="46" t="n">
        <f aca="false">AA45</f>
        <v>-225471.011112253</v>
      </c>
    </row>
    <row r="54" customFormat="false" ht="15" hidden="false" customHeight="false" outlineLevel="0" collapsed="false">
      <c r="A54" s="17" t="s">
        <v>39</v>
      </c>
      <c r="B54" s="46" t="n">
        <f aca="false">AM17</f>
        <v>-267461.653163089</v>
      </c>
      <c r="C54" s="46" t="n">
        <f aca="false">AM24</f>
        <v>-357652.268030234</v>
      </c>
      <c r="D54" s="46" t="n">
        <f aca="false">AM31</f>
        <v>-302076.653163089</v>
      </c>
      <c r="E54" s="46" t="n">
        <f aca="false">AM38</f>
        <v>-392267.268030234</v>
      </c>
      <c r="F54" s="46" t="n">
        <f aca="false">AM45</f>
        <v>-267461.653163089</v>
      </c>
    </row>
    <row r="55" customFormat="false" ht="15" hidden="false" customHeight="false" outlineLevel="0" collapsed="false">
      <c r="A55" s="17" t="s">
        <v>814</v>
      </c>
      <c r="B55" s="46" t="n">
        <f aca="false">MIN(C17:AM17)</f>
        <v>-267461.653163089</v>
      </c>
      <c r="C55" s="46" t="n">
        <f aca="false">MIN(C24:AM24)</f>
        <v>-357652.268030234</v>
      </c>
      <c r="D55" s="46" t="n">
        <f aca="false">MIN(C31:AM31)</f>
        <v>-302076.653163089</v>
      </c>
      <c r="E55" s="46" t="n">
        <f aca="false">MIN(C38:AM38)</f>
        <v>-392267.268030234</v>
      </c>
      <c r="F55" s="46" t="n">
        <f aca="false">MIN(C45:AM45)</f>
        <v>-267461.653163089</v>
      </c>
    </row>
    <row r="56" customFormat="false" ht="15" hidden="false" customHeight="false" outlineLevel="0" collapsed="false">
      <c r="A56" s="17" t="s">
        <v>699</v>
      </c>
      <c r="B56" s="46" t="n">
        <f aca="false">MAX(0,Inputs!$B$8-B55)</f>
        <v>297461.653163089</v>
      </c>
      <c r="C56" s="46" t="n">
        <f aca="false">MAX(0,Inputs!$B$8-C55)</f>
        <v>387652.268030234</v>
      </c>
      <c r="D56" s="46" t="n">
        <f aca="false">MAX(0,Inputs!$B$8-D55)</f>
        <v>332076.653163089</v>
      </c>
      <c r="E56" s="46" t="n">
        <f aca="false">MAX(0,Inputs!$B$8-E55)</f>
        <v>422267.268030234</v>
      </c>
      <c r="F56" s="46" t="n">
        <f aca="false">MAX(0,Inputs!$B$8-F55)</f>
        <v>297461.653163089</v>
      </c>
    </row>
    <row r="57" customFormat="false" ht="15" hidden="false" customHeight="false" outlineLevel="0" collapsed="false">
      <c r="A57" s="17" t="s">
        <v>815</v>
      </c>
      <c r="B57" s="49" t="str">
        <f aca="false">IF(COUNT(D20:AM20)=0,"Not within 36 mo",MIN(D20:AM20))</f>
        <v>Not within 36 mo</v>
      </c>
      <c r="C57" s="49" t="str">
        <f aca="false">IF(COUNT(D27:AM27)=0,"Not within 36 mo",MIN(D27:AM27))</f>
        <v>Not within 36 mo</v>
      </c>
      <c r="D57" s="49" t="str">
        <f aca="false">IF(COUNT(D34:AM34)=0,"Not within 36 mo",MIN(D34:AM34))</f>
        <v>Not within 36 mo</v>
      </c>
      <c r="E57" s="49" t="str">
        <f aca="false">IF(COUNT(D41:AM41)=0,"Not within 36 mo",MIN(D41:AM41))</f>
        <v>Not within 36 mo</v>
      </c>
      <c r="F57" s="49" t="str">
        <f aca="false">IF(COUNT(D48:AM48)=0,"Not within 36 mo",MIN(D48:AM48))</f>
        <v>Not within 36 mo</v>
      </c>
    </row>
    <row r="58" customFormat="false" ht="15" hidden="false" customHeight="false" outlineLevel="0" collapsed="false">
      <c r="A58" s="17" t="s">
        <v>723</v>
      </c>
      <c r="B58" s="46" t="n">
        <f aca="false">SUM(D18:AM18)</f>
        <v>107100</v>
      </c>
      <c r="C58" s="46" t="n">
        <f aca="false">SUM(D25:AM25)</f>
        <v>190800</v>
      </c>
      <c r="D58" s="46" t="n">
        <f aca="false">SUM(D32:AM32)</f>
        <v>141715</v>
      </c>
      <c r="E58" s="46" t="n">
        <f aca="false">SUM(D39:AM39)</f>
        <v>225415</v>
      </c>
      <c r="F58" s="46" t="n">
        <f aca="false">SUM(D46:AM46)</f>
        <v>107100</v>
      </c>
    </row>
    <row r="59" customFormat="false" ht="15" hidden="false" customHeight="false" outlineLevel="0" collapsed="false">
      <c r="A59" s="17" t="s">
        <v>816</v>
      </c>
      <c r="B59" s="46" t="n">
        <f aca="false">SUM(D15:AM15)</f>
        <v>-297461.653163089</v>
      </c>
      <c r="C59" s="46" t="n">
        <f aca="false">SUM(D22:AM22)</f>
        <v>-387652.268030234</v>
      </c>
      <c r="D59" s="46" t="n">
        <f aca="false">SUM(D29:AM29)</f>
        <v>-332076.653163089</v>
      </c>
      <c r="E59" s="46" t="n">
        <f aca="false">SUM(D36:AM36)</f>
        <v>-422267.268030234</v>
      </c>
      <c r="F59" s="46" t="n">
        <f aca="false">SUM(D43:AM43)</f>
        <v>-297461.653163089</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AQ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4296875" defaultRowHeight="15" customHeight="false" zeroHeight="false" outlineLevelRow="0" outlineLevelCol="0"/>
  <cols>
    <col collapsed="false" customWidth="true" hidden="false" outlineLevel="0" max="1" min="1" style="1" width="56"/>
    <col collapsed="false" customWidth="true" hidden="false" outlineLevel="0" max="2" min="2" style="1" width="10"/>
    <col collapsed="false" customWidth="true" hidden="false" outlineLevel="0" max="3" min="3" style="1" width="15"/>
    <col collapsed="false" customWidth="true" hidden="false" outlineLevel="0" max="43" min="4" style="1" width="11"/>
  </cols>
  <sheetData>
    <row r="1" customFormat="false" ht="17.35" hidden="false" customHeight="false" outlineLevel="0" collapsed="false">
      <c r="A1" s="2" t="s">
        <v>817</v>
      </c>
    </row>
    <row r="2" customFormat="false" ht="15" hidden="false" customHeight="false" outlineLevel="0" collapsed="false">
      <c r="A2" s="60" t="s">
        <v>818</v>
      </c>
    </row>
    <row r="4" customFormat="false" ht="15" hidden="false" customHeight="false" outlineLevel="0" collapsed="false">
      <c r="A4" s="15" t="s">
        <v>726</v>
      </c>
      <c r="B4" s="15" t="s">
        <v>51</v>
      </c>
      <c r="C4" s="15" t="s">
        <v>819</v>
      </c>
      <c r="D4" s="61" t="s">
        <v>728</v>
      </c>
      <c r="E4" s="61" t="s">
        <v>729</v>
      </c>
      <c r="F4" s="61" t="s">
        <v>730</v>
      </c>
      <c r="G4" s="61" t="s">
        <v>731</v>
      </c>
      <c r="H4" s="61" t="s">
        <v>732</v>
      </c>
      <c r="I4" s="61" t="s">
        <v>733</v>
      </c>
      <c r="J4" s="61" t="s">
        <v>734</v>
      </c>
      <c r="K4" s="61" t="s">
        <v>735</v>
      </c>
      <c r="L4" s="61" t="s">
        <v>736</v>
      </c>
      <c r="M4" s="61" t="s">
        <v>737</v>
      </c>
      <c r="N4" s="61" t="s">
        <v>738</v>
      </c>
      <c r="O4" s="61" t="s">
        <v>739</v>
      </c>
      <c r="P4" s="61" t="s">
        <v>740</v>
      </c>
      <c r="Q4" s="61" t="s">
        <v>741</v>
      </c>
      <c r="R4" s="61" t="s">
        <v>742</v>
      </c>
      <c r="S4" s="61" t="s">
        <v>743</v>
      </c>
      <c r="T4" s="61" t="s">
        <v>744</v>
      </c>
      <c r="U4" s="61" t="s">
        <v>745</v>
      </c>
      <c r="V4" s="61" t="s">
        <v>746</v>
      </c>
      <c r="W4" s="61" t="s">
        <v>747</v>
      </c>
      <c r="X4" s="61" t="s">
        <v>748</v>
      </c>
      <c r="Y4" s="61" t="s">
        <v>749</v>
      </c>
      <c r="Z4" s="61" t="s">
        <v>750</v>
      </c>
      <c r="AA4" s="61" t="s">
        <v>751</v>
      </c>
      <c r="AB4" s="61" t="s">
        <v>752</v>
      </c>
      <c r="AC4" s="61" t="s">
        <v>753</v>
      </c>
      <c r="AD4" s="61" t="s">
        <v>754</v>
      </c>
      <c r="AE4" s="61" t="s">
        <v>755</v>
      </c>
      <c r="AF4" s="61" t="s">
        <v>756</v>
      </c>
      <c r="AG4" s="61" t="s">
        <v>757</v>
      </c>
      <c r="AH4" s="61" t="s">
        <v>758</v>
      </c>
      <c r="AI4" s="61" t="s">
        <v>759</v>
      </c>
      <c r="AJ4" s="61" t="s">
        <v>760</v>
      </c>
      <c r="AK4" s="61" t="s">
        <v>761</v>
      </c>
      <c r="AL4" s="61" t="s">
        <v>762</v>
      </c>
      <c r="AM4" s="61" t="s">
        <v>763</v>
      </c>
      <c r="AN4" s="61" t="s">
        <v>764</v>
      </c>
      <c r="AO4" s="61" t="s">
        <v>17</v>
      </c>
      <c r="AP4" s="61" t="s">
        <v>18</v>
      </c>
      <c r="AQ4" s="61" t="s">
        <v>19</v>
      </c>
    </row>
    <row r="5" customFormat="false" ht="15" hidden="false" customHeight="false" outlineLevel="0" collapsed="false">
      <c r="A5" s="1" t="s">
        <v>765</v>
      </c>
      <c r="B5" s="1" t="s">
        <v>766</v>
      </c>
      <c r="D5" s="11" t="n">
        <f aca="false">Forecast!D6</f>
        <v>1</v>
      </c>
      <c r="E5" s="11" t="n">
        <f aca="false">Forecast!E6</f>
        <v>2</v>
      </c>
      <c r="F5" s="11" t="n">
        <f aca="false">Forecast!F6</f>
        <v>3</v>
      </c>
      <c r="G5" s="11" t="n">
        <f aca="false">Forecast!G6</f>
        <v>4</v>
      </c>
      <c r="H5" s="11" t="n">
        <f aca="false">Forecast!H6</f>
        <v>5</v>
      </c>
      <c r="I5" s="11" t="n">
        <f aca="false">Forecast!I6</f>
        <v>6</v>
      </c>
      <c r="J5" s="11" t="n">
        <f aca="false">Forecast!J6</f>
        <v>7</v>
      </c>
      <c r="K5" s="11" t="n">
        <f aca="false">Forecast!K6</f>
        <v>8</v>
      </c>
      <c r="L5" s="11" t="n">
        <f aca="false">Forecast!L6</f>
        <v>9</v>
      </c>
      <c r="M5" s="11" t="n">
        <f aca="false">Forecast!M6</f>
        <v>10</v>
      </c>
      <c r="N5" s="11" t="n">
        <f aca="false">Forecast!N6</f>
        <v>11</v>
      </c>
      <c r="O5" s="11" t="n">
        <f aca="false">Forecast!O6</f>
        <v>12</v>
      </c>
      <c r="P5" s="11" t="n">
        <f aca="false">Forecast!P6</f>
        <v>13</v>
      </c>
      <c r="Q5" s="11" t="n">
        <f aca="false">Forecast!Q6</f>
        <v>14</v>
      </c>
      <c r="R5" s="11" t="n">
        <f aca="false">Forecast!R6</f>
        <v>15</v>
      </c>
      <c r="S5" s="11" t="n">
        <f aca="false">Forecast!S6</f>
        <v>16</v>
      </c>
      <c r="T5" s="11" t="n">
        <f aca="false">Forecast!T6</f>
        <v>17</v>
      </c>
      <c r="U5" s="11" t="n">
        <f aca="false">Forecast!U6</f>
        <v>18</v>
      </c>
      <c r="V5" s="11" t="n">
        <f aca="false">Forecast!V6</f>
        <v>19</v>
      </c>
      <c r="W5" s="11" t="n">
        <f aca="false">Forecast!W6</f>
        <v>20</v>
      </c>
      <c r="X5" s="11" t="n">
        <f aca="false">Forecast!X6</f>
        <v>21</v>
      </c>
      <c r="Y5" s="11" t="n">
        <f aca="false">Forecast!Y6</f>
        <v>22</v>
      </c>
      <c r="Z5" s="11" t="n">
        <f aca="false">Forecast!Z6</f>
        <v>23</v>
      </c>
      <c r="AA5" s="11" t="n">
        <f aca="false">Forecast!AA6</f>
        <v>24</v>
      </c>
      <c r="AB5" s="11" t="n">
        <f aca="false">Forecast!AB6</f>
        <v>25</v>
      </c>
      <c r="AC5" s="11" t="n">
        <f aca="false">Forecast!AC6</f>
        <v>26</v>
      </c>
      <c r="AD5" s="11" t="n">
        <f aca="false">Forecast!AD6</f>
        <v>27</v>
      </c>
      <c r="AE5" s="11" t="n">
        <f aca="false">Forecast!AE6</f>
        <v>28</v>
      </c>
      <c r="AF5" s="11" t="n">
        <f aca="false">Forecast!AF6</f>
        <v>29</v>
      </c>
      <c r="AG5" s="11" t="n">
        <f aca="false">Forecast!AG6</f>
        <v>30</v>
      </c>
      <c r="AH5" s="11" t="n">
        <f aca="false">Forecast!AH6</f>
        <v>31</v>
      </c>
      <c r="AI5" s="11" t="n">
        <f aca="false">Forecast!AI6</f>
        <v>32</v>
      </c>
      <c r="AJ5" s="11" t="n">
        <f aca="false">Forecast!AJ6</f>
        <v>33</v>
      </c>
      <c r="AK5" s="11" t="n">
        <f aca="false">Forecast!AK6</f>
        <v>34</v>
      </c>
      <c r="AL5" s="11" t="n">
        <f aca="false">Forecast!AL6</f>
        <v>35</v>
      </c>
      <c r="AM5" s="11" t="n">
        <f aca="false">Forecast!AM6</f>
        <v>36</v>
      </c>
    </row>
    <row r="6" customFormat="false" ht="15" hidden="false" customHeight="false" outlineLevel="0" collapsed="false">
      <c r="A6" s="23" t="s">
        <v>820</v>
      </c>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row>
    <row r="7" customFormat="false" ht="15" hidden="false" customHeight="false" outlineLevel="0" collapsed="false">
      <c r="A7" s="17" t="str">
        <f aca="false">Inputs!A163</f>
        <v>SEC MUST before launch (SEC-01 to 25)</v>
      </c>
      <c r="B7" s="17" t="s">
        <v>61</v>
      </c>
      <c r="C7" s="43" t="n">
        <f aca="false">Inputs!I163*(1+Inputs!$B$155)</f>
        <v>47.4</v>
      </c>
      <c r="D7" s="46" t="n">
        <f aca="false">IF(AND(D$5&gt;=Inputs!$J$163,D$5&lt;Inputs!$J$163+Inputs!$K$163),Inputs!$I$163*(1+Inputs!$B$155)/Inputs!$K$163*Inputs!$B$152*Inputs!$B$154,0)</f>
        <v>14220</v>
      </c>
      <c r="E7" s="46" t="n">
        <f aca="false">IF(AND(E$5&gt;=Inputs!$J$163,E$5&lt;Inputs!$J$163+Inputs!$K$163),Inputs!$I$163*(1+Inputs!$B$155)/Inputs!$K$163*Inputs!$B$152*Inputs!$B$154,0)</f>
        <v>14220</v>
      </c>
      <c r="F7" s="46" t="n">
        <f aca="false">IF(AND(F$5&gt;=Inputs!$J$163,F$5&lt;Inputs!$J$163+Inputs!$K$163),Inputs!$I$163*(1+Inputs!$B$155)/Inputs!$K$163*Inputs!$B$152*Inputs!$B$154,0)</f>
        <v>0</v>
      </c>
      <c r="G7" s="46" t="n">
        <f aca="false">IF(AND(G$5&gt;=Inputs!$J$163,G$5&lt;Inputs!$J$163+Inputs!$K$163),Inputs!$I$163*(1+Inputs!$B$155)/Inputs!$K$163*Inputs!$B$152*Inputs!$B$154,0)</f>
        <v>0</v>
      </c>
      <c r="H7" s="46" t="n">
        <f aca="false">IF(AND(H$5&gt;=Inputs!$J$163,H$5&lt;Inputs!$J$163+Inputs!$K$163),Inputs!$I$163*(1+Inputs!$B$155)/Inputs!$K$163*Inputs!$B$152*Inputs!$B$154,0)</f>
        <v>0</v>
      </c>
      <c r="I7" s="46" t="n">
        <f aca="false">IF(AND(I$5&gt;=Inputs!$J$163,I$5&lt;Inputs!$J$163+Inputs!$K$163),Inputs!$I$163*(1+Inputs!$B$155)/Inputs!$K$163*Inputs!$B$152*Inputs!$B$154,0)</f>
        <v>0</v>
      </c>
      <c r="J7" s="46" t="n">
        <f aca="false">IF(AND(J$5&gt;=Inputs!$J$163,J$5&lt;Inputs!$J$163+Inputs!$K$163),Inputs!$I$163*(1+Inputs!$B$155)/Inputs!$K$163*Inputs!$B$152*Inputs!$B$154,0)</f>
        <v>0</v>
      </c>
      <c r="K7" s="46" t="n">
        <f aca="false">IF(AND(K$5&gt;=Inputs!$J$163,K$5&lt;Inputs!$J$163+Inputs!$K$163),Inputs!$I$163*(1+Inputs!$B$155)/Inputs!$K$163*Inputs!$B$152*Inputs!$B$154,0)</f>
        <v>0</v>
      </c>
      <c r="L7" s="46" t="n">
        <f aca="false">IF(AND(L$5&gt;=Inputs!$J$163,L$5&lt;Inputs!$J$163+Inputs!$K$163),Inputs!$I$163*(1+Inputs!$B$155)/Inputs!$K$163*Inputs!$B$152*Inputs!$B$154,0)</f>
        <v>0</v>
      </c>
      <c r="M7" s="46" t="n">
        <f aca="false">IF(AND(M$5&gt;=Inputs!$J$163,M$5&lt;Inputs!$J$163+Inputs!$K$163),Inputs!$I$163*(1+Inputs!$B$155)/Inputs!$K$163*Inputs!$B$152*Inputs!$B$154,0)</f>
        <v>0</v>
      </c>
      <c r="N7" s="46" t="n">
        <f aca="false">IF(AND(N$5&gt;=Inputs!$J$163,N$5&lt;Inputs!$J$163+Inputs!$K$163),Inputs!$I$163*(1+Inputs!$B$155)/Inputs!$K$163*Inputs!$B$152*Inputs!$B$154,0)</f>
        <v>0</v>
      </c>
      <c r="O7" s="46" t="n">
        <f aca="false">IF(AND(O$5&gt;=Inputs!$J$163,O$5&lt;Inputs!$J$163+Inputs!$K$163),Inputs!$I$163*(1+Inputs!$B$155)/Inputs!$K$163*Inputs!$B$152*Inputs!$B$154,0)</f>
        <v>0</v>
      </c>
      <c r="P7" s="46" t="n">
        <f aca="false">IF(AND(P$5&gt;=Inputs!$J$163,P$5&lt;Inputs!$J$163+Inputs!$K$163),Inputs!$I$163*(1+Inputs!$B$155)/Inputs!$K$163*Inputs!$B$152*Inputs!$B$154,0)</f>
        <v>0</v>
      </c>
      <c r="Q7" s="46" t="n">
        <f aca="false">IF(AND(Q$5&gt;=Inputs!$J$163,Q$5&lt;Inputs!$J$163+Inputs!$K$163),Inputs!$I$163*(1+Inputs!$B$155)/Inputs!$K$163*Inputs!$B$152*Inputs!$B$154,0)</f>
        <v>0</v>
      </c>
      <c r="R7" s="46" t="n">
        <f aca="false">IF(AND(R$5&gt;=Inputs!$J$163,R$5&lt;Inputs!$J$163+Inputs!$K$163),Inputs!$I$163*(1+Inputs!$B$155)/Inputs!$K$163*Inputs!$B$152*Inputs!$B$154,0)</f>
        <v>0</v>
      </c>
      <c r="S7" s="46" t="n">
        <f aca="false">IF(AND(S$5&gt;=Inputs!$J$163,S$5&lt;Inputs!$J$163+Inputs!$K$163),Inputs!$I$163*(1+Inputs!$B$155)/Inputs!$K$163*Inputs!$B$152*Inputs!$B$154,0)</f>
        <v>0</v>
      </c>
      <c r="T7" s="46" t="n">
        <f aca="false">IF(AND(T$5&gt;=Inputs!$J$163,T$5&lt;Inputs!$J$163+Inputs!$K$163),Inputs!$I$163*(1+Inputs!$B$155)/Inputs!$K$163*Inputs!$B$152*Inputs!$B$154,0)</f>
        <v>0</v>
      </c>
      <c r="U7" s="46" t="n">
        <f aca="false">IF(AND(U$5&gt;=Inputs!$J$163,U$5&lt;Inputs!$J$163+Inputs!$K$163),Inputs!$I$163*(1+Inputs!$B$155)/Inputs!$K$163*Inputs!$B$152*Inputs!$B$154,0)</f>
        <v>0</v>
      </c>
      <c r="V7" s="46" t="n">
        <f aca="false">IF(AND(V$5&gt;=Inputs!$J$163,V$5&lt;Inputs!$J$163+Inputs!$K$163),Inputs!$I$163*(1+Inputs!$B$155)/Inputs!$K$163*Inputs!$B$152*Inputs!$B$154,0)</f>
        <v>0</v>
      </c>
      <c r="W7" s="46" t="n">
        <f aca="false">IF(AND(W$5&gt;=Inputs!$J$163,W$5&lt;Inputs!$J$163+Inputs!$K$163),Inputs!$I$163*(1+Inputs!$B$155)/Inputs!$K$163*Inputs!$B$152*Inputs!$B$154,0)</f>
        <v>0</v>
      </c>
      <c r="X7" s="46" t="n">
        <f aca="false">IF(AND(X$5&gt;=Inputs!$J$163,X$5&lt;Inputs!$J$163+Inputs!$K$163),Inputs!$I$163*(1+Inputs!$B$155)/Inputs!$K$163*Inputs!$B$152*Inputs!$B$154,0)</f>
        <v>0</v>
      </c>
      <c r="Y7" s="46" t="n">
        <f aca="false">IF(AND(Y$5&gt;=Inputs!$J$163,Y$5&lt;Inputs!$J$163+Inputs!$K$163),Inputs!$I$163*(1+Inputs!$B$155)/Inputs!$K$163*Inputs!$B$152*Inputs!$B$154,0)</f>
        <v>0</v>
      </c>
      <c r="Z7" s="46" t="n">
        <f aca="false">IF(AND(Z$5&gt;=Inputs!$J$163,Z$5&lt;Inputs!$J$163+Inputs!$K$163),Inputs!$I$163*(1+Inputs!$B$155)/Inputs!$K$163*Inputs!$B$152*Inputs!$B$154,0)</f>
        <v>0</v>
      </c>
      <c r="AA7" s="46" t="n">
        <f aca="false">IF(AND(AA$5&gt;=Inputs!$J$163,AA$5&lt;Inputs!$J$163+Inputs!$K$163),Inputs!$I$163*(1+Inputs!$B$155)/Inputs!$K$163*Inputs!$B$152*Inputs!$B$154,0)</f>
        <v>0</v>
      </c>
      <c r="AB7" s="46" t="n">
        <f aca="false">IF(AND(AB$5&gt;=Inputs!$J$163,AB$5&lt;Inputs!$J$163+Inputs!$K$163),Inputs!$I$163*(1+Inputs!$B$155)/Inputs!$K$163*Inputs!$B$152*Inputs!$B$154,0)</f>
        <v>0</v>
      </c>
      <c r="AC7" s="46" t="n">
        <f aca="false">IF(AND(AC$5&gt;=Inputs!$J$163,AC$5&lt;Inputs!$J$163+Inputs!$K$163),Inputs!$I$163*(1+Inputs!$B$155)/Inputs!$K$163*Inputs!$B$152*Inputs!$B$154,0)</f>
        <v>0</v>
      </c>
      <c r="AD7" s="46" t="n">
        <f aca="false">IF(AND(AD$5&gt;=Inputs!$J$163,AD$5&lt;Inputs!$J$163+Inputs!$K$163),Inputs!$I$163*(1+Inputs!$B$155)/Inputs!$K$163*Inputs!$B$152*Inputs!$B$154,0)</f>
        <v>0</v>
      </c>
      <c r="AE7" s="46" t="n">
        <f aca="false">IF(AND(AE$5&gt;=Inputs!$J$163,AE$5&lt;Inputs!$J$163+Inputs!$K$163),Inputs!$I$163*(1+Inputs!$B$155)/Inputs!$K$163*Inputs!$B$152*Inputs!$B$154,0)</f>
        <v>0</v>
      </c>
      <c r="AF7" s="46" t="n">
        <f aca="false">IF(AND(AF$5&gt;=Inputs!$J$163,AF$5&lt;Inputs!$J$163+Inputs!$K$163),Inputs!$I$163*(1+Inputs!$B$155)/Inputs!$K$163*Inputs!$B$152*Inputs!$B$154,0)</f>
        <v>0</v>
      </c>
      <c r="AG7" s="46" t="n">
        <f aca="false">IF(AND(AG$5&gt;=Inputs!$J$163,AG$5&lt;Inputs!$J$163+Inputs!$K$163),Inputs!$I$163*(1+Inputs!$B$155)/Inputs!$K$163*Inputs!$B$152*Inputs!$B$154,0)</f>
        <v>0</v>
      </c>
      <c r="AH7" s="46" t="n">
        <f aca="false">IF(AND(AH$5&gt;=Inputs!$J$163,AH$5&lt;Inputs!$J$163+Inputs!$K$163),Inputs!$I$163*(1+Inputs!$B$155)/Inputs!$K$163*Inputs!$B$152*Inputs!$B$154,0)</f>
        <v>0</v>
      </c>
      <c r="AI7" s="46" t="n">
        <f aca="false">IF(AND(AI$5&gt;=Inputs!$J$163,AI$5&lt;Inputs!$J$163+Inputs!$K$163),Inputs!$I$163*(1+Inputs!$B$155)/Inputs!$K$163*Inputs!$B$152*Inputs!$B$154,0)</f>
        <v>0</v>
      </c>
      <c r="AJ7" s="46" t="n">
        <f aca="false">IF(AND(AJ$5&gt;=Inputs!$J$163,AJ$5&lt;Inputs!$J$163+Inputs!$K$163),Inputs!$I$163*(1+Inputs!$B$155)/Inputs!$K$163*Inputs!$B$152*Inputs!$B$154,0)</f>
        <v>0</v>
      </c>
      <c r="AK7" s="46" t="n">
        <f aca="false">IF(AND(AK$5&gt;=Inputs!$J$163,AK$5&lt;Inputs!$J$163+Inputs!$K$163),Inputs!$I$163*(1+Inputs!$B$155)/Inputs!$K$163*Inputs!$B$152*Inputs!$B$154,0)</f>
        <v>0</v>
      </c>
      <c r="AL7" s="46" t="n">
        <f aca="false">IF(AND(AL$5&gt;=Inputs!$J$163,AL$5&lt;Inputs!$J$163+Inputs!$K$163),Inputs!$I$163*(1+Inputs!$B$155)/Inputs!$K$163*Inputs!$B$152*Inputs!$B$154,0)</f>
        <v>0</v>
      </c>
      <c r="AM7" s="46" t="n">
        <f aca="false">IF(AND(AM$5&gt;=Inputs!$J$163,AM$5&lt;Inputs!$J$163+Inputs!$K$163),Inputs!$I$163*(1+Inputs!$B$155)/Inputs!$K$163*Inputs!$B$152*Inputs!$B$154,0)</f>
        <v>0</v>
      </c>
      <c r="AN7" s="46" t="n">
        <f aca="false">SUM(D7:AM7)</f>
        <v>28440</v>
      </c>
      <c r="AO7" s="46" t="n">
        <f aca="false">SUM(D7:O7)</f>
        <v>28440</v>
      </c>
      <c r="AP7" s="46" t="n">
        <f aca="false">SUM(P7:AA7)</f>
        <v>0</v>
      </c>
      <c r="AQ7" s="46" t="n">
        <f aca="false">SUM(AB7:AM7)</f>
        <v>0</v>
      </c>
    </row>
    <row r="8" customFormat="false" ht="15" hidden="false" customHeight="false" outlineLevel="0" collapsed="false">
      <c r="A8" s="17" t="str">
        <f aca="false">Inputs!A164</f>
        <v>SEC AFTER launch (SEC-30 to 40)</v>
      </c>
      <c r="B8" s="17" t="s">
        <v>61</v>
      </c>
      <c r="C8" s="43" t="n">
        <f aca="false">Inputs!I164*(1+Inputs!$B$155)</f>
        <v>17.4</v>
      </c>
      <c r="D8" s="46" t="n">
        <f aca="false">IF(AND(D$5&gt;=Inputs!$J$164,D$5&lt;Inputs!$J$164+Inputs!$K$164),Inputs!$I$164*(1+Inputs!$B$155)/Inputs!$K$164*Inputs!$B$152*Inputs!$B$154,0)</f>
        <v>0</v>
      </c>
      <c r="E8" s="46" t="n">
        <f aca="false">IF(AND(E$5&gt;=Inputs!$J$164,E$5&lt;Inputs!$J$164+Inputs!$K$164),Inputs!$I$164*(1+Inputs!$B$155)/Inputs!$K$164*Inputs!$B$152*Inputs!$B$154,0)</f>
        <v>3480</v>
      </c>
      <c r="F8" s="46" t="n">
        <f aca="false">IF(AND(F$5&gt;=Inputs!$J$164,F$5&lt;Inputs!$J$164+Inputs!$K$164),Inputs!$I$164*(1+Inputs!$B$155)/Inputs!$K$164*Inputs!$B$152*Inputs!$B$154,0)</f>
        <v>3480</v>
      </c>
      <c r="G8" s="46" t="n">
        <f aca="false">IF(AND(G$5&gt;=Inputs!$J$164,G$5&lt;Inputs!$J$164+Inputs!$K$164),Inputs!$I$164*(1+Inputs!$B$155)/Inputs!$K$164*Inputs!$B$152*Inputs!$B$154,0)</f>
        <v>3480</v>
      </c>
      <c r="H8" s="46" t="n">
        <f aca="false">IF(AND(H$5&gt;=Inputs!$J$164,H$5&lt;Inputs!$J$164+Inputs!$K$164),Inputs!$I$164*(1+Inputs!$B$155)/Inputs!$K$164*Inputs!$B$152*Inputs!$B$154,0)</f>
        <v>0</v>
      </c>
      <c r="I8" s="46" t="n">
        <f aca="false">IF(AND(I$5&gt;=Inputs!$J$164,I$5&lt;Inputs!$J$164+Inputs!$K$164),Inputs!$I$164*(1+Inputs!$B$155)/Inputs!$K$164*Inputs!$B$152*Inputs!$B$154,0)</f>
        <v>0</v>
      </c>
      <c r="J8" s="46" t="n">
        <f aca="false">IF(AND(J$5&gt;=Inputs!$J$164,J$5&lt;Inputs!$J$164+Inputs!$K$164),Inputs!$I$164*(1+Inputs!$B$155)/Inputs!$K$164*Inputs!$B$152*Inputs!$B$154,0)</f>
        <v>0</v>
      </c>
      <c r="K8" s="46" t="n">
        <f aca="false">IF(AND(K$5&gt;=Inputs!$J$164,K$5&lt;Inputs!$J$164+Inputs!$K$164),Inputs!$I$164*(1+Inputs!$B$155)/Inputs!$K$164*Inputs!$B$152*Inputs!$B$154,0)</f>
        <v>0</v>
      </c>
      <c r="L8" s="46" t="n">
        <f aca="false">IF(AND(L$5&gt;=Inputs!$J$164,L$5&lt;Inputs!$J$164+Inputs!$K$164),Inputs!$I$164*(1+Inputs!$B$155)/Inputs!$K$164*Inputs!$B$152*Inputs!$B$154,0)</f>
        <v>0</v>
      </c>
      <c r="M8" s="46" t="n">
        <f aca="false">IF(AND(M$5&gt;=Inputs!$J$164,M$5&lt;Inputs!$J$164+Inputs!$K$164),Inputs!$I$164*(1+Inputs!$B$155)/Inputs!$K$164*Inputs!$B$152*Inputs!$B$154,0)</f>
        <v>0</v>
      </c>
      <c r="N8" s="46" t="n">
        <f aca="false">IF(AND(N$5&gt;=Inputs!$J$164,N$5&lt;Inputs!$J$164+Inputs!$K$164),Inputs!$I$164*(1+Inputs!$B$155)/Inputs!$K$164*Inputs!$B$152*Inputs!$B$154,0)</f>
        <v>0</v>
      </c>
      <c r="O8" s="46" t="n">
        <f aca="false">IF(AND(O$5&gt;=Inputs!$J$164,O$5&lt;Inputs!$J$164+Inputs!$K$164),Inputs!$I$164*(1+Inputs!$B$155)/Inputs!$K$164*Inputs!$B$152*Inputs!$B$154,0)</f>
        <v>0</v>
      </c>
      <c r="P8" s="46" t="n">
        <f aca="false">IF(AND(P$5&gt;=Inputs!$J$164,P$5&lt;Inputs!$J$164+Inputs!$K$164),Inputs!$I$164*(1+Inputs!$B$155)/Inputs!$K$164*Inputs!$B$152*Inputs!$B$154,0)</f>
        <v>0</v>
      </c>
      <c r="Q8" s="46" t="n">
        <f aca="false">IF(AND(Q$5&gt;=Inputs!$J$164,Q$5&lt;Inputs!$J$164+Inputs!$K$164),Inputs!$I$164*(1+Inputs!$B$155)/Inputs!$K$164*Inputs!$B$152*Inputs!$B$154,0)</f>
        <v>0</v>
      </c>
      <c r="R8" s="46" t="n">
        <f aca="false">IF(AND(R$5&gt;=Inputs!$J$164,R$5&lt;Inputs!$J$164+Inputs!$K$164),Inputs!$I$164*(1+Inputs!$B$155)/Inputs!$K$164*Inputs!$B$152*Inputs!$B$154,0)</f>
        <v>0</v>
      </c>
      <c r="S8" s="46" t="n">
        <f aca="false">IF(AND(S$5&gt;=Inputs!$J$164,S$5&lt;Inputs!$J$164+Inputs!$K$164),Inputs!$I$164*(1+Inputs!$B$155)/Inputs!$K$164*Inputs!$B$152*Inputs!$B$154,0)</f>
        <v>0</v>
      </c>
      <c r="T8" s="46" t="n">
        <f aca="false">IF(AND(T$5&gt;=Inputs!$J$164,T$5&lt;Inputs!$J$164+Inputs!$K$164),Inputs!$I$164*(1+Inputs!$B$155)/Inputs!$K$164*Inputs!$B$152*Inputs!$B$154,0)</f>
        <v>0</v>
      </c>
      <c r="U8" s="46" t="n">
        <f aca="false">IF(AND(U$5&gt;=Inputs!$J$164,U$5&lt;Inputs!$J$164+Inputs!$K$164),Inputs!$I$164*(1+Inputs!$B$155)/Inputs!$K$164*Inputs!$B$152*Inputs!$B$154,0)</f>
        <v>0</v>
      </c>
      <c r="V8" s="46" t="n">
        <f aca="false">IF(AND(V$5&gt;=Inputs!$J$164,V$5&lt;Inputs!$J$164+Inputs!$K$164),Inputs!$I$164*(1+Inputs!$B$155)/Inputs!$K$164*Inputs!$B$152*Inputs!$B$154,0)</f>
        <v>0</v>
      </c>
      <c r="W8" s="46" t="n">
        <f aca="false">IF(AND(W$5&gt;=Inputs!$J$164,W$5&lt;Inputs!$J$164+Inputs!$K$164),Inputs!$I$164*(1+Inputs!$B$155)/Inputs!$K$164*Inputs!$B$152*Inputs!$B$154,0)</f>
        <v>0</v>
      </c>
      <c r="X8" s="46" t="n">
        <f aca="false">IF(AND(X$5&gt;=Inputs!$J$164,X$5&lt;Inputs!$J$164+Inputs!$K$164),Inputs!$I$164*(1+Inputs!$B$155)/Inputs!$K$164*Inputs!$B$152*Inputs!$B$154,0)</f>
        <v>0</v>
      </c>
      <c r="Y8" s="46" t="n">
        <f aca="false">IF(AND(Y$5&gt;=Inputs!$J$164,Y$5&lt;Inputs!$J$164+Inputs!$K$164),Inputs!$I$164*(1+Inputs!$B$155)/Inputs!$K$164*Inputs!$B$152*Inputs!$B$154,0)</f>
        <v>0</v>
      </c>
      <c r="Z8" s="46" t="n">
        <f aca="false">IF(AND(Z$5&gt;=Inputs!$J$164,Z$5&lt;Inputs!$J$164+Inputs!$K$164),Inputs!$I$164*(1+Inputs!$B$155)/Inputs!$K$164*Inputs!$B$152*Inputs!$B$154,0)</f>
        <v>0</v>
      </c>
      <c r="AA8" s="46" t="n">
        <f aca="false">IF(AND(AA$5&gt;=Inputs!$J$164,AA$5&lt;Inputs!$J$164+Inputs!$K$164),Inputs!$I$164*(1+Inputs!$B$155)/Inputs!$K$164*Inputs!$B$152*Inputs!$B$154,0)</f>
        <v>0</v>
      </c>
      <c r="AB8" s="46" t="n">
        <f aca="false">IF(AND(AB$5&gt;=Inputs!$J$164,AB$5&lt;Inputs!$J$164+Inputs!$K$164),Inputs!$I$164*(1+Inputs!$B$155)/Inputs!$K$164*Inputs!$B$152*Inputs!$B$154,0)</f>
        <v>0</v>
      </c>
      <c r="AC8" s="46" t="n">
        <f aca="false">IF(AND(AC$5&gt;=Inputs!$J$164,AC$5&lt;Inputs!$J$164+Inputs!$K$164),Inputs!$I$164*(1+Inputs!$B$155)/Inputs!$K$164*Inputs!$B$152*Inputs!$B$154,0)</f>
        <v>0</v>
      </c>
      <c r="AD8" s="46" t="n">
        <f aca="false">IF(AND(AD$5&gt;=Inputs!$J$164,AD$5&lt;Inputs!$J$164+Inputs!$K$164),Inputs!$I$164*(1+Inputs!$B$155)/Inputs!$K$164*Inputs!$B$152*Inputs!$B$154,0)</f>
        <v>0</v>
      </c>
      <c r="AE8" s="46" t="n">
        <f aca="false">IF(AND(AE$5&gt;=Inputs!$J$164,AE$5&lt;Inputs!$J$164+Inputs!$K$164),Inputs!$I$164*(1+Inputs!$B$155)/Inputs!$K$164*Inputs!$B$152*Inputs!$B$154,0)</f>
        <v>0</v>
      </c>
      <c r="AF8" s="46" t="n">
        <f aca="false">IF(AND(AF$5&gt;=Inputs!$J$164,AF$5&lt;Inputs!$J$164+Inputs!$K$164),Inputs!$I$164*(1+Inputs!$B$155)/Inputs!$K$164*Inputs!$B$152*Inputs!$B$154,0)</f>
        <v>0</v>
      </c>
      <c r="AG8" s="46" t="n">
        <f aca="false">IF(AND(AG$5&gt;=Inputs!$J$164,AG$5&lt;Inputs!$J$164+Inputs!$K$164),Inputs!$I$164*(1+Inputs!$B$155)/Inputs!$K$164*Inputs!$B$152*Inputs!$B$154,0)</f>
        <v>0</v>
      </c>
      <c r="AH8" s="46" t="n">
        <f aca="false">IF(AND(AH$5&gt;=Inputs!$J$164,AH$5&lt;Inputs!$J$164+Inputs!$K$164),Inputs!$I$164*(1+Inputs!$B$155)/Inputs!$K$164*Inputs!$B$152*Inputs!$B$154,0)</f>
        <v>0</v>
      </c>
      <c r="AI8" s="46" t="n">
        <f aca="false">IF(AND(AI$5&gt;=Inputs!$J$164,AI$5&lt;Inputs!$J$164+Inputs!$K$164),Inputs!$I$164*(1+Inputs!$B$155)/Inputs!$K$164*Inputs!$B$152*Inputs!$B$154,0)</f>
        <v>0</v>
      </c>
      <c r="AJ8" s="46" t="n">
        <f aca="false">IF(AND(AJ$5&gt;=Inputs!$J$164,AJ$5&lt;Inputs!$J$164+Inputs!$K$164),Inputs!$I$164*(1+Inputs!$B$155)/Inputs!$K$164*Inputs!$B$152*Inputs!$B$154,0)</f>
        <v>0</v>
      </c>
      <c r="AK8" s="46" t="n">
        <f aca="false">IF(AND(AK$5&gt;=Inputs!$J$164,AK$5&lt;Inputs!$J$164+Inputs!$K$164),Inputs!$I$164*(1+Inputs!$B$155)/Inputs!$K$164*Inputs!$B$152*Inputs!$B$154,0)</f>
        <v>0</v>
      </c>
      <c r="AL8" s="46" t="n">
        <f aca="false">IF(AND(AL$5&gt;=Inputs!$J$164,AL$5&lt;Inputs!$J$164+Inputs!$K$164),Inputs!$I$164*(1+Inputs!$B$155)/Inputs!$K$164*Inputs!$B$152*Inputs!$B$154,0)</f>
        <v>0</v>
      </c>
      <c r="AM8" s="46" t="n">
        <f aca="false">IF(AND(AM$5&gt;=Inputs!$J$164,AM$5&lt;Inputs!$J$164+Inputs!$K$164),Inputs!$I$164*(1+Inputs!$B$155)/Inputs!$K$164*Inputs!$B$152*Inputs!$B$154,0)</f>
        <v>0</v>
      </c>
      <c r="AN8" s="46" t="n">
        <f aca="false">SUM(D8:AM8)</f>
        <v>10440</v>
      </c>
      <c r="AO8" s="46" t="n">
        <f aca="false">SUM(D8:O8)</f>
        <v>10440</v>
      </c>
      <c r="AP8" s="46" t="n">
        <f aca="false">SUM(P8:AA8)</f>
        <v>0</v>
      </c>
      <c r="AQ8" s="46" t="n">
        <f aca="false">SUM(AB8:AM8)</f>
        <v>0</v>
      </c>
    </row>
    <row r="9" customFormat="false" ht="15" hidden="false" customHeight="false" outlineLevel="0" collapsed="false">
      <c r="A9" s="17" t="str">
        <f aca="false">Inputs!A165</f>
        <v>Data backlog, must-have before launch (DATA-001 to 020)</v>
      </c>
      <c r="B9" s="17" t="s">
        <v>61</v>
      </c>
      <c r="C9" s="43" t="n">
        <f aca="false">Inputs!I165*(1+Inputs!$B$155)</f>
        <v>64.8</v>
      </c>
      <c r="D9" s="46" t="n">
        <f aca="false">IF(AND(D$5&gt;=Inputs!$J$165,D$5&lt;Inputs!$J$165+Inputs!$K$165),Inputs!$I$165*(1+Inputs!$B$155)/Inputs!$K$165*Inputs!$B$152*Inputs!$B$154,0)</f>
        <v>12960</v>
      </c>
      <c r="E9" s="46" t="n">
        <f aca="false">IF(AND(E$5&gt;=Inputs!$J$165,E$5&lt;Inputs!$J$165+Inputs!$K$165),Inputs!$I$165*(1+Inputs!$B$155)/Inputs!$K$165*Inputs!$B$152*Inputs!$B$154,0)</f>
        <v>12960</v>
      </c>
      <c r="F9" s="46" t="n">
        <f aca="false">IF(AND(F$5&gt;=Inputs!$J$165,F$5&lt;Inputs!$J$165+Inputs!$K$165),Inputs!$I$165*(1+Inputs!$B$155)/Inputs!$K$165*Inputs!$B$152*Inputs!$B$154,0)</f>
        <v>12960</v>
      </c>
      <c r="G9" s="46" t="n">
        <f aca="false">IF(AND(G$5&gt;=Inputs!$J$165,G$5&lt;Inputs!$J$165+Inputs!$K$165),Inputs!$I$165*(1+Inputs!$B$155)/Inputs!$K$165*Inputs!$B$152*Inputs!$B$154,0)</f>
        <v>0</v>
      </c>
      <c r="H9" s="46" t="n">
        <f aca="false">IF(AND(H$5&gt;=Inputs!$J$165,H$5&lt;Inputs!$J$165+Inputs!$K$165),Inputs!$I$165*(1+Inputs!$B$155)/Inputs!$K$165*Inputs!$B$152*Inputs!$B$154,0)</f>
        <v>0</v>
      </c>
      <c r="I9" s="46" t="n">
        <f aca="false">IF(AND(I$5&gt;=Inputs!$J$165,I$5&lt;Inputs!$J$165+Inputs!$K$165),Inputs!$I$165*(1+Inputs!$B$155)/Inputs!$K$165*Inputs!$B$152*Inputs!$B$154,0)</f>
        <v>0</v>
      </c>
      <c r="J9" s="46" t="n">
        <f aca="false">IF(AND(J$5&gt;=Inputs!$J$165,J$5&lt;Inputs!$J$165+Inputs!$K$165),Inputs!$I$165*(1+Inputs!$B$155)/Inputs!$K$165*Inputs!$B$152*Inputs!$B$154,0)</f>
        <v>0</v>
      </c>
      <c r="K9" s="46" t="n">
        <f aca="false">IF(AND(K$5&gt;=Inputs!$J$165,K$5&lt;Inputs!$J$165+Inputs!$K$165),Inputs!$I$165*(1+Inputs!$B$155)/Inputs!$K$165*Inputs!$B$152*Inputs!$B$154,0)</f>
        <v>0</v>
      </c>
      <c r="L9" s="46" t="n">
        <f aca="false">IF(AND(L$5&gt;=Inputs!$J$165,L$5&lt;Inputs!$J$165+Inputs!$K$165),Inputs!$I$165*(1+Inputs!$B$155)/Inputs!$K$165*Inputs!$B$152*Inputs!$B$154,0)</f>
        <v>0</v>
      </c>
      <c r="M9" s="46" t="n">
        <f aca="false">IF(AND(M$5&gt;=Inputs!$J$165,M$5&lt;Inputs!$J$165+Inputs!$K$165),Inputs!$I$165*(1+Inputs!$B$155)/Inputs!$K$165*Inputs!$B$152*Inputs!$B$154,0)</f>
        <v>0</v>
      </c>
      <c r="N9" s="46" t="n">
        <f aca="false">IF(AND(N$5&gt;=Inputs!$J$165,N$5&lt;Inputs!$J$165+Inputs!$K$165),Inputs!$I$165*(1+Inputs!$B$155)/Inputs!$K$165*Inputs!$B$152*Inputs!$B$154,0)</f>
        <v>0</v>
      </c>
      <c r="O9" s="46" t="n">
        <f aca="false">IF(AND(O$5&gt;=Inputs!$J$165,O$5&lt;Inputs!$J$165+Inputs!$K$165),Inputs!$I$165*(1+Inputs!$B$155)/Inputs!$K$165*Inputs!$B$152*Inputs!$B$154,0)</f>
        <v>0</v>
      </c>
      <c r="P9" s="46" t="n">
        <f aca="false">IF(AND(P$5&gt;=Inputs!$J$165,P$5&lt;Inputs!$J$165+Inputs!$K$165),Inputs!$I$165*(1+Inputs!$B$155)/Inputs!$K$165*Inputs!$B$152*Inputs!$B$154,0)</f>
        <v>0</v>
      </c>
      <c r="Q9" s="46" t="n">
        <f aca="false">IF(AND(Q$5&gt;=Inputs!$J$165,Q$5&lt;Inputs!$J$165+Inputs!$K$165),Inputs!$I$165*(1+Inputs!$B$155)/Inputs!$K$165*Inputs!$B$152*Inputs!$B$154,0)</f>
        <v>0</v>
      </c>
      <c r="R9" s="46" t="n">
        <f aca="false">IF(AND(R$5&gt;=Inputs!$J$165,R$5&lt;Inputs!$J$165+Inputs!$K$165),Inputs!$I$165*(1+Inputs!$B$155)/Inputs!$K$165*Inputs!$B$152*Inputs!$B$154,0)</f>
        <v>0</v>
      </c>
      <c r="S9" s="46" t="n">
        <f aca="false">IF(AND(S$5&gt;=Inputs!$J$165,S$5&lt;Inputs!$J$165+Inputs!$K$165),Inputs!$I$165*(1+Inputs!$B$155)/Inputs!$K$165*Inputs!$B$152*Inputs!$B$154,0)</f>
        <v>0</v>
      </c>
      <c r="T9" s="46" t="n">
        <f aca="false">IF(AND(T$5&gt;=Inputs!$J$165,T$5&lt;Inputs!$J$165+Inputs!$K$165),Inputs!$I$165*(1+Inputs!$B$155)/Inputs!$K$165*Inputs!$B$152*Inputs!$B$154,0)</f>
        <v>0</v>
      </c>
      <c r="U9" s="46" t="n">
        <f aca="false">IF(AND(U$5&gt;=Inputs!$J$165,U$5&lt;Inputs!$J$165+Inputs!$K$165),Inputs!$I$165*(1+Inputs!$B$155)/Inputs!$K$165*Inputs!$B$152*Inputs!$B$154,0)</f>
        <v>0</v>
      </c>
      <c r="V9" s="46" t="n">
        <f aca="false">IF(AND(V$5&gt;=Inputs!$J$165,V$5&lt;Inputs!$J$165+Inputs!$K$165),Inputs!$I$165*(1+Inputs!$B$155)/Inputs!$K$165*Inputs!$B$152*Inputs!$B$154,0)</f>
        <v>0</v>
      </c>
      <c r="W9" s="46" t="n">
        <f aca="false">IF(AND(W$5&gt;=Inputs!$J$165,W$5&lt;Inputs!$J$165+Inputs!$K$165),Inputs!$I$165*(1+Inputs!$B$155)/Inputs!$K$165*Inputs!$B$152*Inputs!$B$154,0)</f>
        <v>0</v>
      </c>
      <c r="X9" s="46" t="n">
        <f aca="false">IF(AND(X$5&gt;=Inputs!$J$165,X$5&lt;Inputs!$J$165+Inputs!$K$165),Inputs!$I$165*(1+Inputs!$B$155)/Inputs!$K$165*Inputs!$B$152*Inputs!$B$154,0)</f>
        <v>0</v>
      </c>
      <c r="Y9" s="46" t="n">
        <f aca="false">IF(AND(Y$5&gt;=Inputs!$J$165,Y$5&lt;Inputs!$J$165+Inputs!$K$165),Inputs!$I$165*(1+Inputs!$B$155)/Inputs!$K$165*Inputs!$B$152*Inputs!$B$154,0)</f>
        <v>0</v>
      </c>
      <c r="Z9" s="46" t="n">
        <f aca="false">IF(AND(Z$5&gt;=Inputs!$J$165,Z$5&lt;Inputs!$J$165+Inputs!$K$165),Inputs!$I$165*(1+Inputs!$B$155)/Inputs!$K$165*Inputs!$B$152*Inputs!$B$154,0)</f>
        <v>0</v>
      </c>
      <c r="AA9" s="46" t="n">
        <f aca="false">IF(AND(AA$5&gt;=Inputs!$J$165,AA$5&lt;Inputs!$J$165+Inputs!$K$165),Inputs!$I$165*(1+Inputs!$B$155)/Inputs!$K$165*Inputs!$B$152*Inputs!$B$154,0)</f>
        <v>0</v>
      </c>
      <c r="AB9" s="46" t="n">
        <f aca="false">IF(AND(AB$5&gt;=Inputs!$J$165,AB$5&lt;Inputs!$J$165+Inputs!$K$165),Inputs!$I$165*(1+Inputs!$B$155)/Inputs!$K$165*Inputs!$B$152*Inputs!$B$154,0)</f>
        <v>0</v>
      </c>
      <c r="AC9" s="46" t="n">
        <f aca="false">IF(AND(AC$5&gt;=Inputs!$J$165,AC$5&lt;Inputs!$J$165+Inputs!$K$165),Inputs!$I$165*(1+Inputs!$B$155)/Inputs!$K$165*Inputs!$B$152*Inputs!$B$154,0)</f>
        <v>0</v>
      </c>
      <c r="AD9" s="46" t="n">
        <f aca="false">IF(AND(AD$5&gt;=Inputs!$J$165,AD$5&lt;Inputs!$J$165+Inputs!$K$165),Inputs!$I$165*(1+Inputs!$B$155)/Inputs!$K$165*Inputs!$B$152*Inputs!$B$154,0)</f>
        <v>0</v>
      </c>
      <c r="AE9" s="46" t="n">
        <f aca="false">IF(AND(AE$5&gt;=Inputs!$J$165,AE$5&lt;Inputs!$J$165+Inputs!$K$165),Inputs!$I$165*(1+Inputs!$B$155)/Inputs!$K$165*Inputs!$B$152*Inputs!$B$154,0)</f>
        <v>0</v>
      </c>
      <c r="AF9" s="46" t="n">
        <f aca="false">IF(AND(AF$5&gt;=Inputs!$J$165,AF$5&lt;Inputs!$J$165+Inputs!$K$165),Inputs!$I$165*(1+Inputs!$B$155)/Inputs!$K$165*Inputs!$B$152*Inputs!$B$154,0)</f>
        <v>0</v>
      </c>
      <c r="AG9" s="46" t="n">
        <f aca="false">IF(AND(AG$5&gt;=Inputs!$J$165,AG$5&lt;Inputs!$J$165+Inputs!$K$165),Inputs!$I$165*(1+Inputs!$B$155)/Inputs!$K$165*Inputs!$B$152*Inputs!$B$154,0)</f>
        <v>0</v>
      </c>
      <c r="AH9" s="46" t="n">
        <f aca="false">IF(AND(AH$5&gt;=Inputs!$J$165,AH$5&lt;Inputs!$J$165+Inputs!$K$165),Inputs!$I$165*(1+Inputs!$B$155)/Inputs!$K$165*Inputs!$B$152*Inputs!$B$154,0)</f>
        <v>0</v>
      </c>
      <c r="AI9" s="46" t="n">
        <f aca="false">IF(AND(AI$5&gt;=Inputs!$J$165,AI$5&lt;Inputs!$J$165+Inputs!$K$165),Inputs!$I$165*(1+Inputs!$B$155)/Inputs!$K$165*Inputs!$B$152*Inputs!$B$154,0)</f>
        <v>0</v>
      </c>
      <c r="AJ9" s="46" t="n">
        <f aca="false">IF(AND(AJ$5&gt;=Inputs!$J$165,AJ$5&lt;Inputs!$J$165+Inputs!$K$165),Inputs!$I$165*(1+Inputs!$B$155)/Inputs!$K$165*Inputs!$B$152*Inputs!$B$154,0)</f>
        <v>0</v>
      </c>
      <c r="AK9" s="46" t="n">
        <f aca="false">IF(AND(AK$5&gt;=Inputs!$J$165,AK$5&lt;Inputs!$J$165+Inputs!$K$165),Inputs!$I$165*(1+Inputs!$B$155)/Inputs!$K$165*Inputs!$B$152*Inputs!$B$154,0)</f>
        <v>0</v>
      </c>
      <c r="AL9" s="46" t="n">
        <f aca="false">IF(AND(AL$5&gt;=Inputs!$J$165,AL$5&lt;Inputs!$J$165+Inputs!$K$165),Inputs!$I$165*(1+Inputs!$B$155)/Inputs!$K$165*Inputs!$B$152*Inputs!$B$154,0)</f>
        <v>0</v>
      </c>
      <c r="AM9" s="46" t="n">
        <f aca="false">IF(AND(AM$5&gt;=Inputs!$J$165,AM$5&lt;Inputs!$J$165+Inputs!$K$165),Inputs!$I$165*(1+Inputs!$B$155)/Inputs!$K$165*Inputs!$B$152*Inputs!$B$154,0)</f>
        <v>0</v>
      </c>
      <c r="AN9" s="46" t="n">
        <f aca="false">SUM(D9:AM9)</f>
        <v>38880</v>
      </c>
      <c r="AO9" s="46" t="n">
        <f aca="false">SUM(D9:O9)</f>
        <v>38880</v>
      </c>
      <c r="AP9" s="46" t="n">
        <f aca="false">SUM(P9:AA9)</f>
        <v>0</v>
      </c>
      <c r="AQ9" s="46" t="n">
        <f aca="false">SUM(AB9:AM9)</f>
        <v>0</v>
      </c>
    </row>
    <row r="10" customFormat="false" ht="15" hidden="false" customHeight="false" outlineLevel="0" collapsed="false">
      <c r="A10" s="17" t="str">
        <f aca="false">Inputs!A166</f>
        <v>CX must-fix before launch (CX-01 to 36)</v>
      </c>
      <c r="B10" s="17" t="s">
        <v>61</v>
      </c>
      <c r="C10" s="43" t="n">
        <f aca="false">Inputs!I166*(1+Inputs!$B$155)</f>
        <v>36.9</v>
      </c>
      <c r="D10" s="46" t="n">
        <f aca="false">IF(AND(D$5&gt;=Inputs!$J$166,D$5&lt;Inputs!$J$166+Inputs!$K$166),Inputs!$I$166*(1+Inputs!$B$155)/Inputs!$K$166*Inputs!$B$152*Inputs!$B$154,0)</f>
        <v>11070</v>
      </c>
      <c r="E10" s="46" t="n">
        <f aca="false">IF(AND(E$5&gt;=Inputs!$J$166,E$5&lt;Inputs!$J$166+Inputs!$K$166),Inputs!$I$166*(1+Inputs!$B$155)/Inputs!$K$166*Inputs!$B$152*Inputs!$B$154,0)</f>
        <v>11070</v>
      </c>
      <c r="F10" s="46" t="n">
        <f aca="false">IF(AND(F$5&gt;=Inputs!$J$166,F$5&lt;Inputs!$J$166+Inputs!$K$166),Inputs!$I$166*(1+Inputs!$B$155)/Inputs!$K$166*Inputs!$B$152*Inputs!$B$154,0)</f>
        <v>0</v>
      </c>
      <c r="G10" s="46" t="n">
        <f aca="false">IF(AND(G$5&gt;=Inputs!$J$166,G$5&lt;Inputs!$J$166+Inputs!$K$166),Inputs!$I$166*(1+Inputs!$B$155)/Inputs!$K$166*Inputs!$B$152*Inputs!$B$154,0)</f>
        <v>0</v>
      </c>
      <c r="H10" s="46" t="n">
        <f aca="false">IF(AND(H$5&gt;=Inputs!$J$166,H$5&lt;Inputs!$J$166+Inputs!$K$166),Inputs!$I$166*(1+Inputs!$B$155)/Inputs!$K$166*Inputs!$B$152*Inputs!$B$154,0)</f>
        <v>0</v>
      </c>
      <c r="I10" s="46" t="n">
        <f aca="false">IF(AND(I$5&gt;=Inputs!$J$166,I$5&lt;Inputs!$J$166+Inputs!$K$166),Inputs!$I$166*(1+Inputs!$B$155)/Inputs!$K$166*Inputs!$B$152*Inputs!$B$154,0)</f>
        <v>0</v>
      </c>
      <c r="J10" s="46" t="n">
        <f aca="false">IF(AND(J$5&gt;=Inputs!$J$166,J$5&lt;Inputs!$J$166+Inputs!$K$166),Inputs!$I$166*(1+Inputs!$B$155)/Inputs!$K$166*Inputs!$B$152*Inputs!$B$154,0)</f>
        <v>0</v>
      </c>
      <c r="K10" s="46" t="n">
        <f aca="false">IF(AND(K$5&gt;=Inputs!$J$166,K$5&lt;Inputs!$J$166+Inputs!$K$166),Inputs!$I$166*(1+Inputs!$B$155)/Inputs!$K$166*Inputs!$B$152*Inputs!$B$154,0)</f>
        <v>0</v>
      </c>
      <c r="L10" s="46" t="n">
        <f aca="false">IF(AND(L$5&gt;=Inputs!$J$166,L$5&lt;Inputs!$J$166+Inputs!$K$166),Inputs!$I$166*(1+Inputs!$B$155)/Inputs!$K$166*Inputs!$B$152*Inputs!$B$154,0)</f>
        <v>0</v>
      </c>
      <c r="M10" s="46" t="n">
        <f aca="false">IF(AND(M$5&gt;=Inputs!$J$166,M$5&lt;Inputs!$J$166+Inputs!$K$166),Inputs!$I$166*(1+Inputs!$B$155)/Inputs!$K$166*Inputs!$B$152*Inputs!$B$154,0)</f>
        <v>0</v>
      </c>
      <c r="N10" s="46" t="n">
        <f aca="false">IF(AND(N$5&gt;=Inputs!$J$166,N$5&lt;Inputs!$J$166+Inputs!$K$166),Inputs!$I$166*(1+Inputs!$B$155)/Inputs!$K$166*Inputs!$B$152*Inputs!$B$154,0)</f>
        <v>0</v>
      </c>
      <c r="O10" s="46" t="n">
        <f aca="false">IF(AND(O$5&gt;=Inputs!$J$166,O$5&lt;Inputs!$J$166+Inputs!$K$166),Inputs!$I$166*(1+Inputs!$B$155)/Inputs!$K$166*Inputs!$B$152*Inputs!$B$154,0)</f>
        <v>0</v>
      </c>
      <c r="P10" s="46" t="n">
        <f aca="false">IF(AND(P$5&gt;=Inputs!$J$166,P$5&lt;Inputs!$J$166+Inputs!$K$166),Inputs!$I$166*(1+Inputs!$B$155)/Inputs!$K$166*Inputs!$B$152*Inputs!$B$154,0)</f>
        <v>0</v>
      </c>
      <c r="Q10" s="46" t="n">
        <f aca="false">IF(AND(Q$5&gt;=Inputs!$J$166,Q$5&lt;Inputs!$J$166+Inputs!$K$166),Inputs!$I$166*(1+Inputs!$B$155)/Inputs!$K$166*Inputs!$B$152*Inputs!$B$154,0)</f>
        <v>0</v>
      </c>
      <c r="R10" s="46" t="n">
        <f aca="false">IF(AND(R$5&gt;=Inputs!$J$166,R$5&lt;Inputs!$J$166+Inputs!$K$166),Inputs!$I$166*(1+Inputs!$B$155)/Inputs!$K$166*Inputs!$B$152*Inputs!$B$154,0)</f>
        <v>0</v>
      </c>
      <c r="S10" s="46" t="n">
        <f aca="false">IF(AND(S$5&gt;=Inputs!$J$166,S$5&lt;Inputs!$J$166+Inputs!$K$166),Inputs!$I$166*(1+Inputs!$B$155)/Inputs!$K$166*Inputs!$B$152*Inputs!$B$154,0)</f>
        <v>0</v>
      </c>
      <c r="T10" s="46" t="n">
        <f aca="false">IF(AND(T$5&gt;=Inputs!$J$166,T$5&lt;Inputs!$J$166+Inputs!$K$166),Inputs!$I$166*(1+Inputs!$B$155)/Inputs!$K$166*Inputs!$B$152*Inputs!$B$154,0)</f>
        <v>0</v>
      </c>
      <c r="U10" s="46" t="n">
        <f aca="false">IF(AND(U$5&gt;=Inputs!$J$166,U$5&lt;Inputs!$J$166+Inputs!$K$166),Inputs!$I$166*(1+Inputs!$B$155)/Inputs!$K$166*Inputs!$B$152*Inputs!$B$154,0)</f>
        <v>0</v>
      </c>
      <c r="V10" s="46" t="n">
        <f aca="false">IF(AND(V$5&gt;=Inputs!$J$166,V$5&lt;Inputs!$J$166+Inputs!$K$166),Inputs!$I$166*(1+Inputs!$B$155)/Inputs!$K$166*Inputs!$B$152*Inputs!$B$154,0)</f>
        <v>0</v>
      </c>
      <c r="W10" s="46" t="n">
        <f aca="false">IF(AND(W$5&gt;=Inputs!$J$166,W$5&lt;Inputs!$J$166+Inputs!$K$166),Inputs!$I$166*(1+Inputs!$B$155)/Inputs!$K$166*Inputs!$B$152*Inputs!$B$154,0)</f>
        <v>0</v>
      </c>
      <c r="X10" s="46" t="n">
        <f aca="false">IF(AND(X$5&gt;=Inputs!$J$166,X$5&lt;Inputs!$J$166+Inputs!$K$166),Inputs!$I$166*(1+Inputs!$B$155)/Inputs!$K$166*Inputs!$B$152*Inputs!$B$154,0)</f>
        <v>0</v>
      </c>
      <c r="Y10" s="46" t="n">
        <f aca="false">IF(AND(Y$5&gt;=Inputs!$J$166,Y$5&lt;Inputs!$J$166+Inputs!$K$166),Inputs!$I$166*(1+Inputs!$B$155)/Inputs!$K$166*Inputs!$B$152*Inputs!$B$154,0)</f>
        <v>0</v>
      </c>
      <c r="Z10" s="46" t="n">
        <f aca="false">IF(AND(Z$5&gt;=Inputs!$J$166,Z$5&lt;Inputs!$J$166+Inputs!$K$166),Inputs!$I$166*(1+Inputs!$B$155)/Inputs!$K$166*Inputs!$B$152*Inputs!$B$154,0)</f>
        <v>0</v>
      </c>
      <c r="AA10" s="46" t="n">
        <f aca="false">IF(AND(AA$5&gt;=Inputs!$J$166,AA$5&lt;Inputs!$J$166+Inputs!$K$166),Inputs!$I$166*(1+Inputs!$B$155)/Inputs!$K$166*Inputs!$B$152*Inputs!$B$154,0)</f>
        <v>0</v>
      </c>
      <c r="AB10" s="46" t="n">
        <f aca="false">IF(AND(AB$5&gt;=Inputs!$J$166,AB$5&lt;Inputs!$J$166+Inputs!$K$166),Inputs!$I$166*(1+Inputs!$B$155)/Inputs!$K$166*Inputs!$B$152*Inputs!$B$154,0)</f>
        <v>0</v>
      </c>
      <c r="AC10" s="46" t="n">
        <f aca="false">IF(AND(AC$5&gt;=Inputs!$J$166,AC$5&lt;Inputs!$J$166+Inputs!$K$166),Inputs!$I$166*(1+Inputs!$B$155)/Inputs!$K$166*Inputs!$B$152*Inputs!$B$154,0)</f>
        <v>0</v>
      </c>
      <c r="AD10" s="46" t="n">
        <f aca="false">IF(AND(AD$5&gt;=Inputs!$J$166,AD$5&lt;Inputs!$J$166+Inputs!$K$166),Inputs!$I$166*(1+Inputs!$B$155)/Inputs!$K$166*Inputs!$B$152*Inputs!$B$154,0)</f>
        <v>0</v>
      </c>
      <c r="AE10" s="46" t="n">
        <f aca="false">IF(AND(AE$5&gt;=Inputs!$J$166,AE$5&lt;Inputs!$J$166+Inputs!$K$166),Inputs!$I$166*(1+Inputs!$B$155)/Inputs!$K$166*Inputs!$B$152*Inputs!$B$154,0)</f>
        <v>0</v>
      </c>
      <c r="AF10" s="46" t="n">
        <f aca="false">IF(AND(AF$5&gt;=Inputs!$J$166,AF$5&lt;Inputs!$J$166+Inputs!$K$166),Inputs!$I$166*(1+Inputs!$B$155)/Inputs!$K$166*Inputs!$B$152*Inputs!$B$154,0)</f>
        <v>0</v>
      </c>
      <c r="AG10" s="46" t="n">
        <f aca="false">IF(AND(AG$5&gt;=Inputs!$J$166,AG$5&lt;Inputs!$J$166+Inputs!$K$166),Inputs!$I$166*(1+Inputs!$B$155)/Inputs!$K$166*Inputs!$B$152*Inputs!$B$154,0)</f>
        <v>0</v>
      </c>
      <c r="AH10" s="46" t="n">
        <f aca="false">IF(AND(AH$5&gt;=Inputs!$J$166,AH$5&lt;Inputs!$J$166+Inputs!$K$166),Inputs!$I$166*(1+Inputs!$B$155)/Inputs!$K$166*Inputs!$B$152*Inputs!$B$154,0)</f>
        <v>0</v>
      </c>
      <c r="AI10" s="46" t="n">
        <f aca="false">IF(AND(AI$5&gt;=Inputs!$J$166,AI$5&lt;Inputs!$J$166+Inputs!$K$166),Inputs!$I$166*(1+Inputs!$B$155)/Inputs!$K$166*Inputs!$B$152*Inputs!$B$154,0)</f>
        <v>0</v>
      </c>
      <c r="AJ10" s="46" t="n">
        <f aca="false">IF(AND(AJ$5&gt;=Inputs!$J$166,AJ$5&lt;Inputs!$J$166+Inputs!$K$166),Inputs!$I$166*(1+Inputs!$B$155)/Inputs!$K$166*Inputs!$B$152*Inputs!$B$154,0)</f>
        <v>0</v>
      </c>
      <c r="AK10" s="46" t="n">
        <f aca="false">IF(AND(AK$5&gt;=Inputs!$J$166,AK$5&lt;Inputs!$J$166+Inputs!$K$166),Inputs!$I$166*(1+Inputs!$B$155)/Inputs!$K$166*Inputs!$B$152*Inputs!$B$154,0)</f>
        <v>0</v>
      </c>
      <c r="AL10" s="46" t="n">
        <f aca="false">IF(AND(AL$5&gt;=Inputs!$J$166,AL$5&lt;Inputs!$J$166+Inputs!$K$166),Inputs!$I$166*(1+Inputs!$B$155)/Inputs!$K$166*Inputs!$B$152*Inputs!$B$154,0)</f>
        <v>0</v>
      </c>
      <c r="AM10" s="46" t="n">
        <f aca="false">IF(AND(AM$5&gt;=Inputs!$J$166,AM$5&lt;Inputs!$J$166+Inputs!$K$166),Inputs!$I$166*(1+Inputs!$B$155)/Inputs!$K$166*Inputs!$B$152*Inputs!$B$154,0)</f>
        <v>0</v>
      </c>
      <c r="AN10" s="46" t="n">
        <f aca="false">SUM(D10:AM10)</f>
        <v>22140</v>
      </c>
      <c r="AO10" s="46" t="n">
        <f aca="false">SUM(D10:O10)</f>
        <v>22140</v>
      </c>
      <c r="AP10" s="46" t="n">
        <f aca="false">SUM(P10:AA10)</f>
        <v>0</v>
      </c>
      <c r="AQ10" s="46" t="n">
        <f aca="false">SUM(AB10:AM10)</f>
        <v>0</v>
      </c>
    </row>
    <row r="11" customFormat="false" ht="15" hidden="false" customHeight="false" outlineLevel="0" collapsed="false">
      <c r="A11" s="17" t="str">
        <f aca="false">Inputs!A167</f>
        <v>CTO integration, wiring, review and release (placeholder)</v>
      </c>
      <c r="B11" s="17" t="s">
        <v>61</v>
      </c>
      <c r="C11" s="43" t="n">
        <f aca="false">Inputs!I167*(1+Inputs!$B$155)</f>
        <v>12</v>
      </c>
      <c r="D11" s="46" t="n">
        <f aca="false">IF(AND(D$5&gt;=Inputs!$J$167,D$5&lt;Inputs!$J$167+Inputs!$K$167),Inputs!$I$167*(1+Inputs!$B$155)/Inputs!$K$167*Inputs!$B$152*Inputs!$B$154,0)</f>
        <v>2400</v>
      </c>
      <c r="E11" s="46" t="n">
        <f aca="false">IF(AND(E$5&gt;=Inputs!$J$167,E$5&lt;Inputs!$J$167+Inputs!$K$167),Inputs!$I$167*(1+Inputs!$B$155)/Inputs!$K$167*Inputs!$B$152*Inputs!$B$154,0)</f>
        <v>2400</v>
      </c>
      <c r="F11" s="46" t="n">
        <f aca="false">IF(AND(F$5&gt;=Inputs!$J$167,F$5&lt;Inputs!$J$167+Inputs!$K$167),Inputs!$I$167*(1+Inputs!$B$155)/Inputs!$K$167*Inputs!$B$152*Inputs!$B$154,0)</f>
        <v>2400</v>
      </c>
      <c r="G11" s="46" t="n">
        <f aca="false">IF(AND(G$5&gt;=Inputs!$J$167,G$5&lt;Inputs!$J$167+Inputs!$K$167),Inputs!$I$167*(1+Inputs!$B$155)/Inputs!$K$167*Inputs!$B$152*Inputs!$B$154,0)</f>
        <v>0</v>
      </c>
      <c r="H11" s="46" t="n">
        <f aca="false">IF(AND(H$5&gt;=Inputs!$J$167,H$5&lt;Inputs!$J$167+Inputs!$K$167),Inputs!$I$167*(1+Inputs!$B$155)/Inputs!$K$167*Inputs!$B$152*Inputs!$B$154,0)</f>
        <v>0</v>
      </c>
      <c r="I11" s="46" t="n">
        <f aca="false">IF(AND(I$5&gt;=Inputs!$J$167,I$5&lt;Inputs!$J$167+Inputs!$K$167),Inputs!$I$167*(1+Inputs!$B$155)/Inputs!$K$167*Inputs!$B$152*Inputs!$B$154,0)</f>
        <v>0</v>
      </c>
      <c r="J11" s="46" t="n">
        <f aca="false">IF(AND(J$5&gt;=Inputs!$J$167,J$5&lt;Inputs!$J$167+Inputs!$K$167),Inputs!$I$167*(1+Inputs!$B$155)/Inputs!$K$167*Inputs!$B$152*Inputs!$B$154,0)</f>
        <v>0</v>
      </c>
      <c r="K11" s="46" t="n">
        <f aca="false">IF(AND(K$5&gt;=Inputs!$J$167,K$5&lt;Inputs!$J$167+Inputs!$K$167),Inputs!$I$167*(1+Inputs!$B$155)/Inputs!$K$167*Inputs!$B$152*Inputs!$B$154,0)</f>
        <v>0</v>
      </c>
      <c r="L11" s="46" t="n">
        <f aca="false">IF(AND(L$5&gt;=Inputs!$J$167,L$5&lt;Inputs!$J$167+Inputs!$K$167),Inputs!$I$167*(1+Inputs!$B$155)/Inputs!$K$167*Inputs!$B$152*Inputs!$B$154,0)</f>
        <v>0</v>
      </c>
      <c r="M11" s="46" t="n">
        <f aca="false">IF(AND(M$5&gt;=Inputs!$J$167,M$5&lt;Inputs!$J$167+Inputs!$K$167),Inputs!$I$167*(1+Inputs!$B$155)/Inputs!$K$167*Inputs!$B$152*Inputs!$B$154,0)</f>
        <v>0</v>
      </c>
      <c r="N11" s="46" t="n">
        <f aca="false">IF(AND(N$5&gt;=Inputs!$J$167,N$5&lt;Inputs!$J$167+Inputs!$K$167),Inputs!$I$167*(1+Inputs!$B$155)/Inputs!$K$167*Inputs!$B$152*Inputs!$B$154,0)</f>
        <v>0</v>
      </c>
      <c r="O11" s="46" t="n">
        <f aca="false">IF(AND(O$5&gt;=Inputs!$J$167,O$5&lt;Inputs!$J$167+Inputs!$K$167),Inputs!$I$167*(1+Inputs!$B$155)/Inputs!$K$167*Inputs!$B$152*Inputs!$B$154,0)</f>
        <v>0</v>
      </c>
      <c r="P11" s="46" t="n">
        <f aca="false">IF(AND(P$5&gt;=Inputs!$J$167,P$5&lt;Inputs!$J$167+Inputs!$K$167),Inputs!$I$167*(1+Inputs!$B$155)/Inputs!$K$167*Inputs!$B$152*Inputs!$B$154,0)</f>
        <v>0</v>
      </c>
      <c r="Q11" s="46" t="n">
        <f aca="false">IF(AND(Q$5&gt;=Inputs!$J$167,Q$5&lt;Inputs!$J$167+Inputs!$K$167),Inputs!$I$167*(1+Inputs!$B$155)/Inputs!$K$167*Inputs!$B$152*Inputs!$B$154,0)</f>
        <v>0</v>
      </c>
      <c r="R11" s="46" t="n">
        <f aca="false">IF(AND(R$5&gt;=Inputs!$J$167,R$5&lt;Inputs!$J$167+Inputs!$K$167),Inputs!$I$167*(1+Inputs!$B$155)/Inputs!$K$167*Inputs!$B$152*Inputs!$B$154,0)</f>
        <v>0</v>
      </c>
      <c r="S11" s="46" t="n">
        <f aca="false">IF(AND(S$5&gt;=Inputs!$J$167,S$5&lt;Inputs!$J$167+Inputs!$K$167),Inputs!$I$167*(1+Inputs!$B$155)/Inputs!$K$167*Inputs!$B$152*Inputs!$B$154,0)</f>
        <v>0</v>
      </c>
      <c r="T11" s="46" t="n">
        <f aca="false">IF(AND(T$5&gt;=Inputs!$J$167,T$5&lt;Inputs!$J$167+Inputs!$K$167),Inputs!$I$167*(1+Inputs!$B$155)/Inputs!$K$167*Inputs!$B$152*Inputs!$B$154,0)</f>
        <v>0</v>
      </c>
      <c r="U11" s="46" t="n">
        <f aca="false">IF(AND(U$5&gt;=Inputs!$J$167,U$5&lt;Inputs!$J$167+Inputs!$K$167),Inputs!$I$167*(1+Inputs!$B$155)/Inputs!$K$167*Inputs!$B$152*Inputs!$B$154,0)</f>
        <v>0</v>
      </c>
      <c r="V11" s="46" t="n">
        <f aca="false">IF(AND(V$5&gt;=Inputs!$J$167,V$5&lt;Inputs!$J$167+Inputs!$K$167),Inputs!$I$167*(1+Inputs!$B$155)/Inputs!$K$167*Inputs!$B$152*Inputs!$B$154,0)</f>
        <v>0</v>
      </c>
      <c r="W11" s="46" t="n">
        <f aca="false">IF(AND(W$5&gt;=Inputs!$J$167,W$5&lt;Inputs!$J$167+Inputs!$K$167),Inputs!$I$167*(1+Inputs!$B$155)/Inputs!$K$167*Inputs!$B$152*Inputs!$B$154,0)</f>
        <v>0</v>
      </c>
      <c r="X11" s="46" t="n">
        <f aca="false">IF(AND(X$5&gt;=Inputs!$J$167,X$5&lt;Inputs!$J$167+Inputs!$K$167),Inputs!$I$167*(1+Inputs!$B$155)/Inputs!$K$167*Inputs!$B$152*Inputs!$B$154,0)</f>
        <v>0</v>
      </c>
      <c r="Y11" s="46" t="n">
        <f aca="false">IF(AND(Y$5&gt;=Inputs!$J$167,Y$5&lt;Inputs!$J$167+Inputs!$K$167),Inputs!$I$167*(1+Inputs!$B$155)/Inputs!$K$167*Inputs!$B$152*Inputs!$B$154,0)</f>
        <v>0</v>
      </c>
      <c r="Z11" s="46" t="n">
        <f aca="false">IF(AND(Z$5&gt;=Inputs!$J$167,Z$5&lt;Inputs!$J$167+Inputs!$K$167),Inputs!$I$167*(1+Inputs!$B$155)/Inputs!$K$167*Inputs!$B$152*Inputs!$B$154,0)</f>
        <v>0</v>
      </c>
      <c r="AA11" s="46" t="n">
        <f aca="false">IF(AND(AA$5&gt;=Inputs!$J$167,AA$5&lt;Inputs!$J$167+Inputs!$K$167),Inputs!$I$167*(1+Inputs!$B$155)/Inputs!$K$167*Inputs!$B$152*Inputs!$B$154,0)</f>
        <v>0</v>
      </c>
      <c r="AB11" s="46" t="n">
        <f aca="false">IF(AND(AB$5&gt;=Inputs!$J$167,AB$5&lt;Inputs!$J$167+Inputs!$K$167),Inputs!$I$167*(1+Inputs!$B$155)/Inputs!$K$167*Inputs!$B$152*Inputs!$B$154,0)</f>
        <v>0</v>
      </c>
      <c r="AC11" s="46" t="n">
        <f aca="false">IF(AND(AC$5&gt;=Inputs!$J$167,AC$5&lt;Inputs!$J$167+Inputs!$K$167),Inputs!$I$167*(1+Inputs!$B$155)/Inputs!$K$167*Inputs!$B$152*Inputs!$B$154,0)</f>
        <v>0</v>
      </c>
      <c r="AD11" s="46" t="n">
        <f aca="false">IF(AND(AD$5&gt;=Inputs!$J$167,AD$5&lt;Inputs!$J$167+Inputs!$K$167),Inputs!$I$167*(1+Inputs!$B$155)/Inputs!$K$167*Inputs!$B$152*Inputs!$B$154,0)</f>
        <v>0</v>
      </c>
      <c r="AE11" s="46" t="n">
        <f aca="false">IF(AND(AE$5&gt;=Inputs!$J$167,AE$5&lt;Inputs!$J$167+Inputs!$K$167),Inputs!$I$167*(1+Inputs!$B$155)/Inputs!$K$167*Inputs!$B$152*Inputs!$B$154,0)</f>
        <v>0</v>
      </c>
      <c r="AF11" s="46" t="n">
        <f aca="false">IF(AND(AF$5&gt;=Inputs!$J$167,AF$5&lt;Inputs!$J$167+Inputs!$K$167),Inputs!$I$167*(1+Inputs!$B$155)/Inputs!$K$167*Inputs!$B$152*Inputs!$B$154,0)</f>
        <v>0</v>
      </c>
      <c r="AG11" s="46" t="n">
        <f aca="false">IF(AND(AG$5&gt;=Inputs!$J$167,AG$5&lt;Inputs!$J$167+Inputs!$K$167),Inputs!$I$167*(1+Inputs!$B$155)/Inputs!$K$167*Inputs!$B$152*Inputs!$B$154,0)</f>
        <v>0</v>
      </c>
      <c r="AH11" s="46" t="n">
        <f aca="false">IF(AND(AH$5&gt;=Inputs!$J$167,AH$5&lt;Inputs!$J$167+Inputs!$K$167),Inputs!$I$167*(1+Inputs!$B$155)/Inputs!$K$167*Inputs!$B$152*Inputs!$B$154,0)</f>
        <v>0</v>
      </c>
      <c r="AI11" s="46" t="n">
        <f aca="false">IF(AND(AI$5&gt;=Inputs!$J$167,AI$5&lt;Inputs!$J$167+Inputs!$K$167),Inputs!$I$167*(1+Inputs!$B$155)/Inputs!$K$167*Inputs!$B$152*Inputs!$B$154,0)</f>
        <v>0</v>
      </c>
      <c r="AJ11" s="46" t="n">
        <f aca="false">IF(AND(AJ$5&gt;=Inputs!$J$167,AJ$5&lt;Inputs!$J$167+Inputs!$K$167),Inputs!$I$167*(1+Inputs!$B$155)/Inputs!$K$167*Inputs!$B$152*Inputs!$B$154,0)</f>
        <v>0</v>
      </c>
      <c r="AK11" s="46" t="n">
        <f aca="false">IF(AND(AK$5&gt;=Inputs!$J$167,AK$5&lt;Inputs!$J$167+Inputs!$K$167),Inputs!$I$167*(1+Inputs!$B$155)/Inputs!$K$167*Inputs!$B$152*Inputs!$B$154,0)</f>
        <v>0</v>
      </c>
      <c r="AL11" s="46" t="n">
        <f aca="false">IF(AND(AL$5&gt;=Inputs!$J$167,AL$5&lt;Inputs!$J$167+Inputs!$K$167),Inputs!$I$167*(1+Inputs!$B$155)/Inputs!$K$167*Inputs!$B$152*Inputs!$B$154,0)</f>
        <v>0</v>
      </c>
      <c r="AM11" s="46" t="n">
        <f aca="false">IF(AND(AM$5&gt;=Inputs!$J$167,AM$5&lt;Inputs!$J$167+Inputs!$K$167),Inputs!$I$167*(1+Inputs!$B$155)/Inputs!$K$167*Inputs!$B$152*Inputs!$B$154,0)</f>
        <v>0</v>
      </c>
      <c r="AN11" s="46" t="n">
        <f aca="false">SUM(D11:AM11)</f>
        <v>7200</v>
      </c>
      <c r="AO11" s="46" t="n">
        <f aca="false">SUM(D11:O11)</f>
        <v>7200</v>
      </c>
      <c r="AP11" s="46" t="n">
        <f aca="false">SUM(P11:AA11)</f>
        <v>0</v>
      </c>
      <c r="AQ11" s="46" t="n">
        <f aca="false">SUM(AB11:AM11)</f>
        <v>0</v>
      </c>
    </row>
    <row r="12" customFormat="false" ht="15" hidden="false" customHeight="false" outlineLevel="0" collapsed="false">
      <c r="A12" s="3" t="s">
        <v>821</v>
      </c>
      <c r="B12" s="17" t="s">
        <v>61</v>
      </c>
      <c r="C12" s="43" t="n">
        <f aca="false">SUM(C7:C11)</f>
        <v>178.5</v>
      </c>
      <c r="D12" s="8" t="n">
        <f aca="false">SUM(D7:D11)</f>
        <v>40650</v>
      </c>
      <c r="E12" s="8" t="n">
        <f aca="false">SUM(E7:E11)</f>
        <v>44130</v>
      </c>
      <c r="F12" s="8" t="n">
        <f aca="false">SUM(F7:F11)</f>
        <v>18840</v>
      </c>
      <c r="G12" s="8" t="n">
        <f aca="false">SUM(G7:G11)</f>
        <v>3480</v>
      </c>
      <c r="H12" s="8" t="n">
        <f aca="false">SUM(H7:H11)</f>
        <v>0</v>
      </c>
      <c r="I12" s="8" t="n">
        <f aca="false">SUM(I7:I11)</f>
        <v>0</v>
      </c>
      <c r="J12" s="8" t="n">
        <f aca="false">SUM(J7:J11)</f>
        <v>0</v>
      </c>
      <c r="K12" s="8" t="n">
        <f aca="false">SUM(K7:K11)</f>
        <v>0</v>
      </c>
      <c r="L12" s="8" t="n">
        <f aca="false">SUM(L7:L11)</f>
        <v>0</v>
      </c>
      <c r="M12" s="8" t="n">
        <f aca="false">SUM(M7:M11)</f>
        <v>0</v>
      </c>
      <c r="N12" s="8" t="n">
        <f aca="false">SUM(N7:N11)</f>
        <v>0</v>
      </c>
      <c r="O12" s="8" t="n">
        <f aca="false">SUM(O7:O11)</f>
        <v>0</v>
      </c>
      <c r="P12" s="8" t="n">
        <f aca="false">SUM(P7:P11)</f>
        <v>0</v>
      </c>
      <c r="Q12" s="8" t="n">
        <f aca="false">SUM(Q7:Q11)</f>
        <v>0</v>
      </c>
      <c r="R12" s="8" t="n">
        <f aca="false">SUM(R7:R11)</f>
        <v>0</v>
      </c>
      <c r="S12" s="8" t="n">
        <f aca="false">SUM(S7:S11)</f>
        <v>0</v>
      </c>
      <c r="T12" s="8" t="n">
        <f aca="false">SUM(T7:T11)</f>
        <v>0</v>
      </c>
      <c r="U12" s="8" t="n">
        <f aca="false">SUM(U7:U11)</f>
        <v>0</v>
      </c>
      <c r="V12" s="8" t="n">
        <f aca="false">SUM(V7:V11)</f>
        <v>0</v>
      </c>
      <c r="W12" s="8" t="n">
        <f aca="false">SUM(W7:W11)</f>
        <v>0</v>
      </c>
      <c r="X12" s="8" t="n">
        <f aca="false">SUM(X7:X11)</f>
        <v>0</v>
      </c>
      <c r="Y12" s="8" t="n">
        <f aca="false">SUM(Y7:Y11)</f>
        <v>0</v>
      </c>
      <c r="Z12" s="8" t="n">
        <f aca="false">SUM(Z7:Z11)</f>
        <v>0</v>
      </c>
      <c r="AA12" s="8" t="n">
        <f aca="false">SUM(AA7:AA11)</f>
        <v>0</v>
      </c>
      <c r="AB12" s="8" t="n">
        <f aca="false">SUM(AB7:AB11)</f>
        <v>0</v>
      </c>
      <c r="AC12" s="8" t="n">
        <f aca="false">SUM(AC7:AC11)</f>
        <v>0</v>
      </c>
      <c r="AD12" s="8" t="n">
        <f aca="false">SUM(AD7:AD11)</f>
        <v>0</v>
      </c>
      <c r="AE12" s="8" t="n">
        <f aca="false">SUM(AE7:AE11)</f>
        <v>0</v>
      </c>
      <c r="AF12" s="8" t="n">
        <f aca="false">SUM(AF7:AF11)</f>
        <v>0</v>
      </c>
      <c r="AG12" s="8" t="n">
        <f aca="false">SUM(AG7:AG11)</f>
        <v>0</v>
      </c>
      <c r="AH12" s="8" t="n">
        <f aca="false">SUM(AH7:AH11)</f>
        <v>0</v>
      </c>
      <c r="AI12" s="8" t="n">
        <f aca="false">SUM(AI7:AI11)</f>
        <v>0</v>
      </c>
      <c r="AJ12" s="8" t="n">
        <f aca="false">SUM(AJ7:AJ11)</f>
        <v>0</v>
      </c>
      <c r="AK12" s="8" t="n">
        <f aca="false">SUM(AK7:AK11)</f>
        <v>0</v>
      </c>
      <c r="AL12" s="8" t="n">
        <f aca="false">SUM(AL7:AL11)</f>
        <v>0</v>
      </c>
      <c r="AM12" s="8" t="n">
        <f aca="false">SUM(AM7:AM11)</f>
        <v>0</v>
      </c>
      <c r="AN12" s="8" t="n">
        <f aca="false">SUM(D12:AM12)</f>
        <v>107100</v>
      </c>
      <c r="AO12" s="8" t="n">
        <f aca="false">SUM(D12:O12)</f>
        <v>107100</v>
      </c>
      <c r="AP12" s="8" t="n">
        <f aca="false">SUM(P12:AA12)</f>
        <v>0</v>
      </c>
      <c r="AQ12" s="8" t="n">
        <f aca="false">SUM(AB12:AM12)</f>
        <v>0</v>
      </c>
    </row>
    <row r="13" customFormat="false" ht="15" hidden="false" customHeight="false" outlineLevel="0" collapsed="false">
      <c r="A13" s="3" t="s">
        <v>822</v>
      </c>
      <c r="B13" s="17" t="s">
        <v>61</v>
      </c>
      <c r="D13" s="8" t="n">
        <f aca="false">D12*Scenarios!$B$46</f>
        <v>40650</v>
      </c>
      <c r="E13" s="8" t="n">
        <f aca="false">E12*Scenarios!$B$46</f>
        <v>44130</v>
      </c>
      <c r="F13" s="8" t="n">
        <f aca="false">F12*Scenarios!$B$46</f>
        <v>18840</v>
      </c>
      <c r="G13" s="8" t="n">
        <f aca="false">G12*Scenarios!$B$46</f>
        <v>3480</v>
      </c>
      <c r="H13" s="8" t="n">
        <f aca="false">H12*Scenarios!$B$46</f>
        <v>0</v>
      </c>
      <c r="I13" s="8" t="n">
        <f aca="false">I12*Scenarios!$B$46</f>
        <v>0</v>
      </c>
      <c r="J13" s="8" t="n">
        <f aca="false">J12*Scenarios!$B$46</f>
        <v>0</v>
      </c>
      <c r="K13" s="8" t="n">
        <f aca="false">K12*Scenarios!$B$46</f>
        <v>0</v>
      </c>
      <c r="L13" s="8" t="n">
        <f aca="false">L12*Scenarios!$B$46</f>
        <v>0</v>
      </c>
      <c r="M13" s="8" t="n">
        <f aca="false">M12*Scenarios!$B$46</f>
        <v>0</v>
      </c>
      <c r="N13" s="8" t="n">
        <f aca="false">N12*Scenarios!$B$46</f>
        <v>0</v>
      </c>
      <c r="O13" s="8" t="n">
        <f aca="false">O12*Scenarios!$B$46</f>
        <v>0</v>
      </c>
      <c r="P13" s="8" t="n">
        <f aca="false">P12*Scenarios!$B$46</f>
        <v>0</v>
      </c>
      <c r="Q13" s="8" t="n">
        <f aca="false">Q12*Scenarios!$B$46</f>
        <v>0</v>
      </c>
      <c r="R13" s="8" t="n">
        <f aca="false">R12*Scenarios!$B$46</f>
        <v>0</v>
      </c>
      <c r="S13" s="8" t="n">
        <f aca="false">S12*Scenarios!$B$46</f>
        <v>0</v>
      </c>
      <c r="T13" s="8" t="n">
        <f aca="false">T12*Scenarios!$B$46</f>
        <v>0</v>
      </c>
      <c r="U13" s="8" t="n">
        <f aca="false">U12*Scenarios!$B$46</f>
        <v>0</v>
      </c>
      <c r="V13" s="8" t="n">
        <f aca="false">V12*Scenarios!$B$46</f>
        <v>0</v>
      </c>
      <c r="W13" s="8" t="n">
        <f aca="false">W12*Scenarios!$B$46</f>
        <v>0</v>
      </c>
      <c r="X13" s="8" t="n">
        <f aca="false">X12*Scenarios!$B$46</f>
        <v>0</v>
      </c>
      <c r="Y13" s="8" t="n">
        <f aca="false">Y12*Scenarios!$B$46</f>
        <v>0</v>
      </c>
      <c r="Z13" s="8" t="n">
        <f aca="false">Z12*Scenarios!$B$46</f>
        <v>0</v>
      </c>
      <c r="AA13" s="8" t="n">
        <f aca="false">AA12*Scenarios!$B$46</f>
        <v>0</v>
      </c>
      <c r="AB13" s="8" t="n">
        <f aca="false">AB12*Scenarios!$B$46</f>
        <v>0</v>
      </c>
      <c r="AC13" s="8" t="n">
        <f aca="false">AC12*Scenarios!$B$46</f>
        <v>0</v>
      </c>
      <c r="AD13" s="8" t="n">
        <f aca="false">AD12*Scenarios!$B$46</f>
        <v>0</v>
      </c>
      <c r="AE13" s="8" t="n">
        <f aca="false">AE12*Scenarios!$B$46</f>
        <v>0</v>
      </c>
      <c r="AF13" s="8" t="n">
        <f aca="false">AF12*Scenarios!$B$46</f>
        <v>0</v>
      </c>
      <c r="AG13" s="8" t="n">
        <f aca="false">AG12*Scenarios!$B$46</f>
        <v>0</v>
      </c>
      <c r="AH13" s="8" t="n">
        <f aca="false">AH12*Scenarios!$B$46</f>
        <v>0</v>
      </c>
      <c r="AI13" s="8" t="n">
        <f aca="false">AI12*Scenarios!$B$46</f>
        <v>0</v>
      </c>
      <c r="AJ13" s="8" t="n">
        <f aca="false">AJ12*Scenarios!$B$46</f>
        <v>0</v>
      </c>
      <c r="AK13" s="8" t="n">
        <f aca="false">AK12*Scenarios!$B$46</f>
        <v>0</v>
      </c>
      <c r="AL13" s="8" t="n">
        <f aca="false">AL12*Scenarios!$B$46</f>
        <v>0</v>
      </c>
      <c r="AM13" s="8" t="n">
        <f aca="false">AM12*Scenarios!$B$46</f>
        <v>0</v>
      </c>
      <c r="AN13" s="8" t="n">
        <f aca="false">SUM(D13:AM13)</f>
        <v>107100</v>
      </c>
      <c r="AO13" s="8" t="n">
        <f aca="false">SUM(D13:O13)</f>
        <v>107100</v>
      </c>
      <c r="AP13" s="8" t="n">
        <f aca="false">SUM(P13:AA13)</f>
        <v>0</v>
      </c>
      <c r="AQ13" s="8" t="n">
        <f aca="false">SUM(AB13:AM13)</f>
        <v>0</v>
      </c>
    </row>
    <row r="15" customFormat="false" ht="15" hidden="false" customHeight="false" outlineLevel="0" collapsed="false">
      <c r="A15" s="23" t="s">
        <v>823</v>
      </c>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row>
    <row r="17" customFormat="false" ht="15" hidden="false" customHeight="false" outlineLevel="0" collapsed="false">
      <c r="A17" s="17" t="s">
        <v>824</v>
      </c>
      <c r="C17" s="49" t="n">
        <f aca="false">1</f>
        <v>1</v>
      </c>
    </row>
    <row r="18" customFormat="false" ht="15" hidden="false" customHeight="false" outlineLevel="0" collapsed="false">
      <c r="A18" s="17" t="s">
        <v>825</v>
      </c>
      <c r="C18" s="49" t="n">
        <f aca="false">Inputs!$E$172</f>
        <v>1</v>
      </c>
    </row>
    <row r="19" customFormat="false" ht="15" hidden="false" customHeight="false" outlineLevel="0" collapsed="false">
      <c r="A19" s="17" t="s">
        <v>826</v>
      </c>
      <c r="C19" s="49" t="n">
        <f aca="false">Inputs!$E$172*Inputs!$E$173</f>
        <v>1</v>
      </c>
    </row>
    <row r="20" customFormat="false" ht="15" hidden="false" customHeight="false" outlineLevel="0" collapsed="false">
      <c r="A20" s="17" t="s">
        <v>827</v>
      </c>
      <c r="C20" s="49" t="n">
        <f aca="false">Inputs!$E$172*Inputs!$E$173*Inputs!$E$174</f>
        <v>1</v>
      </c>
    </row>
    <row r="21" customFormat="false" ht="15" hidden="false" customHeight="false" outlineLevel="0" collapsed="false">
      <c r="A21" s="17" t="s">
        <v>828</v>
      </c>
      <c r="C21" s="49" t="n">
        <f aca="false">Inputs!$E$172*Inputs!$E$173*Inputs!$E$174*Inputs!$E$175</f>
        <v>1</v>
      </c>
    </row>
    <row r="23" customFormat="false" ht="15" hidden="false" customHeight="false" outlineLevel="0" collapsed="false">
      <c r="A23" s="17" t="str">
        <f aca="false">Inputs!A171&amp;" + attorney (agent addenda)"</f>
        <v>P0 new agent work (AGT-001 to 007) + attorney (agent addenda)</v>
      </c>
      <c r="B23" s="17" t="s">
        <v>61</v>
      </c>
      <c r="C23" s="43" t="n">
        <f aca="false">Inputs!B171</f>
        <v>20</v>
      </c>
      <c r="D23" s="46" t="n">
        <f aca="false">IF(AND(D$5&gt;=Inputs!$C$171,D$5&lt;Inputs!$C$171+Inputs!$D$171),(Inputs!$B$171*Inputs!$B$153*Inputs!$B$154+Inputs!$B$176)/Inputs!$D$171,0)*$C$17</f>
        <v>18000</v>
      </c>
      <c r="E23" s="46" t="n">
        <f aca="false">IF(AND(E$5&gt;=Inputs!$C$171,E$5&lt;Inputs!$C$171+Inputs!$D$171),(Inputs!$B$171*Inputs!$B$153*Inputs!$B$154+Inputs!$B$176)/Inputs!$D$171,0)*$C$17</f>
        <v>0</v>
      </c>
      <c r="F23" s="46" t="n">
        <f aca="false">IF(AND(F$5&gt;=Inputs!$C$171,F$5&lt;Inputs!$C$171+Inputs!$D$171),(Inputs!$B$171*Inputs!$B$153*Inputs!$B$154+Inputs!$B$176)/Inputs!$D$171,0)*$C$17</f>
        <v>0</v>
      </c>
      <c r="G23" s="46" t="n">
        <f aca="false">IF(AND(G$5&gt;=Inputs!$C$171,G$5&lt;Inputs!$C$171+Inputs!$D$171),(Inputs!$B$171*Inputs!$B$153*Inputs!$B$154+Inputs!$B$176)/Inputs!$D$171,0)*$C$17</f>
        <v>0</v>
      </c>
      <c r="H23" s="46" t="n">
        <f aca="false">IF(AND(H$5&gt;=Inputs!$C$171,H$5&lt;Inputs!$C$171+Inputs!$D$171),(Inputs!$B$171*Inputs!$B$153*Inputs!$B$154+Inputs!$B$176)/Inputs!$D$171,0)*$C$17</f>
        <v>0</v>
      </c>
      <c r="I23" s="46" t="n">
        <f aca="false">IF(AND(I$5&gt;=Inputs!$C$171,I$5&lt;Inputs!$C$171+Inputs!$D$171),(Inputs!$B$171*Inputs!$B$153*Inputs!$B$154+Inputs!$B$176)/Inputs!$D$171,0)*$C$17</f>
        <v>0</v>
      </c>
      <c r="J23" s="46" t="n">
        <f aca="false">IF(AND(J$5&gt;=Inputs!$C$171,J$5&lt;Inputs!$C$171+Inputs!$D$171),(Inputs!$B$171*Inputs!$B$153*Inputs!$B$154+Inputs!$B$176)/Inputs!$D$171,0)*$C$17</f>
        <v>0</v>
      </c>
      <c r="K23" s="46" t="n">
        <f aca="false">IF(AND(K$5&gt;=Inputs!$C$171,K$5&lt;Inputs!$C$171+Inputs!$D$171),(Inputs!$B$171*Inputs!$B$153*Inputs!$B$154+Inputs!$B$176)/Inputs!$D$171,0)*$C$17</f>
        <v>0</v>
      </c>
      <c r="L23" s="46" t="n">
        <f aca="false">IF(AND(L$5&gt;=Inputs!$C$171,L$5&lt;Inputs!$C$171+Inputs!$D$171),(Inputs!$B$171*Inputs!$B$153*Inputs!$B$154+Inputs!$B$176)/Inputs!$D$171,0)*$C$17</f>
        <v>0</v>
      </c>
      <c r="M23" s="46" t="n">
        <f aca="false">IF(AND(M$5&gt;=Inputs!$C$171,M$5&lt;Inputs!$C$171+Inputs!$D$171),(Inputs!$B$171*Inputs!$B$153*Inputs!$B$154+Inputs!$B$176)/Inputs!$D$171,0)*$C$17</f>
        <v>0</v>
      </c>
      <c r="N23" s="46" t="n">
        <f aca="false">IF(AND(N$5&gt;=Inputs!$C$171,N$5&lt;Inputs!$C$171+Inputs!$D$171),(Inputs!$B$171*Inputs!$B$153*Inputs!$B$154+Inputs!$B$176)/Inputs!$D$171,0)*$C$17</f>
        <v>0</v>
      </c>
      <c r="O23" s="46" t="n">
        <f aca="false">IF(AND(O$5&gt;=Inputs!$C$171,O$5&lt;Inputs!$C$171+Inputs!$D$171),(Inputs!$B$171*Inputs!$B$153*Inputs!$B$154+Inputs!$B$176)/Inputs!$D$171,0)*$C$17</f>
        <v>0</v>
      </c>
      <c r="P23" s="46" t="n">
        <f aca="false">IF(AND(P$5&gt;=Inputs!$C$171,P$5&lt;Inputs!$C$171+Inputs!$D$171),(Inputs!$B$171*Inputs!$B$153*Inputs!$B$154+Inputs!$B$176)/Inputs!$D$171,0)*$C$17</f>
        <v>0</v>
      </c>
      <c r="Q23" s="46" t="n">
        <f aca="false">IF(AND(Q$5&gt;=Inputs!$C$171,Q$5&lt;Inputs!$C$171+Inputs!$D$171),(Inputs!$B$171*Inputs!$B$153*Inputs!$B$154+Inputs!$B$176)/Inputs!$D$171,0)*$C$17</f>
        <v>0</v>
      </c>
      <c r="R23" s="46" t="n">
        <f aca="false">IF(AND(R$5&gt;=Inputs!$C$171,R$5&lt;Inputs!$C$171+Inputs!$D$171),(Inputs!$B$171*Inputs!$B$153*Inputs!$B$154+Inputs!$B$176)/Inputs!$D$171,0)*$C$17</f>
        <v>0</v>
      </c>
      <c r="S23" s="46" t="n">
        <f aca="false">IF(AND(S$5&gt;=Inputs!$C$171,S$5&lt;Inputs!$C$171+Inputs!$D$171),(Inputs!$B$171*Inputs!$B$153*Inputs!$B$154+Inputs!$B$176)/Inputs!$D$171,0)*$C$17</f>
        <v>0</v>
      </c>
      <c r="T23" s="46" t="n">
        <f aca="false">IF(AND(T$5&gt;=Inputs!$C$171,T$5&lt;Inputs!$C$171+Inputs!$D$171),(Inputs!$B$171*Inputs!$B$153*Inputs!$B$154+Inputs!$B$176)/Inputs!$D$171,0)*$C$17</f>
        <v>0</v>
      </c>
      <c r="U23" s="46" t="n">
        <f aca="false">IF(AND(U$5&gt;=Inputs!$C$171,U$5&lt;Inputs!$C$171+Inputs!$D$171),(Inputs!$B$171*Inputs!$B$153*Inputs!$B$154+Inputs!$B$176)/Inputs!$D$171,0)*$C$17</f>
        <v>0</v>
      </c>
      <c r="V23" s="46" t="n">
        <f aca="false">IF(AND(V$5&gt;=Inputs!$C$171,V$5&lt;Inputs!$C$171+Inputs!$D$171),(Inputs!$B$171*Inputs!$B$153*Inputs!$B$154+Inputs!$B$176)/Inputs!$D$171,0)*$C$17</f>
        <v>0</v>
      </c>
      <c r="W23" s="46" t="n">
        <f aca="false">IF(AND(W$5&gt;=Inputs!$C$171,W$5&lt;Inputs!$C$171+Inputs!$D$171),(Inputs!$B$171*Inputs!$B$153*Inputs!$B$154+Inputs!$B$176)/Inputs!$D$171,0)*$C$17</f>
        <v>0</v>
      </c>
      <c r="X23" s="46" t="n">
        <f aca="false">IF(AND(X$5&gt;=Inputs!$C$171,X$5&lt;Inputs!$C$171+Inputs!$D$171),(Inputs!$B$171*Inputs!$B$153*Inputs!$B$154+Inputs!$B$176)/Inputs!$D$171,0)*$C$17</f>
        <v>0</v>
      </c>
      <c r="Y23" s="46" t="n">
        <f aca="false">IF(AND(Y$5&gt;=Inputs!$C$171,Y$5&lt;Inputs!$C$171+Inputs!$D$171),(Inputs!$B$171*Inputs!$B$153*Inputs!$B$154+Inputs!$B$176)/Inputs!$D$171,0)*$C$17</f>
        <v>0</v>
      </c>
      <c r="Z23" s="46" t="n">
        <f aca="false">IF(AND(Z$5&gt;=Inputs!$C$171,Z$5&lt;Inputs!$C$171+Inputs!$D$171),(Inputs!$B$171*Inputs!$B$153*Inputs!$B$154+Inputs!$B$176)/Inputs!$D$171,0)*$C$17</f>
        <v>0</v>
      </c>
      <c r="AA23" s="46" t="n">
        <f aca="false">IF(AND(AA$5&gt;=Inputs!$C$171,AA$5&lt;Inputs!$C$171+Inputs!$D$171),(Inputs!$B$171*Inputs!$B$153*Inputs!$B$154+Inputs!$B$176)/Inputs!$D$171,0)*$C$17</f>
        <v>0</v>
      </c>
      <c r="AB23" s="46" t="n">
        <f aca="false">IF(AND(AB$5&gt;=Inputs!$C$171,AB$5&lt;Inputs!$C$171+Inputs!$D$171),(Inputs!$B$171*Inputs!$B$153*Inputs!$B$154+Inputs!$B$176)/Inputs!$D$171,0)*$C$17</f>
        <v>0</v>
      </c>
      <c r="AC23" s="46" t="n">
        <f aca="false">IF(AND(AC$5&gt;=Inputs!$C$171,AC$5&lt;Inputs!$C$171+Inputs!$D$171),(Inputs!$B$171*Inputs!$B$153*Inputs!$B$154+Inputs!$B$176)/Inputs!$D$171,0)*$C$17</f>
        <v>0</v>
      </c>
      <c r="AD23" s="46" t="n">
        <f aca="false">IF(AND(AD$5&gt;=Inputs!$C$171,AD$5&lt;Inputs!$C$171+Inputs!$D$171),(Inputs!$B$171*Inputs!$B$153*Inputs!$B$154+Inputs!$B$176)/Inputs!$D$171,0)*$C$17</f>
        <v>0</v>
      </c>
      <c r="AE23" s="46" t="n">
        <f aca="false">IF(AND(AE$5&gt;=Inputs!$C$171,AE$5&lt;Inputs!$C$171+Inputs!$D$171),(Inputs!$B$171*Inputs!$B$153*Inputs!$B$154+Inputs!$B$176)/Inputs!$D$171,0)*$C$17</f>
        <v>0</v>
      </c>
      <c r="AF23" s="46" t="n">
        <f aca="false">IF(AND(AF$5&gt;=Inputs!$C$171,AF$5&lt;Inputs!$C$171+Inputs!$D$171),(Inputs!$B$171*Inputs!$B$153*Inputs!$B$154+Inputs!$B$176)/Inputs!$D$171,0)*$C$17</f>
        <v>0</v>
      </c>
      <c r="AG23" s="46" t="n">
        <f aca="false">IF(AND(AG$5&gt;=Inputs!$C$171,AG$5&lt;Inputs!$C$171+Inputs!$D$171),(Inputs!$B$171*Inputs!$B$153*Inputs!$B$154+Inputs!$B$176)/Inputs!$D$171,0)*$C$17</f>
        <v>0</v>
      </c>
      <c r="AH23" s="46" t="n">
        <f aca="false">IF(AND(AH$5&gt;=Inputs!$C$171,AH$5&lt;Inputs!$C$171+Inputs!$D$171),(Inputs!$B$171*Inputs!$B$153*Inputs!$B$154+Inputs!$B$176)/Inputs!$D$171,0)*$C$17</f>
        <v>0</v>
      </c>
      <c r="AI23" s="46" t="n">
        <f aca="false">IF(AND(AI$5&gt;=Inputs!$C$171,AI$5&lt;Inputs!$C$171+Inputs!$D$171),(Inputs!$B$171*Inputs!$B$153*Inputs!$B$154+Inputs!$B$176)/Inputs!$D$171,0)*$C$17</f>
        <v>0</v>
      </c>
      <c r="AJ23" s="46" t="n">
        <f aca="false">IF(AND(AJ$5&gt;=Inputs!$C$171,AJ$5&lt;Inputs!$C$171+Inputs!$D$171),(Inputs!$B$171*Inputs!$B$153*Inputs!$B$154+Inputs!$B$176)/Inputs!$D$171,0)*$C$17</f>
        <v>0</v>
      </c>
      <c r="AK23" s="46" t="n">
        <f aca="false">IF(AND(AK$5&gt;=Inputs!$C$171,AK$5&lt;Inputs!$C$171+Inputs!$D$171),(Inputs!$B$171*Inputs!$B$153*Inputs!$B$154+Inputs!$B$176)/Inputs!$D$171,0)*$C$17</f>
        <v>0</v>
      </c>
      <c r="AL23" s="46" t="n">
        <f aca="false">IF(AND(AL$5&gt;=Inputs!$C$171,AL$5&lt;Inputs!$C$171+Inputs!$D$171),(Inputs!$B$171*Inputs!$B$153*Inputs!$B$154+Inputs!$B$176)/Inputs!$D$171,0)*$C$17</f>
        <v>0</v>
      </c>
      <c r="AM23" s="46" t="n">
        <f aca="false">IF(AND(AM$5&gt;=Inputs!$C$171,AM$5&lt;Inputs!$C$171+Inputs!$D$171),(Inputs!$B$171*Inputs!$B$153*Inputs!$B$154+Inputs!$B$176)/Inputs!$D$171,0)*$C$17</f>
        <v>0</v>
      </c>
      <c r="AN23" s="46" t="n">
        <f aca="false">SUM(D23:AM23)</f>
        <v>18000</v>
      </c>
      <c r="AO23" s="46" t="n">
        <f aca="false">SUM(D23:O23)</f>
        <v>18000</v>
      </c>
      <c r="AP23" s="46" t="n">
        <f aca="false">SUM(P23:AA23)</f>
        <v>0</v>
      </c>
      <c r="AQ23" s="46" t="n">
        <f aca="false">SUM(AB23:AM23)</f>
        <v>0</v>
      </c>
    </row>
    <row r="24" customFormat="false" ht="15" hidden="false" customHeight="false" outlineLevel="0" collapsed="false">
      <c r="A24" s="17" t="str">
        <f aca="false">Inputs!A172</f>
        <v>P1 read and draft (AGT-010 to 019)</v>
      </c>
      <c r="B24" s="17" t="s">
        <v>61</v>
      </c>
      <c r="C24" s="43" t="n">
        <f aca="false">Inputs!B172</f>
        <v>37.5</v>
      </c>
      <c r="D24" s="46" t="n">
        <f aca="false">IF(AND(D$5&gt;=Inputs!$C$172,D$5&lt;Inputs!$C$172+Inputs!$D$172),(Inputs!$B$172*Inputs!$B$153*Inputs!$B$154)/Inputs!$D$172,0)*$C$18</f>
        <v>0</v>
      </c>
      <c r="E24" s="46" t="n">
        <f aca="false">IF(AND(E$5&gt;=Inputs!$C$172,E$5&lt;Inputs!$C$172+Inputs!$D$172),(Inputs!$B$172*Inputs!$B$153*Inputs!$B$154)/Inputs!$D$172,0)*$C$18</f>
        <v>11250</v>
      </c>
      <c r="F24" s="46" t="n">
        <f aca="false">IF(AND(F$5&gt;=Inputs!$C$172,F$5&lt;Inputs!$C$172+Inputs!$D$172),(Inputs!$B$172*Inputs!$B$153*Inputs!$B$154)/Inputs!$D$172,0)*$C$18</f>
        <v>11250</v>
      </c>
      <c r="G24" s="46" t="n">
        <f aca="false">IF(AND(G$5&gt;=Inputs!$C$172,G$5&lt;Inputs!$C$172+Inputs!$D$172),(Inputs!$B$172*Inputs!$B$153*Inputs!$B$154)/Inputs!$D$172,0)*$C$18</f>
        <v>0</v>
      </c>
      <c r="H24" s="46" t="n">
        <f aca="false">IF(AND(H$5&gt;=Inputs!$C$172,H$5&lt;Inputs!$C$172+Inputs!$D$172),(Inputs!$B$172*Inputs!$B$153*Inputs!$B$154)/Inputs!$D$172,0)*$C$18</f>
        <v>0</v>
      </c>
      <c r="I24" s="46" t="n">
        <f aca="false">IF(AND(I$5&gt;=Inputs!$C$172,I$5&lt;Inputs!$C$172+Inputs!$D$172),(Inputs!$B$172*Inputs!$B$153*Inputs!$B$154)/Inputs!$D$172,0)*$C$18</f>
        <v>0</v>
      </c>
      <c r="J24" s="46" t="n">
        <f aca="false">IF(AND(J$5&gt;=Inputs!$C$172,J$5&lt;Inputs!$C$172+Inputs!$D$172),(Inputs!$B$172*Inputs!$B$153*Inputs!$B$154)/Inputs!$D$172,0)*$C$18</f>
        <v>0</v>
      </c>
      <c r="K24" s="46" t="n">
        <f aca="false">IF(AND(K$5&gt;=Inputs!$C$172,K$5&lt;Inputs!$C$172+Inputs!$D$172),(Inputs!$B$172*Inputs!$B$153*Inputs!$B$154)/Inputs!$D$172,0)*$C$18</f>
        <v>0</v>
      </c>
      <c r="L24" s="46" t="n">
        <f aca="false">IF(AND(L$5&gt;=Inputs!$C$172,L$5&lt;Inputs!$C$172+Inputs!$D$172),(Inputs!$B$172*Inputs!$B$153*Inputs!$B$154)/Inputs!$D$172,0)*$C$18</f>
        <v>0</v>
      </c>
      <c r="M24" s="46" t="n">
        <f aca="false">IF(AND(M$5&gt;=Inputs!$C$172,M$5&lt;Inputs!$C$172+Inputs!$D$172),(Inputs!$B$172*Inputs!$B$153*Inputs!$B$154)/Inputs!$D$172,0)*$C$18</f>
        <v>0</v>
      </c>
      <c r="N24" s="46" t="n">
        <f aca="false">IF(AND(N$5&gt;=Inputs!$C$172,N$5&lt;Inputs!$C$172+Inputs!$D$172),(Inputs!$B$172*Inputs!$B$153*Inputs!$B$154)/Inputs!$D$172,0)*$C$18</f>
        <v>0</v>
      </c>
      <c r="O24" s="46" t="n">
        <f aca="false">IF(AND(O$5&gt;=Inputs!$C$172,O$5&lt;Inputs!$C$172+Inputs!$D$172),(Inputs!$B$172*Inputs!$B$153*Inputs!$B$154)/Inputs!$D$172,0)*$C$18</f>
        <v>0</v>
      </c>
      <c r="P24" s="46" t="n">
        <f aca="false">IF(AND(P$5&gt;=Inputs!$C$172,P$5&lt;Inputs!$C$172+Inputs!$D$172),(Inputs!$B$172*Inputs!$B$153*Inputs!$B$154)/Inputs!$D$172,0)*$C$18</f>
        <v>0</v>
      </c>
      <c r="Q24" s="46" t="n">
        <f aca="false">IF(AND(Q$5&gt;=Inputs!$C$172,Q$5&lt;Inputs!$C$172+Inputs!$D$172),(Inputs!$B$172*Inputs!$B$153*Inputs!$B$154)/Inputs!$D$172,0)*$C$18</f>
        <v>0</v>
      </c>
      <c r="R24" s="46" t="n">
        <f aca="false">IF(AND(R$5&gt;=Inputs!$C$172,R$5&lt;Inputs!$C$172+Inputs!$D$172),(Inputs!$B$172*Inputs!$B$153*Inputs!$B$154)/Inputs!$D$172,0)*$C$18</f>
        <v>0</v>
      </c>
      <c r="S24" s="46" t="n">
        <f aca="false">IF(AND(S$5&gt;=Inputs!$C$172,S$5&lt;Inputs!$C$172+Inputs!$D$172),(Inputs!$B$172*Inputs!$B$153*Inputs!$B$154)/Inputs!$D$172,0)*$C$18</f>
        <v>0</v>
      </c>
      <c r="T24" s="46" t="n">
        <f aca="false">IF(AND(T$5&gt;=Inputs!$C$172,T$5&lt;Inputs!$C$172+Inputs!$D$172),(Inputs!$B$172*Inputs!$B$153*Inputs!$B$154)/Inputs!$D$172,0)*$C$18</f>
        <v>0</v>
      </c>
      <c r="U24" s="46" t="n">
        <f aca="false">IF(AND(U$5&gt;=Inputs!$C$172,U$5&lt;Inputs!$C$172+Inputs!$D$172),(Inputs!$B$172*Inputs!$B$153*Inputs!$B$154)/Inputs!$D$172,0)*$C$18</f>
        <v>0</v>
      </c>
      <c r="V24" s="46" t="n">
        <f aca="false">IF(AND(V$5&gt;=Inputs!$C$172,V$5&lt;Inputs!$C$172+Inputs!$D$172),(Inputs!$B$172*Inputs!$B$153*Inputs!$B$154)/Inputs!$D$172,0)*$C$18</f>
        <v>0</v>
      </c>
      <c r="W24" s="46" t="n">
        <f aca="false">IF(AND(W$5&gt;=Inputs!$C$172,W$5&lt;Inputs!$C$172+Inputs!$D$172),(Inputs!$B$172*Inputs!$B$153*Inputs!$B$154)/Inputs!$D$172,0)*$C$18</f>
        <v>0</v>
      </c>
      <c r="X24" s="46" t="n">
        <f aca="false">IF(AND(X$5&gt;=Inputs!$C$172,X$5&lt;Inputs!$C$172+Inputs!$D$172),(Inputs!$B$172*Inputs!$B$153*Inputs!$B$154)/Inputs!$D$172,0)*$C$18</f>
        <v>0</v>
      </c>
      <c r="Y24" s="46" t="n">
        <f aca="false">IF(AND(Y$5&gt;=Inputs!$C$172,Y$5&lt;Inputs!$C$172+Inputs!$D$172),(Inputs!$B$172*Inputs!$B$153*Inputs!$B$154)/Inputs!$D$172,0)*$C$18</f>
        <v>0</v>
      </c>
      <c r="Z24" s="46" t="n">
        <f aca="false">IF(AND(Z$5&gt;=Inputs!$C$172,Z$5&lt;Inputs!$C$172+Inputs!$D$172),(Inputs!$B$172*Inputs!$B$153*Inputs!$B$154)/Inputs!$D$172,0)*$C$18</f>
        <v>0</v>
      </c>
      <c r="AA24" s="46" t="n">
        <f aca="false">IF(AND(AA$5&gt;=Inputs!$C$172,AA$5&lt;Inputs!$C$172+Inputs!$D$172),(Inputs!$B$172*Inputs!$B$153*Inputs!$B$154)/Inputs!$D$172,0)*$C$18</f>
        <v>0</v>
      </c>
      <c r="AB24" s="46" t="n">
        <f aca="false">IF(AND(AB$5&gt;=Inputs!$C$172,AB$5&lt;Inputs!$C$172+Inputs!$D$172),(Inputs!$B$172*Inputs!$B$153*Inputs!$B$154)/Inputs!$D$172,0)*$C$18</f>
        <v>0</v>
      </c>
      <c r="AC24" s="46" t="n">
        <f aca="false">IF(AND(AC$5&gt;=Inputs!$C$172,AC$5&lt;Inputs!$C$172+Inputs!$D$172),(Inputs!$B$172*Inputs!$B$153*Inputs!$B$154)/Inputs!$D$172,0)*$C$18</f>
        <v>0</v>
      </c>
      <c r="AD24" s="46" t="n">
        <f aca="false">IF(AND(AD$5&gt;=Inputs!$C$172,AD$5&lt;Inputs!$C$172+Inputs!$D$172),(Inputs!$B$172*Inputs!$B$153*Inputs!$B$154)/Inputs!$D$172,0)*$C$18</f>
        <v>0</v>
      </c>
      <c r="AE24" s="46" t="n">
        <f aca="false">IF(AND(AE$5&gt;=Inputs!$C$172,AE$5&lt;Inputs!$C$172+Inputs!$D$172),(Inputs!$B$172*Inputs!$B$153*Inputs!$B$154)/Inputs!$D$172,0)*$C$18</f>
        <v>0</v>
      </c>
      <c r="AF24" s="46" t="n">
        <f aca="false">IF(AND(AF$5&gt;=Inputs!$C$172,AF$5&lt;Inputs!$C$172+Inputs!$D$172),(Inputs!$B$172*Inputs!$B$153*Inputs!$B$154)/Inputs!$D$172,0)*$C$18</f>
        <v>0</v>
      </c>
      <c r="AG24" s="46" t="n">
        <f aca="false">IF(AND(AG$5&gt;=Inputs!$C$172,AG$5&lt;Inputs!$C$172+Inputs!$D$172),(Inputs!$B$172*Inputs!$B$153*Inputs!$B$154)/Inputs!$D$172,0)*$C$18</f>
        <v>0</v>
      </c>
      <c r="AH24" s="46" t="n">
        <f aca="false">IF(AND(AH$5&gt;=Inputs!$C$172,AH$5&lt;Inputs!$C$172+Inputs!$D$172),(Inputs!$B$172*Inputs!$B$153*Inputs!$B$154)/Inputs!$D$172,0)*$C$18</f>
        <v>0</v>
      </c>
      <c r="AI24" s="46" t="n">
        <f aca="false">IF(AND(AI$5&gt;=Inputs!$C$172,AI$5&lt;Inputs!$C$172+Inputs!$D$172),(Inputs!$B$172*Inputs!$B$153*Inputs!$B$154)/Inputs!$D$172,0)*$C$18</f>
        <v>0</v>
      </c>
      <c r="AJ24" s="46" t="n">
        <f aca="false">IF(AND(AJ$5&gt;=Inputs!$C$172,AJ$5&lt;Inputs!$C$172+Inputs!$D$172),(Inputs!$B$172*Inputs!$B$153*Inputs!$B$154)/Inputs!$D$172,0)*$C$18</f>
        <v>0</v>
      </c>
      <c r="AK24" s="46" t="n">
        <f aca="false">IF(AND(AK$5&gt;=Inputs!$C$172,AK$5&lt;Inputs!$C$172+Inputs!$D$172),(Inputs!$B$172*Inputs!$B$153*Inputs!$B$154)/Inputs!$D$172,0)*$C$18</f>
        <v>0</v>
      </c>
      <c r="AL24" s="46" t="n">
        <f aca="false">IF(AND(AL$5&gt;=Inputs!$C$172,AL$5&lt;Inputs!$C$172+Inputs!$D$172),(Inputs!$B$172*Inputs!$B$153*Inputs!$B$154)/Inputs!$D$172,0)*$C$18</f>
        <v>0</v>
      </c>
      <c r="AM24" s="46" t="n">
        <f aca="false">IF(AND(AM$5&gt;=Inputs!$C$172,AM$5&lt;Inputs!$C$172+Inputs!$D$172),(Inputs!$B$172*Inputs!$B$153*Inputs!$B$154)/Inputs!$D$172,0)*$C$18</f>
        <v>0</v>
      </c>
      <c r="AN24" s="46" t="n">
        <f aca="false">SUM(D24:AM24)</f>
        <v>22500</v>
      </c>
      <c r="AO24" s="46" t="n">
        <f aca="false">SUM(D24:O24)</f>
        <v>22500</v>
      </c>
      <c r="AP24" s="46" t="n">
        <f aca="false">SUM(P24:AA24)</f>
        <v>0</v>
      </c>
      <c r="AQ24" s="46" t="n">
        <f aca="false">SUM(AB24:AM24)</f>
        <v>0</v>
      </c>
    </row>
    <row r="25" customFormat="false" ht="15" hidden="false" customHeight="false" outlineLevel="0" collapsed="false">
      <c r="A25" s="17" t="str">
        <f aca="false">Inputs!A173</f>
        <v>P2 approve and pay (AGT-020 to 027)</v>
      </c>
      <c r="B25" s="17" t="s">
        <v>61</v>
      </c>
      <c r="C25" s="43" t="n">
        <f aca="false">Inputs!B173</f>
        <v>29</v>
      </c>
      <c r="D25" s="46" t="n">
        <f aca="false">IF(AND(D$5&gt;=Inputs!$C$173,D$5&lt;Inputs!$C$173+Inputs!$D$173),(Inputs!$B$173*Inputs!$B$153*Inputs!$B$154)/Inputs!$D$173,0)*$C$19</f>
        <v>0</v>
      </c>
      <c r="E25" s="46" t="n">
        <f aca="false">IF(AND(E$5&gt;=Inputs!$C$173,E$5&lt;Inputs!$C$173+Inputs!$D$173),(Inputs!$B$173*Inputs!$B$153*Inputs!$B$154)/Inputs!$D$173,0)*$C$19</f>
        <v>0</v>
      </c>
      <c r="F25" s="46" t="n">
        <f aca="false">IF(AND(F$5&gt;=Inputs!$C$173,F$5&lt;Inputs!$C$173+Inputs!$D$173),(Inputs!$B$173*Inputs!$B$153*Inputs!$B$154)/Inputs!$D$173,0)*$C$19</f>
        <v>0</v>
      </c>
      <c r="G25" s="46" t="n">
        <f aca="false">IF(AND(G$5&gt;=Inputs!$C$173,G$5&lt;Inputs!$C$173+Inputs!$D$173),(Inputs!$B$173*Inputs!$B$153*Inputs!$B$154)/Inputs!$D$173,0)*$C$19</f>
        <v>8700</v>
      </c>
      <c r="H25" s="46" t="n">
        <f aca="false">IF(AND(H$5&gt;=Inputs!$C$173,H$5&lt;Inputs!$C$173+Inputs!$D$173),(Inputs!$B$173*Inputs!$B$153*Inputs!$B$154)/Inputs!$D$173,0)*$C$19</f>
        <v>8700</v>
      </c>
      <c r="I25" s="46" t="n">
        <f aca="false">IF(AND(I$5&gt;=Inputs!$C$173,I$5&lt;Inputs!$C$173+Inputs!$D$173),(Inputs!$B$173*Inputs!$B$153*Inputs!$B$154)/Inputs!$D$173,0)*$C$19</f>
        <v>0</v>
      </c>
      <c r="J25" s="46" t="n">
        <f aca="false">IF(AND(J$5&gt;=Inputs!$C$173,J$5&lt;Inputs!$C$173+Inputs!$D$173),(Inputs!$B$173*Inputs!$B$153*Inputs!$B$154)/Inputs!$D$173,0)*$C$19</f>
        <v>0</v>
      </c>
      <c r="K25" s="46" t="n">
        <f aca="false">IF(AND(K$5&gt;=Inputs!$C$173,K$5&lt;Inputs!$C$173+Inputs!$D$173),(Inputs!$B$173*Inputs!$B$153*Inputs!$B$154)/Inputs!$D$173,0)*$C$19</f>
        <v>0</v>
      </c>
      <c r="L25" s="46" t="n">
        <f aca="false">IF(AND(L$5&gt;=Inputs!$C$173,L$5&lt;Inputs!$C$173+Inputs!$D$173),(Inputs!$B$173*Inputs!$B$153*Inputs!$B$154)/Inputs!$D$173,0)*$C$19</f>
        <v>0</v>
      </c>
      <c r="M25" s="46" t="n">
        <f aca="false">IF(AND(M$5&gt;=Inputs!$C$173,M$5&lt;Inputs!$C$173+Inputs!$D$173),(Inputs!$B$173*Inputs!$B$153*Inputs!$B$154)/Inputs!$D$173,0)*$C$19</f>
        <v>0</v>
      </c>
      <c r="N25" s="46" t="n">
        <f aca="false">IF(AND(N$5&gt;=Inputs!$C$173,N$5&lt;Inputs!$C$173+Inputs!$D$173),(Inputs!$B$173*Inputs!$B$153*Inputs!$B$154)/Inputs!$D$173,0)*$C$19</f>
        <v>0</v>
      </c>
      <c r="O25" s="46" t="n">
        <f aca="false">IF(AND(O$5&gt;=Inputs!$C$173,O$5&lt;Inputs!$C$173+Inputs!$D$173),(Inputs!$B$173*Inputs!$B$153*Inputs!$B$154)/Inputs!$D$173,0)*$C$19</f>
        <v>0</v>
      </c>
      <c r="P25" s="46" t="n">
        <f aca="false">IF(AND(P$5&gt;=Inputs!$C$173,P$5&lt;Inputs!$C$173+Inputs!$D$173),(Inputs!$B$173*Inputs!$B$153*Inputs!$B$154)/Inputs!$D$173,0)*$C$19</f>
        <v>0</v>
      </c>
      <c r="Q25" s="46" t="n">
        <f aca="false">IF(AND(Q$5&gt;=Inputs!$C$173,Q$5&lt;Inputs!$C$173+Inputs!$D$173),(Inputs!$B$173*Inputs!$B$153*Inputs!$B$154)/Inputs!$D$173,0)*$C$19</f>
        <v>0</v>
      </c>
      <c r="R25" s="46" t="n">
        <f aca="false">IF(AND(R$5&gt;=Inputs!$C$173,R$5&lt;Inputs!$C$173+Inputs!$D$173),(Inputs!$B$173*Inputs!$B$153*Inputs!$B$154)/Inputs!$D$173,0)*$C$19</f>
        <v>0</v>
      </c>
      <c r="S25" s="46" t="n">
        <f aca="false">IF(AND(S$5&gt;=Inputs!$C$173,S$5&lt;Inputs!$C$173+Inputs!$D$173),(Inputs!$B$173*Inputs!$B$153*Inputs!$B$154)/Inputs!$D$173,0)*$C$19</f>
        <v>0</v>
      </c>
      <c r="T25" s="46" t="n">
        <f aca="false">IF(AND(T$5&gt;=Inputs!$C$173,T$5&lt;Inputs!$C$173+Inputs!$D$173),(Inputs!$B$173*Inputs!$B$153*Inputs!$B$154)/Inputs!$D$173,0)*$C$19</f>
        <v>0</v>
      </c>
      <c r="U25" s="46" t="n">
        <f aca="false">IF(AND(U$5&gt;=Inputs!$C$173,U$5&lt;Inputs!$C$173+Inputs!$D$173),(Inputs!$B$173*Inputs!$B$153*Inputs!$B$154)/Inputs!$D$173,0)*$C$19</f>
        <v>0</v>
      </c>
      <c r="V25" s="46" t="n">
        <f aca="false">IF(AND(V$5&gt;=Inputs!$C$173,V$5&lt;Inputs!$C$173+Inputs!$D$173),(Inputs!$B$173*Inputs!$B$153*Inputs!$B$154)/Inputs!$D$173,0)*$C$19</f>
        <v>0</v>
      </c>
      <c r="W25" s="46" t="n">
        <f aca="false">IF(AND(W$5&gt;=Inputs!$C$173,W$5&lt;Inputs!$C$173+Inputs!$D$173),(Inputs!$B$173*Inputs!$B$153*Inputs!$B$154)/Inputs!$D$173,0)*$C$19</f>
        <v>0</v>
      </c>
      <c r="X25" s="46" t="n">
        <f aca="false">IF(AND(X$5&gt;=Inputs!$C$173,X$5&lt;Inputs!$C$173+Inputs!$D$173),(Inputs!$B$173*Inputs!$B$153*Inputs!$B$154)/Inputs!$D$173,0)*$C$19</f>
        <v>0</v>
      </c>
      <c r="Y25" s="46" t="n">
        <f aca="false">IF(AND(Y$5&gt;=Inputs!$C$173,Y$5&lt;Inputs!$C$173+Inputs!$D$173),(Inputs!$B$173*Inputs!$B$153*Inputs!$B$154)/Inputs!$D$173,0)*$C$19</f>
        <v>0</v>
      </c>
      <c r="Z25" s="46" t="n">
        <f aca="false">IF(AND(Z$5&gt;=Inputs!$C$173,Z$5&lt;Inputs!$C$173+Inputs!$D$173),(Inputs!$B$173*Inputs!$B$153*Inputs!$B$154)/Inputs!$D$173,0)*$C$19</f>
        <v>0</v>
      </c>
      <c r="AA25" s="46" t="n">
        <f aca="false">IF(AND(AA$5&gt;=Inputs!$C$173,AA$5&lt;Inputs!$C$173+Inputs!$D$173),(Inputs!$B$173*Inputs!$B$153*Inputs!$B$154)/Inputs!$D$173,0)*$C$19</f>
        <v>0</v>
      </c>
      <c r="AB25" s="46" t="n">
        <f aca="false">IF(AND(AB$5&gt;=Inputs!$C$173,AB$5&lt;Inputs!$C$173+Inputs!$D$173),(Inputs!$B$173*Inputs!$B$153*Inputs!$B$154)/Inputs!$D$173,0)*$C$19</f>
        <v>0</v>
      </c>
      <c r="AC25" s="46" t="n">
        <f aca="false">IF(AND(AC$5&gt;=Inputs!$C$173,AC$5&lt;Inputs!$C$173+Inputs!$D$173),(Inputs!$B$173*Inputs!$B$153*Inputs!$B$154)/Inputs!$D$173,0)*$C$19</f>
        <v>0</v>
      </c>
      <c r="AD25" s="46" t="n">
        <f aca="false">IF(AND(AD$5&gt;=Inputs!$C$173,AD$5&lt;Inputs!$C$173+Inputs!$D$173),(Inputs!$B$173*Inputs!$B$153*Inputs!$B$154)/Inputs!$D$173,0)*$C$19</f>
        <v>0</v>
      </c>
      <c r="AE25" s="46" t="n">
        <f aca="false">IF(AND(AE$5&gt;=Inputs!$C$173,AE$5&lt;Inputs!$C$173+Inputs!$D$173),(Inputs!$B$173*Inputs!$B$153*Inputs!$B$154)/Inputs!$D$173,0)*$C$19</f>
        <v>0</v>
      </c>
      <c r="AF25" s="46" t="n">
        <f aca="false">IF(AND(AF$5&gt;=Inputs!$C$173,AF$5&lt;Inputs!$C$173+Inputs!$D$173),(Inputs!$B$173*Inputs!$B$153*Inputs!$B$154)/Inputs!$D$173,0)*$C$19</f>
        <v>0</v>
      </c>
      <c r="AG25" s="46" t="n">
        <f aca="false">IF(AND(AG$5&gt;=Inputs!$C$173,AG$5&lt;Inputs!$C$173+Inputs!$D$173),(Inputs!$B$173*Inputs!$B$153*Inputs!$B$154)/Inputs!$D$173,0)*$C$19</f>
        <v>0</v>
      </c>
      <c r="AH25" s="46" t="n">
        <f aca="false">IF(AND(AH$5&gt;=Inputs!$C$173,AH$5&lt;Inputs!$C$173+Inputs!$D$173),(Inputs!$B$173*Inputs!$B$153*Inputs!$B$154)/Inputs!$D$173,0)*$C$19</f>
        <v>0</v>
      </c>
      <c r="AI25" s="46" t="n">
        <f aca="false">IF(AND(AI$5&gt;=Inputs!$C$173,AI$5&lt;Inputs!$C$173+Inputs!$D$173),(Inputs!$B$173*Inputs!$B$153*Inputs!$B$154)/Inputs!$D$173,0)*$C$19</f>
        <v>0</v>
      </c>
      <c r="AJ25" s="46" t="n">
        <f aca="false">IF(AND(AJ$5&gt;=Inputs!$C$173,AJ$5&lt;Inputs!$C$173+Inputs!$D$173),(Inputs!$B$173*Inputs!$B$153*Inputs!$B$154)/Inputs!$D$173,0)*$C$19</f>
        <v>0</v>
      </c>
      <c r="AK25" s="46" t="n">
        <f aca="false">IF(AND(AK$5&gt;=Inputs!$C$173,AK$5&lt;Inputs!$C$173+Inputs!$D$173),(Inputs!$B$173*Inputs!$B$153*Inputs!$B$154)/Inputs!$D$173,0)*$C$19</f>
        <v>0</v>
      </c>
      <c r="AL25" s="46" t="n">
        <f aca="false">IF(AND(AL$5&gt;=Inputs!$C$173,AL$5&lt;Inputs!$C$173+Inputs!$D$173),(Inputs!$B$173*Inputs!$B$153*Inputs!$B$154)/Inputs!$D$173,0)*$C$19</f>
        <v>0</v>
      </c>
      <c r="AM25" s="46" t="n">
        <f aca="false">IF(AND(AM$5&gt;=Inputs!$C$173,AM$5&lt;Inputs!$C$173+Inputs!$D$173),(Inputs!$B$173*Inputs!$B$153*Inputs!$B$154)/Inputs!$D$173,0)*$C$19</f>
        <v>0</v>
      </c>
      <c r="AN25" s="46" t="n">
        <f aca="false">SUM(D25:AM25)</f>
        <v>17400</v>
      </c>
      <c r="AO25" s="46" t="n">
        <f aca="false">SUM(D25:O25)</f>
        <v>17400</v>
      </c>
      <c r="AP25" s="46" t="n">
        <f aca="false">SUM(P25:AA25)</f>
        <v>0</v>
      </c>
      <c r="AQ25" s="46" t="n">
        <f aca="false">SUM(AB25:AM25)</f>
        <v>0</v>
      </c>
    </row>
    <row r="26" customFormat="false" ht="15" hidden="false" customHeight="false" outlineLevel="0" collapsed="false">
      <c r="A26" s="17" t="str">
        <f aca="false">Inputs!A174&amp;" (+ wallet if on)"</f>
        <v>P3 rules, keys, autonomy (AGT-030 to 034) (+ wallet if on)</v>
      </c>
      <c r="B26" s="17" t="s">
        <v>61</v>
      </c>
      <c r="C26" s="43" t="n">
        <f aca="false">Inputs!B174</f>
        <v>19</v>
      </c>
      <c r="D26" s="46" t="n">
        <f aca="false">IF(AND(D$5&gt;=Inputs!$C$174,D$5&lt;Inputs!$C$174+Inputs!$D$174),(Inputs!$B$174*Inputs!$B$153*Inputs!$B$154+Inputs!$B$178*Inputs!$B$177*Inputs!$B$153*Inputs!$B$154)/Inputs!$D$174,0)*$C$20</f>
        <v>0</v>
      </c>
      <c r="E26" s="46" t="n">
        <f aca="false">IF(AND(E$5&gt;=Inputs!$C$174,E$5&lt;Inputs!$C$174+Inputs!$D$174),(Inputs!$B$174*Inputs!$B$153*Inputs!$B$154+Inputs!$B$178*Inputs!$B$177*Inputs!$B$153*Inputs!$B$154)/Inputs!$D$174,0)*$C$20</f>
        <v>0</v>
      </c>
      <c r="F26" s="46" t="n">
        <f aca="false">IF(AND(F$5&gt;=Inputs!$C$174,F$5&lt;Inputs!$C$174+Inputs!$D$174),(Inputs!$B$174*Inputs!$B$153*Inputs!$B$154+Inputs!$B$178*Inputs!$B$177*Inputs!$B$153*Inputs!$B$154)/Inputs!$D$174,0)*$C$20</f>
        <v>0</v>
      </c>
      <c r="G26" s="46" t="n">
        <f aca="false">IF(AND(G$5&gt;=Inputs!$C$174,G$5&lt;Inputs!$C$174+Inputs!$D$174),(Inputs!$B$174*Inputs!$B$153*Inputs!$B$154+Inputs!$B$178*Inputs!$B$177*Inputs!$B$153*Inputs!$B$154)/Inputs!$D$174,0)*$C$20</f>
        <v>0</v>
      </c>
      <c r="H26" s="46" t="n">
        <f aca="false">IF(AND(H$5&gt;=Inputs!$C$174,H$5&lt;Inputs!$C$174+Inputs!$D$174),(Inputs!$B$174*Inputs!$B$153*Inputs!$B$154+Inputs!$B$178*Inputs!$B$177*Inputs!$B$153*Inputs!$B$154)/Inputs!$D$174,0)*$C$20</f>
        <v>0</v>
      </c>
      <c r="I26" s="46" t="n">
        <f aca="false">IF(AND(I$5&gt;=Inputs!$C$174,I$5&lt;Inputs!$C$174+Inputs!$D$174),(Inputs!$B$174*Inputs!$B$153*Inputs!$B$154+Inputs!$B$178*Inputs!$B$177*Inputs!$B$153*Inputs!$B$154)/Inputs!$D$174,0)*$C$20</f>
        <v>0</v>
      </c>
      <c r="J26" s="46" t="n">
        <f aca="false">IF(AND(J$5&gt;=Inputs!$C$174,J$5&lt;Inputs!$C$174+Inputs!$D$174),(Inputs!$B$174*Inputs!$B$153*Inputs!$B$154+Inputs!$B$178*Inputs!$B$177*Inputs!$B$153*Inputs!$B$154)/Inputs!$D$174,0)*$C$20</f>
        <v>0</v>
      </c>
      <c r="K26" s="46" t="n">
        <f aca="false">IF(AND(K$5&gt;=Inputs!$C$174,K$5&lt;Inputs!$C$174+Inputs!$D$174),(Inputs!$B$174*Inputs!$B$153*Inputs!$B$154+Inputs!$B$178*Inputs!$B$177*Inputs!$B$153*Inputs!$B$154)/Inputs!$D$174,0)*$C$20</f>
        <v>0</v>
      </c>
      <c r="L26" s="46" t="n">
        <f aca="false">IF(AND(L$5&gt;=Inputs!$C$174,L$5&lt;Inputs!$C$174+Inputs!$D$174),(Inputs!$B$174*Inputs!$B$153*Inputs!$B$154+Inputs!$B$178*Inputs!$B$177*Inputs!$B$153*Inputs!$B$154)/Inputs!$D$174,0)*$C$20</f>
        <v>5700</v>
      </c>
      <c r="M26" s="46" t="n">
        <f aca="false">IF(AND(M$5&gt;=Inputs!$C$174,M$5&lt;Inputs!$C$174+Inputs!$D$174),(Inputs!$B$174*Inputs!$B$153*Inputs!$B$154+Inputs!$B$178*Inputs!$B$177*Inputs!$B$153*Inputs!$B$154)/Inputs!$D$174,0)*$C$20</f>
        <v>5700</v>
      </c>
      <c r="N26" s="46" t="n">
        <f aca="false">IF(AND(N$5&gt;=Inputs!$C$174,N$5&lt;Inputs!$C$174+Inputs!$D$174),(Inputs!$B$174*Inputs!$B$153*Inputs!$B$154+Inputs!$B$178*Inputs!$B$177*Inputs!$B$153*Inputs!$B$154)/Inputs!$D$174,0)*$C$20</f>
        <v>0</v>
      </c>
      <c r="O26" s="46" t="n">
        <f aca="false">IF(AND(O$5&gt;=Inputs!$C$174,O$5&lt;Inputs!$C$174+Inputs!$D$174),(Inputs!$B$174*Inputs!$B$153*Inputs!$B$154+Inputs!$B$178*Inputs!$B$177*Inputs!$B$153*Inputs!$B$154)/Inputs!$D$174,0)*$C$20</f>
        <v>0</v>
      </c>
      <c r="P26" s="46" t="n">
        <f aca="false">IF(AND(P$5&gt;=Inputs!$C$174,P$5&lt;Inputs!$C$174+Inputs!$D$174),(Inputs!$B$174*Inputs!$B$153*Inputs!$B$154+Inputs!$B$178*Inputs!$B$177*Inputs!$B$153*Inputs!$B$154)/Inputs!$D$174,0)*$C$20</f>
        <v>0</v>
      </c>
      <c r="Q26" s="46" t="n">
        <f aca="false">IF(AND(Q$5&gt;=Inputs!$C$174,Q$5&lt;Inputs!$C$174+Inputs!$D$174),(Inputs!$B$174*Inputs!$B$153*Inputs!$B$154+Inputs!$B$178*Inputs!$B$177*Inputs!$B$153*Inputs!$B$154)/Inputs!$D$174,0)*$C$20</f>
        <v>0</v>
      </c>
      <c r="R26" s="46" t="n">
        <f aca="false">IF(AND(R$5&gt;=Inputs!$C$174,R$5&lt;Inputs!$C$174+Inputs!$D$174),(Inputs!$B$174*Inputs!$B$153*Inputs!$B$154+Inputs!$B$178*Inputs!$B$177*Inputs!$B$153*Inputs!$B$154)/Inputs!$D$174,0)*$C$20</f>
        <v>0</v>
      </c>
      <c r="S26" s="46" t="n">
        <f aca="false">IF(AND(S$5&gt;=Inputs!$C$174,S$5&lt;Inputs!$C$174+Inputs!$D$174),(Inputs!$B$174*Inputs!$B$153*Inputs!$B$154+Inputs!$B$178*Inputs!$B$177*Inputs!$B$153*Inputs!$B$154)/Inputs!$D$174,0)*$C$20</f>
        <v>0</v>
      </c>
      <c r="T26" s="46" t="n">
        <f aca="false">IF(AND(T$5&gt;=Inputs!$C$174,T$5&lt;Inputs!$C$174+Inputs!$D$174),(Inputs!$B$174*Inputs!$B$153*Inputs!$B$154+Inputs!$B$178*Inputs!$B$177*Inputs!$B$153*Inputs!$B$154)/Inputs!$D$174,0)*$C$20</f>
        <v>0</v>
      </c>
      <c r="U26" s="46" t="n">
        <f aca="false">IF(AND(U$5&gt;=Inputs!$C$174,U$5&lt;Inputs!$C$174+Inputs!$D$174),(Inputs!$B$174*Inputs!$B$153*Inputs!$B$154+Inputs!$B$178*Inputs!$B$177*Inputs!$B$153*Inputs!$B$154)/Inputs!$D$174,0)*$C$20</f>
        <v>0</v>
      </c>
      <c r="V26" s="46" t="n">
        <f aca="false">IF(AND(V$5&gt;=Inputs!$C$174,V$5&lt;Inputs!$C$174+Inputs!$D$174),(Inputs!$B$174*Inputs!$B$153*Inputs!$B$154+Inputs!$B$178*Inputs!$B$177*Inputs!$B$153*Inputs!$B$154)/Inputs!$D$174,0)*$C$20</f>
        <v>0</v>
      </c>
      <c r="W26" s="46" t="n">
        <f aca="false">IF(AND(W$5&gt;=Inputs!$C$174,W$5&lt;Inputs!$C$174+Inputs!$D$174),(Inputs!$B$174*Inputs!$B$153*Inputs!$B$154+Inputs!$B$178*Inputs!$B$177*Inputs!$B$153*Inputs!$B$154)/Inputs!$D$174,0)*$C$20</f>
        <v>0</v>
      </c>
      <c r="X26" s="46" t="n">
        <f aca="false">IF(AND(X$5&gt;=Inputs!$C$174,X$5&lt;Inputs!$C$174+Inputs!$D$174),(Inputs!$B$174*Inputs!$B$153*Inputs!$B$154+Inputs!$B$178*Inputs!$B$177*Inputs!$B$153*Inputs!$B$154)/Inputs!$D$174,0)*$C$20</f>
        <v>0</v>
      </c>
      <c r="Y26" s="46" t="n">
        <f aca="false">IF(AND(Y$5&gt;=Inputs!$C$174,Y$5&lt;Inputs!$C$174+Inputs!$D$174),(Inputs!$B$174*Inputs!$B$153*Inputs!$B$154+Inputs!$B$178*Inputs!$B$177*Inputs!$B$153*Inputs!$B$154)/Inputs!$D$174,0)*$C$20</f>
        <v>0</v>
      </c>
      <c r="Z26" s="46" t="n">
        <f aca="false">IF(AND(Z$5&gt;=Inputs!$C$174,Z$5&lt;Inputs!$C$174+Inputs!$D$174),(Inputs!$B$174*Inputs!$B$153*Inputs!$B$154+Inputs!$B$178*Inputs!$B$177*Inputs!$B$153*Inputs!$B$154)/Inputs!$D$174,0)*$C$20</f>
        <v>0</v>
      </c>
      <c r="AA26" s="46" t="n">
        <f aca="false">IF(AND(AA$5&gt;=Inputs!$C$174,AA$5&lt;Inputs!$C$174+Inputs!$D$174),(Inputs!$B$174*Inputs!$B$153*Inputs!$B$154+Inputs!$B$178*Inputs!$B$177*Inputs!$B$153*Inputs!$B$154)/Inputs!$D$174,0)*$C$20</f>
        <v>0</v>
      </c>
      <c r="AB26" s="46" t="n">
        <f aca="false">IF(AND(AB$5&gt;=Inputs!$C$174,AB$5&lt;Inputs!$C$174+Inputs!$D$174),(Inputs!$B$174*Inputs!$B$153*Inputs!$B$154+Inputs!$B$178*Inputs!$B$177*Inputs!$B$153*Inputs!$B$154)/Inputs!$D$174,0)*$C$20</f>
        <v>0</v>
      </c>
      <c r="AC26" s="46" t="n">
        <f aca="false">IF(AND(AC$5&gt;=Inputs!$C$174,AC$5&lt;Inputs!$C$174+Inputs!$D$174),(Inputs!$B$174*Inputs!$B$153*Inputs!$B$154+Inputs!$B$178*Inputs!$B$177*Inputs!$B$153*Inputs!$B$154)/Inputs!$D$174,0)*$C$20</f>
        <v>0</v>
      </c>
      <c r="AD26" s="46" t="n">
        <f aca="false">IF(AND(AD$5&gt;=Inputs!$C$174,AD$5&lt;Inputs!$C$174+Inputs!$D$174),(Inputs!$B$174*Inputs!$B$153*Inputs!$B$154+Inputs!$B$178*Inputs!$B$177*Inputs!$B$153*Inputs!$B$154)/Inputs!$D$174,0)*$C$20</f>
        <v>0</v>
      </c>
      <c r="AE26" s="46" t="n">
        <f aca="false">IF(AND(AE$5&gt;=Inputs!$C$174,AE$5&lt;Inputs!$C$174+Inputs!$D$174),(Inputs!$B$174*Inputs!$B$153*Inputs!$B$154+Inputs!$B$178*Inputs!$B$177*Inputs!$B$153*Inputs!$B$154)/Inputs!$D$174,0)*$C$20</f>
        <v>0</v>
      </c>
      <c r="AF26" s="46" t="n">
        <f aca="false">IF(AND(AF$5&gt;=Inputs!$C$174,AF$5&lt;Inputs!$C$174+Inputs!$D$174),(Inputs!$B$174*Inputs!$B$153*Inputs!$B$154+Inputs!$B$178*Inputs!$B$177*Inputs!$B$153*Inputs!$B$154)/Inputs!$D$174,0)*$C$20</f>
        <v>0</v>
      </c>
      <c r="AG26" s="46" t="n">
        <f aca="false">IF(AND(AG$5&gt;=Inputs!$C$174,AG$5&lt;Inputs!$C$174+Inputs!$D$174),(Inputs!$B$174*Inputs!$B$153*Inputs!$B$154+Inputs!$B$178*Inputs!$B$177*Inputs!$B$153*Inputs!$B$154)/Inputs!$D$174,0)*$C$20</f>
        <v>0</v>
      </c>
      <c r="AH26" s="46" t="n">
        <f aca="false">IF(AND(AH$5&gt;=Inputs!$C$174,AH$5&lt;Inputs!$C$174+Inputs!$D$174),(Inputs!$B$174*Inputs!$B$153*Inputs!$B$154+Inputs!$B$178*Inputs!$B$177*Inputs!$B$153*Inputs!$B$154)/Inputs!$D$174,0)*$C$20</f>
        <v>0</v>
      </c>
      <c r="AI26" s="46" t="n">
        <f aca="false">IF(AND(AI$5&gt;=Inputs!$C$174,AI$5&lt;Inputs!$C$174+Inputs!$D$174),(Inputs!$B$174*Inputs!$B$153*Inputs!$B$154+Inputs!$B$178*Inputs!$B$177*Inputs!$B$153*Inputs!$B$154)/Inputs!$D$174,0)*$C$20</f>
        <v>0</v>
      </c>
      <c r="AJ26" s="46" t="n">
        <f aca="false">IF(AND(AJ$5&gt;=Inputs!$C$174,AJ$5&lt;Inputs!$C$174+Inputs!$D$174),(Inputs!$B$174*Inputs!$B$153*Inputs!$B$154+Inputs!$B$178*Inputs!$B$177*Inputs!$B$153*Inputs!$B$154)/Inputs!$D$174,0)*$C$20</f>
        <v>0</v>
      </c>
      <c r="AK26" s="46" t="n">
        <f aca="false">IF(AND(AK$5&gt;=Inputs!$C$174,AK$5&lt;Inputs!$C$174+Inputs!$D$174),(Inputs!$B$174*Inputs!$B$153*Inputs!$B$154+Inputs!$B$178*Inputs!$B$177*Inputs!$B$153*Inputs!$B$154)/Inputs!$D$174,0)*$C$20</f>
        <v>0</v>
      </c>
      <c r="AL26" s="46" t="n">
        <f aca="false">IF(AND(AL$5&gt;=Inputs!$C$174,AL$5&lt;Inputs!$C$174+Inputs!$D$174),(Inputs!$B$174*Inputs!$B$153*Inputs!$B$154+Inputs!$B$178*Inputs!$B$177*Inputs!$B$153*Inputs!$B$154)/Inputs!$D$174,0)*$C$20</f>
        <v>0</v>
      </c>
      <c r="AM26" s="46" t="n">
        <f aca="false">IF(AND(AM$5&gt;=Inputs!$C$174,AM$5&lt;Inputs!$C$174+Inputs!$D$174),(Inputs!$B$174*Inputs!$B$153*Inputs!$B$154+Inputs!$B$178*Inputs!$B$177*Inputs!$B$153*Inputs!$B$154)/Inputs!$D$174,0)*$C$20</f>
        <v>0</v>
      </c>
      <c r="AN26" s="46" t="n">
        <f aca="false">SUM(D26:AM26)</f>
        <v>11400</v>
      </c>
      <c r="AO26" s="46" t="n">
        <f aca="false">SUM(D26:O26)</f>
        <v>11400</v>
      </c>
      <c r="AP26" s="46" t="n">
        <f aca="false">SUM(P26:AA26)</f>
        <v>0</v>
      </c>
      <c r="AQ26" s="46" t="n">
        <f aca="false">SUM(AB26:AM26)</f>
        <v>0</v>
      </c>
    </row>
    <row r="27" customFormat="false" ht="15" hidden="false" customHeight="false" outlineLevel="0" collapsed="false">
      <c r="A27" s="17" t="str">
        <f aca="false">Inputs!A175</f>
        <v>P4 distribution / directory listings (AGT-040 to 045)</v>
      </c>
      <c r="B27" s="17" t="s">
        <v>61</v>
      </c>
      <c r="C27" s="43" t="n">
        <f aca="false">Inputs!B175</f>
        <v>24</v>
      </c>
      <c r="D27" s="46" t="n">
        <f aca="false">IF(AND(D$5&gt;=Inputs!$C$175,D$5&lt;Inputs!$C$175+Inputs!$D$175),(Inputs!$B$175*Inputs!$B$153*Inputs!$B$154)/Inputs!$D$175,0)*$C$21</f>
        <v>0</v>
      </c>
      <c r="E27" s="46" t="n">
        <f aca="false">IF(AND(E$5&gt;=Inputs!$C$175,E$5&lt;Inputs!$C$175+Inputs!$D$175),(Inputs!$B$175*Inputs!$B$153*Inputs!$B$154)/Inputs!$D$175,0)*$C$21</f>
        <v>0</v>
      </c>
      <c r="F27" s="46" t="n">
        <f aca="false">IF(AND(F$5&gt;=Inputs!$C$175,F$5&lt;Inputs!$C$175+Inputs!$D$175),(Inputs!$B$175*Inputs!$B$153*Inputs!$B$154)/Inputs!$D$175,0)*$C$21</f>
        <v>0</v>
      </c>
      <c r="G27" s="46" t="n">
        <f aca="false">IF(AND(G$5&gt;=Inputs!$C$175,G$5&lt;Inputs!$C$175+Inputs!$D$175),(Inputs!$B$175*Inputs!$B$153*Inputs!$B$154)/Inputs!$D$175,0)*$C$21</f>
        <v>0</v>
      </c>
      <c r="H27" s="46" t="n">
        <f aca="false">IF(AND(H$5&gt;=Inputs!$C$175,H$5&lt;Inputs!$C$175+Inputs!$D$175),(Inputs!$B$175*Inputs!$B$153*Inputs!$B$154)/Inputs!$D$175,0)*$C$21</f>
        <v>0</v>
      </c>
      <c r="I27" s="46" t="n">
        <f aca="false">IF(AND(I$5&gt;=Inputs!$C$175,I$5&lt;Inputs!$C$175+Inputs!$D$175),(Inputs!$B$175*Inputs!$B$153*Inputs!$B$154)/Inputs!$D$175,0)*$C$21</f>
        <v>0</v>
      </c>
      <c r="J27" s="46" t="n">
        <f aca="false">IF(AND(J$5&gt;=Inputs!$C$175,J$5&lt;Inputs!$C$175+Inputs!$D$175),(Inputs!$B$175*Inputs!$B$153*Inputs!$B$154)/Inputs!$D$175,0)*$C$21</f>
        <v>0</v>
      </c>
      <c r="K27" s="46" t="n">
        <f aca="false">IF(AND(K$5&gt;=Inputs!$C$175,K$5&lt;Inputs!$C$175+Inputs!$D$175),(Inputs!$B$175*Inputs!$B$153*Inputs!$B$154)/Inputs!$D$175,0)*$C$21</f>
        <v>0</v>
      </c>
      <c r="L27" s="46" t="n">
        <f aca="false">IF(AND(L$5&gt;=Inputs!$C$175,L$5&lt;Inputs!$C$175+Inputs!$D$175),(Inputs!$B$175*Inputs!$B$153*Inputs!$B$154)/Inputs!$D$175,0)*$C$21</f>
        <v>0</v>
      </c>
      <c r="M27" s="46" t="n">
        <f aca="false">IF(AND(M$5&gt;=Inputs!$C$175,M$5&lt;Inputs!$C$175+Inputs!$D$175),(Inputs!$B$175*Inputs!$B$153*Inputs!$B$154)/Inputs!$D$175,0)*$C$21</f>
        <v>0</v>
      </c>
      <c r="N27" s="46" t="n">
        <f aca="false">IF(AND(N$5&gt;=Inputs!$C$175,N$5&lt;Inputs!$C$175+Inputs!$D$175),(Inputs!$B$175*Inputs!$B$153*Inputs!$B$154)/Inputs!$D$175,0)*$C$21</f>
        <v>0</v>
      </c>
      <c r="O27" s="46" t="n">
        <f aca="false">IF(AND(O$5&gt;=Inputs!$C$175,O$5&lt;Inputs!$C$175+Inputs!$D$175),(Inputs!$B$175*Inputs!$B$153*Inputs!$B$154)/Inputs!$D$175,0)*$C$21</f>
        <v>4800</v>
      </c>
      <c r="P27" s="46" t="n">
        <f aca="false">IF(AND(P$5&gt;=Inputs!$C$175,P$5&lt;Inputs!$C$175+Inputs!$D$175),(Inputs!$B$175*Inputs!$B$153*Inputs!$B$154)/Inputs!$D$175,0)*$C$21</f>
        <v>4800</v>
      </c>
      <c r="Q27" s="46" t="n">
        <f aca="false">IF(AND(Q$5&gt;=Inputs!$C$175,Q$5&lt;Inputs!$C$175+Inputs!$D$175),(Inputs!$B$175*Inputs!$B$153*Inputs!$B$154)/Inputs!$D$175,0)*$C$21</f>
        <v>4800</v>
      </c>
      <c r="R27" s="46" t="n">
        <f aca="false">IF(AND(R$5&gt;=Inputs!$C$175,R$5&lt;Inputs!$C$175+Inputs!$D$175),(Inputs!$B$175*Inputs!$B$153*Inputs!$B$154)/Inputs!$D$175,0)*$C$21</f>
        <v>0</v>
      </c>
      <c r="S27" s="46" t="n">
        <f aca="false">IF(AND(S$5&gt;=Inputs!$C$175,S$5&lt;Inputs!$C$175+Inputs!$D$175),(Inputs!$B$175*Inputs!$B$153*Inputs!$B$154)/Inputs!$D$175,0)*$C$21</f>
        <v>0</v>
      </c>
      <c r="T27" s="46" t="n">
        <f aca="false">IF(AND(T$5&gt;=Inputs!$C$175,T$5&lt;Inputs!$C$175+Inputs!$D$175),(Inputs!$B$175*Inputs!$B$153*Inputs!$B$154)/Inputs!$D$175,0)*$C$21</f>
        <v>0</v>
      </c>
      <c r="U27" s="46" t="n">
        <f aca="false">IF(AND(U$5&gt;=Inputs!$C$175,U$5&lt;Inputs!$C$175+Inputs!$D$175),(Inputs!$B$175*Inputs!$B$153*Inputs!$B$154)/Inputs!$D$175,0)*$C$21</f>
        <v>0</v>
      </c>
      <c r="V27" s="46" t="n">
        <f aca="false">IF(AND(V$5&gt;=Inputs!$C$175,V$5&lt;Inputs!$C$175+Inputs!$D$175),(Inputs!$B$175*Inputs!$B$153*Inputs!$B$154)/Inputs!$D$175,0)*$C$21</f>
        <v>0</v>
      </c>
      <c r="W27" s="46" t="n">
        <f aca="false">IF(AND(W$5&gt;=Inputs!$C$175,W$5&lt;Inputs!$C$175+Inputs!$D$175),(Inputs!$B$175*Inputs!$B$153*Inputs!$B$154)/Inputs!$D$175,0)*$C$21</f>
        <v>0</v>
      </c>
      <c r="X27" s="46" t="n">
        <f aca="false">IF(AND(X$5&gt;=Inputs!$C$175,X$5&lt;Inputs!$C$175+Inputs!$D$175),(Inputs!$B$175*Inputs!$B$153*Inputs!$B$154)/Inputs!$D$175,0)*$C$21</f>
        <v>0</v>
      </c>
      <c r="Y27" s="46" t="n">
        <f aca="false">IF(AND(Y$5&gt;=Inputs!$C$175,Y$5&lt;Inputs!$C$175+Inputs!$D$175),(Inputs!$B$175*Inputs!$B$153*Inputs!$B$154)/Inputs!$D$175,0)*$C$21</f>
        <v>0</v>
      </c>
      <c r="Z27" s="46" t="n">
        <f aca="false">IF(AND(Z$5&gt;=Inputs!$C$175,Z$5&lt;Inputs!$C$175+Inputs!$D$175),(Inputs!$B$175*Inputs!$B$153*Inputs!$B$154)/Inputs!$D$175,0)*$C$21</f>
        <v>0</v>
      </c>
      <c r="AA27" s="46" t="n">
        <f aca="false">IF(AND(AA$5&gt;=Inputs!$C$175,AA$5&lt;Inputs!$C$175+Inputs!$D$175),(Inputs!$B$175*Inputs!$B$153*Inputs!$B$154)/Inputs!$D$175,0)*$C$21</f>
        <v>0</v>
      </c>
      <c r="AB27" s="46" t="n">
        <f aca="false">IF(AND(AB$5&gt;=Inputs!$C$175,AB$5&lt;Inputs!$C$175+Inputs!$D$175),(Inputs!$B$175*Inputs!$B$153*Inputs!$B$154)/Inputs!$D$175,0)*$C$21</f>
        <v>0</v>
      </c>
      <c r="AC27" s="46" t="n">
        <f aca="false">IF(AND(AC$5&gt;=Inputs!$C$175,AC$5&lt;Inputs!$C$175+Inputs!$D$175),(Inputs!$B$175*Inputs!$B$153*Inputs!$B$154)/Inputs!$D$175,0)*$C$21</f>
        <v>0</v>
      </c>
      <c r="AD27" s="46" t="n">
        <f aca="false">IF(AND(AD$5&gt;=Inputs!$C$175,AD$5&lt;Inputs!$C$175+Inputs!$D$175),(Inputs!$B$175*Inputs!$B$153*Inputs!$B$154)/Inputs!$D$175,0)*$C$21</f>
        <v>0</v>
      </c>
      <c r="AE27" s="46" t="n">
        <f aca="false">IF(AND(AE$5&gt;=Inputs!$C$175,AE$5&lt;Inputs!$C$175+Inputs!$D$175),(Inputs!$B$175*Inputs!$B$153*Inputs!$B$154)/Inputs!$D$175,0)*$C$21</f>
        <v>0</v>
      </c>
      <c r="AF27" s="46" t="n">
        <f aca="false">IF(AND(AF$5&gt;=Inputs!$C$175,AF$5&lt;Inputs!$C$175+Inputs!$D$175),(Inputs!$B$175*Inputs!$B$153*Inputs!$B$154)/Inputs!$D$175,0)*$C$21</f>
        <v>0</v>
      </c>
      <c r="AG27" s="46" t="n">
        <f aca="false">IF(AND(AG$5&gt;=Inputs!$C$175,AG$5&lt;Inputs!$C$175+Inputs!$D$175),(Inputs!$B$175*Inputs!$B$153*Inputs!$B$154)/Inputs!$D$175,0)*$C$21</f>
        <v>0</v>
      </c>
      <c r="AH27" s="46" t="n">
        <f aca="false">IF(AND(AH$5&gt;=Inputs!$C$175,AH$5&lt;Inputs!$C$175+Inputs!$D$175),(Inputs!$B$175*Inputs!$B$153*Inputs!$B$154)/Inputs!$D$175,0)*$C$21</f>
        <v>0</v>
      </c>
      <c r="AI27" s="46" t="n">
        <f aca="false">IF(AND(AI$5&gt;=Inputs!$C$175,AI$5&lt;Inputs!$C$175+Inputs!$D$175),(Inputs!$B$175*Inputs!$B$153*Inputs!$B$154)/Inputs!$D$175,0)*$C$21</f>
        <v>0</v>
      </c>
      <c r="AJ27" s="46" t="n">
        <f aca="false">IF(AND(AJ$5&gt;=Inputs!$C$175,AJ$5&lt;Inputs!$C$175+Inputs!$D$175),(Inputs!$B$175*Inputs!$B$153*Inputs!$B$154)/Inputs!$D$175,0)*$C$21</f>
        <v>0</v>
      </c>
      <c r="AK27" s="46" t="n">
        <f aca="false">IF(AND(AK$5&gt;=Inputs!$C$175,AK$5&lt;Inputs!$C$175+Inputs!$D$175),(Inputs!$B$175*Inputs!$B$153*Inputs!$B$154)/Inputs!$D$175,0)*$C$21</f>
        <v>0</v>
      </c>
      <c r="AL27" s="46" t="n">
        <f aca="false">IF(AND(AL$5&gt;=Inputs!$C$175,AL$5&lt;Inputs!$C$175+Inputs!$D$175),(Inputs!$B$175*Inputs!$B$153*Inputs!$B$154)/Inputs!$D$175,0)*$C$21</f>
        <v>0</v>
      </c>
      <c r="AM27" s="46" t="n">
        <f aca="false">IF(AND(AM$5&gt;=Inputs!$C$175,AM$5&lt;Inputs!$C$175+Inputs!$D$175),(Inputs!$B$175*Inputs!$B$153*Inputs!$B$154)/Inputs!$D$175,0)*$C$21</f>
        <v>0</v>
      </c>
      <c r="AN27" s="46" t="n">
        <f aca="false">SUM(D27:AM27)</f>
        <v>14400</v>
      </c>
      <c r="AO27" s="46" t="n">
        <f aca="false">SUM(D27:O27)</f>
        <v>4800</v>
      </c>
      <c r="AP27" s="46" t="n">
        <f aca="false">SUM(P27:AA27)</f>
        <v>9600</v>
      </c>
      <c r="AQ27" s="46" t="n">
        <f aca="false">SUM(AB27:AM27)</f>
        <v>0</v>
      </c>
    </row>
    <row r="28" customFormat="false" ht="15" hidden="false" customHeight="false" outlineLevel="0" collapsed="false">
      <c r="A28" s="3" t="s">
        <v>829</v>
      </c>
      <c r="B28" s="17" t="s">
        <v>61</v>
      </c>
      <c r="D28" s="8" t="n">
        <f aca="false">SUM(D23:D27)</f>
        <v>18000</v>
      </c>
      <c r="E28" s="8" t="n">
        <f aca="false">SUM(E23:E27)</f>
        <v>11250</v>
      </c>
      <c r="F28" s="8" t="n">
        <f aca="false">SUM(F23:F27)</f>
        <v>11250</v>
      </c>
      <c r="G28" s="8" t="n">
        <f aca="false">SUM(G23:G27)</f>
        <v>8700</v>
      </c>
      <c r="H28" s="8" t="n">
        <f aca="false">SUM(H23:H27)</f>
        <v>8700</v>
      </c>
      <c r="I28" s="8" t="n">
        <f aca="false">SUM(I23:I27)</f>
        <v>0</v>
      </c>
      <c r="J28" s="8" t="n">
        <f aca="false">SUM(J23:J27)</f>
        <v>0</v>
      </c>
      <c r="K28" s="8" t="n">
        <f aca="false">SUM(K23:K27)</f>
        <v>0</v>
      </c>
      <c r="L28" s="8" t="n">
        <f aca="false">SUM(L23:L27)</f>
        <v>5700</v>
      </c>
      <c r="M28" s="8" t="n">
        <f aca="false">SUM(M23:M27)</f>
        <v>5700</v>
      </c>
      <c r="N28" s="8" t="n">
        <f aca="false">SUM(N23:N27)</f>
        <v>0</v>
      </c>
      <c r="O28" s="8" t="n">
        <f aca="false">SUM(O23:O27)</f>
        <v>4800</v>
      </c>
      <c r="P28" s="8" t="n">
        <f aca="false">SUM(P23:P27)</f>
        <v>4800</v>
      </c>
      <c r="Q28" s="8" t="n">
        <f aca="false">SUM(Q23:Q27)</f>
        <v>4800</v>
      </c>
      <c r="R28" s="8" t="n">
        <f aca="false">SUM(R23:R27)</f>
        <v>0</v>
      </c>
      <c r="S28" s="8" t="n">
        <f aca="false">SUM(S23:S27)</f>
        <v>0</v>
      </c>
      <c r="T28" s="8" t="n">
        <f aca="false">SUM(T23:T27)</f>
        <v>0</v>
      </c>
      <c r="U28" s="8" t="n">
        <f aca="false">SUM(U23:U27)</f>
        <v>0</v>
      </c>
      <c r="V28" s="8" t="n">
        <f aca="false">SUM(V23:V27)</f>
        <v>0</v>
      </c>
      <c r="W28" s="8" t="n">
        <f aca="false">SUM(W23:W27)</f>
        <v>0</v>
      </c>
      <c r="X28" s="8" t="n">
        <f aca="false">SUM(X23:X27)</f>
        <v>0</v>
      </c>
      <c r="Y28" s="8" t="n">
        <f aca="false">SUM(Y23:Y27)</f>
        <v>0</v>
      </c>
      <c r="Z28" s="8" t="n">
        <f aca="false">SUM(Z23:Z27)</f>
        <v>0</v>
      </c>
      <c r="AA28" s="8" t="n">
        <f aca="false">SUM(AA23:AA27)</f>
        <v>0</v>
      </c>
      <c r="AB28" s="8" t="n">
        <f aca="false">SUM(AB23:AB27)</f>
        <v>0</v>
      </c>
      <c r="AC28" s="8" t="n">
        <f aca="false">SUM(AC23:AC27)</f>
        <v>0</v>
      </c>
      <c r="AD28" s="8" t="n">
        <f aca="false">SUM(AD23:AD27)</f>
        <v>0</v>
      </c>
      <c r="AE28" s="8" t="n">
        <f aca="false">SUM(AE23:AE27)</f>
        <v>0</v>
      </c>
      <c r="AF28" s="8" t="n">
        <f aca="false">SUM(AF23:AF27)</f>
        <v>0</v>
      </c>
      <c r="AG28" s="8" t="n">
        <f aca="false">SUM(AG23:AG27)</f>
        <v>0</v>
      </c>
      <c r="AH28" s="8" t="n">
        <f aca="false">SUM(AH23:AH27)</f>
        <v>0</v>
      </c>
      <c r="AI28" s="8" t="n">
        <f aca="false">SUM(AI23:AI27)</f>
        <v>0</v>
      </c>
      <c r="AJ28" s="8" t="n">
        <f aca="false">SUM(AJ23:AJ27)</f>
        <v>0</v>
      </c>
      <c r="AK28" s="8" t="n">
        <f aca="false">SUM(AK23:AK27)</f>
        <v>0</v>
      </c>
      <c r="AL28" s="8" t="n">
        <f aca="false">SUM(AL23:AL27)</f>
        <v>0</v>
      </c>
      <c r="AM28" s="8" t="n">
        <f aca="false">SUM(AM23:AM27)</f>
        <v>0</v>
      </c>
      <c r="AN28" s="8" t="n">
        <f aca="false">SUM(D28:AM28)</f>
        <v>83700</v>
      </c>
      <c r="AO28" s="8" t="n">
        <f aca="false">SUM(D28:O28)</f>
        <v>74100</v>
      </c>
      <c r="AP28" s="8" t="n">
        <f aca="false">SUM(P28:AA28)</f>
        <v>9600</v>
      </c>
      <c r="AQ28" s="8" t="n">
        <f aca="false">SUM(AB28:AM28)</f>
        <v>0</v>
      </c>
    </row>
    <row r="30" customFormat="false" ht="15" hidden="false" customHeight="false" outlineLevel="0" collapsed="false">
      <c r="A30" s="23" t="s">
        <v>830</v>
      </c>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row>
    <row r="31" customFormat="false" ht="24.05" hidden="false" customHeight="false" outlineLevel="0" collapsed="false">
      <c r="A31" s="39" t="s">
        <v>831</v>
      </c>
      <c r="B31" s="39" t="s">
        <v>832</v>
      </c>
      <c r="C31" s="39" t="s">
        <v>833</v>
      </c>
      <c r="D31" s="39" t="s">
        <v>834</v>
      </c>
      <c r="E31" s="39" t="s">
        <v>835</v>
      </c>
      <c r="F31" s="39" t="s">
        <v>836</v>
      </c>
      <c r="G31" s="39" t="s">
        <v>837</v>
      </c>
    </row>
    <row r="32" customFormat="false" ht="15" hidden="false" customHeight="false" outlineLevel="0" collapsed="false">
      <c r="A32" s="17" t="str">
        <f aca="false">Inputs!A182</f>
        <v>P0 Concept validation</v>
      </c>
      <c r="B32" s="49" t="n">
        <f aca="false">1</f>
        <v>1</v>
      </c>
      <c r="C32" s="46" t="n">
        <f aca="false">(Inputs!$B$182*Inputs!$H$189+Inputs!$C$182*Inputs!$H$190)*Inputs!$H$188</f>
        <v>26000</v>
      </c>
      <c r="D32" s="46" t="n">
        <f aca="false">INDEX(Inputs!$G$182:$I$182,Scenarios!$B$4)</f>
        <v>4100</v>
      </c>
      <c r="E32" s="46" t="n">
        <f aca="false">(C32+D32)*INDEX(Inputs!$J$182:$L$182,Scenarios!$B$4)</f>
        <v>4515</v>
      </c>
      <c r="F32" s="46" t="n">
        <f aca="false">C32+D32+E32</f>
        <v>34615</v>
      </c>
      <c r="G32" s="46" t="n">
        <f aca="false">F32*B32</f>
        <v>34615</v>
      </c>
    </row>
    <row r="33" customFormat="false" ht="15" hidden="false" customHeight="false" outlineLevel="0" collapsed="false">
      <c r="A33" s="17" t="str">
        <f aca="false">Inputs!A183</f>
        <v>P1 Pilot prototype</v>
      </c>
      <c r="B33" s="49" t="n">
        <f aca="false">Inputs!$F$183</f>
        <v>0</v>
      </c>
      <c r="C33" s="46" t="n">
        <f aca="false">(Inputs!$B$183*Inputs!$H$189+Inputs!$C$183*Inputs!$H$190)*Inputs!$H$188</f>
        <v>187000</v>
      </c>
      <c r="D33" s="46" t="n">
        <f aca="false">INDEX(Inputs!$G$183:$I$183,Scenarios!$B$4)</f>
        <v>38300</v>
      </c>
      <c r="E33" s="46" t="n">
        <f aca="false">(C33+D33)*INDEX(Inputs!$J$183:$L$183,Scenarios!$B$4)</f>
        <v>45060</v>
      </c>
      <c r="F33" s="46" t="n">
        <f aca="false">C33+D33+E33</f>
        <v>270360</v>
      </c>
      <c r="G33" s="46" t="n">
        <f aca="false">F33*B33</f>
        <v>0</v>
      </c>
    </row>
    <row r="34" customFormat="false" ht="15" hidden="false" customHeight="false" outlineLevel="0" collapsed="false">
      <c r="A34" s="17" t="str">
        <f aca="false">Inputs!A184</f>
        <v>P2 Field pilot (1-3 sites)</v>
      </c>
      <c r="B34" s="49" t="n">
        <f aca="false">Inputs!$F$183*Inputs!$F$184</f>
        <v>0</v>
      </c>
      <c r="C34" s="46" t="n">
        <f aca="false">(Inputs!$B$184*Inputs!$H$189+Inputs!$C$184*Inputs!$H$190)*Inputs!$H$188</f>
        <v>98600</v>
      </c>
      <c r="D34" s="46" t="n">
        <f aca="false">INDEX(Inputs!$G$184:$I$184,Scenarios!$B$4)</f>
        <v>45900</v>
      </c>
      <c r="E34" s="46" t="n">
        <f aca="false">(C34+D34)*INDEX(Inputs!$J$184:$L$184,Scenarios!$B$4)</f>
        <v>28900</v>
      </c>
      <c r="F34" s="46" t="n">
        <f aca="false">C34+D34+E34</f>
        <v>173400</v>
      </c>
      <c r="G34" s="46" t="n">
        <f aca="false">F34*B34</f>
        <v>0</v>
      </c>
    </row>
    <row r="35" customFormat="false" ht="15" hidden="false" customHeight="false" outlineLevel="0" collapsed="false">
      <c r="A35" s="17" t="str">
        <f aca="false">Inputs!A185</f>
        <v>P3 Productized small batch</v>
      </c>
      <c r="B35" s="49" t="n">
        <f aca="false">Inputs!$F$183*Inputs!$F$184*Inputs!$F$185</f>
        <v>0</v>
      </c>
      <c r="C35" s="46" t="n">
        <f aca="false">(Inputs!$B$185*Inputs!$H$189+Inputs!$C$185*Inputs!$H$190)*Inputs!$H$188</f>
        <v>200000</v>
      </c>
      <c r="D35" s="46" t="n">
        <f aca="false">INDEX(Inputs!$G$185:$I$185,Scenarios!$B$4)</f>
        <v>106000</v>
      </c>
      <c r="E35" s="46" t="n">
        <f aca="false">(C35+D35)*INDEX(Inputs!$J$185:$L$185,Scenarios!$B$4)</f>
        <v>61200</v>
      </c>
      <c r="F35" s="46" t="n">
        <f aca="false">C35+D35+E35</f>
        <v>367200</v>
      </c>
      <c r="G35" s="46" t="n">
        <f aca="false">F35*B35</f>
        <v>0</v>
      </c>
    </row>
    <row r="36" customFormat="false" ht="15" hidden="false" customHeight="false" outlineLevel="0" collapsed="false">
      <c r="A36" s="17" t="str">
        <f aca="false">Inputs!A186</f>
        <v>P4 Scale (sustaining)</v>
      </c>
      <c r="B36" s="49" t="n">
        <f aca="false">Inputs!$F$183*Inputs!$F$184*Inputs!$F$185*Inputs!$F$186</f>
        <v>0</v>
      </c>
      <c r="C36" s="46" t="n">
        <f aca="false">(Inputs!$B$186*Inputs!$H$189+Inputs!$C$186*Inputs!$H$190)*Inputs!$H$188</f>
        <v>160000</v>
      </c>
      <c r="D36" s="46" t="n">
        <f aca="false">INDEX(Inputs!$G$186:$I$186,Scenarios!$B$4)</f>
        <v>53000</v>
      </c>
      <c r="E36" s="46" t="n">
        <f aca="false">(C36+D36)*INDEX(Inputs!$J$186:$L$186,Scenarios!$B$4)</f>
        <v>42600</v>
      </c>
      <c r="F36" s="46" t="n">
        <f aca="false">C36+D36+E36</f>
        <v>255600</v>
      </c>
      <c r="G36" s="46" t="n">
        <f aca="false">F36*B36</f>
        <v>0</v>
      </c>
    </row>
    <row r="37" customFormat="false" ht="15" hidden="false" customHeight="false" outlineLevel="0" collapsed="false">
      <c r="A37" s="3" t="s">
        <v>838</v>
      </c>
      <c r="F37" s="8" t="n">
        <f aca="false">SUM(F32:F36)</f>
        <v>1101175</v>
      </c>
      <c r="G37" s="8" t="n">
        <f aca="false">SUM(G32:G36)</f>
        <v>34615</v>
      </c>
    </row>
    <row r="40" customFormat="false" ht="15" hidden="false" customHeight="false" outlineLevel="0" collapsed="false">
      <c r="A40" s="17" t="str">
        <f aca="false">Inputs!A182</f>
        <v>P0 Concept validation</v>
      </c>
      <c r="B40" s="17" t="s">
        <v>61</v>
      </c>
      <c r="C40" s="43" t="n">
        <f aca="false">(Inputs!B182+Inputs!C182)*Inputs!$H$188</f>
        <v>26</v>
      </c>
      <c r="D40" s="46" t="n">
        <f aca="false">IF(AND(D$5&gt;=Inputs!$D$182,D$5&lt;Inputs!$D$182+Inputs!$E$182),$G$32/Inputs!$E$182,0)</f>
        <v>0</v>
      </c>
      <c r="E40" s="46" t="n">
        <f aca="false">IF(AND(E$5&gt;=Inputs!$D$182,E$5&lt;Inputs!$D$182+Inputs!$E$182),$G$32/Inputs!$E$182,0)</f>
        <v>0</v>
      </c>
      <c r="F40" s="46" t="n">
        <f aca="false">IF(AND(F$5&gt;=Inputs!$D$182,F$5&lt;Inputs!$D$182+Inputs!$E$182),$G$32/Inputs!$E$182,0)</f>
        <v>0</v>
      </c>
      <c r="G40" s="46" t="n">
        <f aca="false">IF(AND(G$5&gt;=Inputs!$D$182,G$5&lt;Inputs!$D$182+Inputs!$E$182),$G$32/Inputs!$E$182,0)</f>
        <v>0</v>
      </c>
      <c r="H40" s="46" t="n">
        <f aca="false">IF(AND(H$5&gt;=Inputs!$D$182,H$5&lt;Inputs!$D$182+Inputs!$E$182),$G$32/Inputs!$E$182,0)</f>
        <v>0</v>
      </c>
      <c r="I40" s="46" t="n">
        <f aca="false">IF(AND(I$5&gt;=Inputs!$D$182,I$5&lt;Inputs!$D$182+Inputs!$E$182),$G$32/Inputs!$E$182,0)</f>
        <v>0</v>
      </c>
      <c r="J40" s="46" t="n">
        <f aca="false">IF(AND(J$5&gt;=Inputs!$D$182,J$5&lt;Inputs!$D$182+Inputs!$E$182),$G$32/Inputs!$E$182,0)</f>
        <v>11538.3333333333</v>
      </c>
      <c r="K40" s="46" t="n">
        <f aca="false">IF(AND(K$5&gt;=Inputs!$D$182,K$5&lt;Inputs!$D$182+Inputs!$E$182),$G$32/Inputs!$E$182,0)</f>
        <v>11538.3333333333</v>
      </c>
      <c r="L40" s="46" t="n">
        <f aca="false">IF(AND(L$5&gt;=Inputs!$D$182,L$5&lt;Inputs!$D$182+Inputs!$E$182),$G$32/Inputs!$E$182,0)</f>
        <v>11538.3333333333</v>
      </c>
      <c r="M40" s="46" t="n">
        <f aca="false">IF(AND(M$5&gt;=Inputs!$D$182,M$5&lt;Inputs!$D$182+Inputs!$E$182),$G$32/Inputs!$E$182,0)</f>
        <v>0</v>
      </c>
      <c r="N40" s="46" t="n">
        <f aca="false">IF(AND(N$5&gt;=Inputs!$D$182,N$5&lt;Inputs!$D$182+Inputs!$E$182),$G$32/Inputs!$E$182,0)</f>
        <v>0</v>
      </c>
      <c r="O40" s="46" t="n">
        <f aca="false">IF(AND(O$5&gt;=Inputs!$D$182,O$5&lt;Inputs!$D$182+Inputs!$E$182),$G$32/Inputs!$E$182,0)</f>
        <v>0</v>
      </c>
      <c r="P40" s="46" t="n">
        <f aca="false">IF(AND(P$5&gt;=Inputs!$D$182,P$5&lt;Inputs!$D$182+Inputs!$E$182),$G$32/Inputs!$E$182,0)</f>
        <v>0</v>
      </c>
      <c r="Q40" s="46" t="n">
        <f aca="false">IF(AND(Q$5&gt;=Inputs!$D$182,Q$5&lt;Inputs!$D$182+Inputs!$E$182),$G$32/Inputs!$E$182,0)</f>
        <v>0</v>
      </c>
      <c r="R40" s="46" t="n">
        <f aca="false">IF(AND(R$5&gt;=Inputs!$D$182,R$5&lt;Inputs!$D$182+Inputs!$E$182),$G$32/Inputs!$E$182,0)</f>
        <v>0</v>
      </c>
      <c r="S40" s="46" t="n">
        <f aca="false">IF(AND(S$5&gt;=Inputs!$D$182,S$5&lt;Inputs!$D$182+Inputs!$E$182),$G$32/Inputs!$E$182,0)</f>
        <v>0</v>
      </c>
      <c r="T40" s="46" t="n">
        <f aca="false">IF(AND(T$5&gt;=Inputs!$D$182,T$5&lt;Inputs!$D$182+Inputs!$E$182),$G$32/Inputs!$E$182,0)</f>
        <v>0</v>
      </c>
      <c r="U40" s="46" t="n">
        <f aca="false">IF(AND(U$5&gt;=Inputs!$D$182,U$5&lt;Inputs!$D$182+Inputs!$E$182),$G$32/Inputs!$E$182,0)</f>
        <v>0</v>
      </c>
      <c r="V40" s="46" t="n">
        <f aca="false">IF(AND(V$5&gt;=Inputs!$D$182,V$5&lt;Inputs!$D$182+Inputs!$E$182),$G$32/Inputs!$E$182,0)</f>
        <v>0</v>
      </c>
      <c r="W40" s="46" t="n">
        <f aca="false">IF(AND(W$5&gt;=Inputs!$D$182,W$5&lt;Inputs!$D$182+Inputs!$E$182),$G$32/Inputs!$E$182,0)</f>
        <v>0</v>
      </c>
      <c r="X40" s="46" t="n">
        <f aca="false">IF(AND(X$5&gt;=Inputs!$D$182,X$5&lt;Inputs!$D$182+Inputs!$E$182),$G$32/Inputs!$E$182,0)</f>
        <v>0</v>
      </c>
      <c r="Y40" s="46" t="n">
        <f aca="false">IF(AND(Y$5&gt;=Inputs!$D$182,Y$5&lt;Inputs!$D$182+Inputs!$E$182),$G$32/Inputs!$E$182,0)</f>
        <v>0</v>
      </c>
      <c r="Z40" s="46" t="n">
        <f aca="false">IF(AND(Z$5&gt;=Inputs!$D$182,Z$5&lt;Inputs!$D$182+Inputs!$E$182),$G$32/Inputs!$E$182,0)</f>
        <v>0</v>
      </c>
      <c r="AA40" s="46" t="n">
        <f aca="false">IF(AND(AA$5&gt;=Inputs!$D$182,AA$5&lt;Inputs!$D$182+Inputs!$E$182),$G$32/Inputs!$E$182,0)</f>
        <v>0</v>
      </c>
      <c r="AB40" s="46" t="n">
        <f aca="false">IF(AND(AB$5&gt;=Inputs!$D$182,AB$5&lt;Inputs!$D$182+Inputs!$E$182),$G$32/Inputs!$E$182,0)</f>
        <v>0</v>
      </c>
      <c r="AC40" s="46" t="n">
        <f aca="false">IF(AND(AC$5&gt;=Inputs!$D$182,AC$5&lt;Inputs!$D$182+Inputs!$E$182),$G$32/Inputs!$E$182,0)</f>
        <v>0</v>
      </c>
      <c r="AD40" s="46" t="n">
        <f aca="false">IF(AND(AD$5&gt;=Inputs!$D$182,AD$5&lt;Inputs!$D$182+Inputs!$E$182),$G$32/Inputs!$E$182,0)</f>
        <v>0</v>
      </c>
      <c r="AE40" s="46" t="n">
        <f aca="false">IF(AND(AE$5&gt;=Inputs!$D$182,AE$5&lt;Inputs!$D$182+Inputs!$E$182),$G$32/Inputs!$E$182,0)</f>
        <v>0</v>
      </c>
      <c r="AF40" s="46" t="n">
        <f aca="false">IF(AND(AF$5&gt;=Inputs!$D$182,AF$5&lt;Inputs!$D$182+Inputs!$E$182),$G$32/Inputs!$E$182,0)</f>
        <v>0</v>
      </c>
      <c r="AG40" s="46" t="n">
        <f aca="false">IF(AND(AG$5&gt;=Inputs!$D$182,AG$5&lt;Inputs!$D$182+Inputs!$E$182),$G$32/Inputs!$E$182,0)</f>
        <v>0</v>
      </c>
      <c r="AH40" s="46" t="n">
        <f aca="false">IF(AND(AH$5&gt;=Inputs!$D$182,AH$5&lt;Inputs!$D$182+Inputs!$E$182),$G$32/Inputs!$E$182,0)</f>
        <v>0</v>
      </c>
      <c r="AI40" s="46" t="n">
        <f aca="false">IF(AND(AI$5&gt;=Inputs!$D$182,AI$5&lt;Inputs!$D$182+Inputs!$E$182),$G$32/Inputs!$E$182,0)</f>
        <v>0</v>
      </c>
      <c r="AJ40" s="46" t="n">
        <f aca="false">IF(AND(AJ$5&gt;=Inputs!$D$182,AJ$5&lt;Inputs!$D$182+Inputs!$E$182),$G$32/Inputs!$E$182,0)</f>
        <v>0</v>
      </c>
      <c r="AK40" s="46" t="n">
        <f aca="false">IF(AND(AK$5&gt;=Inputs!$D$182,AK$5&lt;Inputs!$D$182+Inputs!$E$182),$G$32/Inputs!$E$182,0)</f>
        <v>0</v>
      </c>
      <c r="AL40" s="46" t="n">
        <f aca="false">IF(AND(AL$5&gt;=Inputs!$D$182,AL$5&lt;Inputs!$D$182+Inputs!$E$182),$G$32/Inputs!$E$182,0)</f>
        <v>0</v>
      </c>
      <c r="AM40" s="46" t="n">
        <f aca="false">IF(AND(AM$5&gt;=Inputs!$D$182,AM$5&lt;Inputs!$D$182+Inputs!$E$182),$G$32/Inputs!$E$182,0)</f>
        <v>0</v>
      </c>
      <c r="AN40" s="46" t="n">
        <f aca="false">SUM(D40:AM40)</f>
        <v>34615</v>
      </c>
      <c r="AO40" s="46" t="n">
        <f aca="false">SUM(D40:O40)</f>
        <v>34615</v>
      </c>
      <c r="AP40" s="46" t="n">
        <f aca="false">SUM(P40:AA40)</f>
        <v>0</v>
      </c>
      <c r="AQ40" s="46" t="n">
        <f aca="false">SUM(AB40:AM40)</f>
        <v>0</v>
      </c>
    </row>
    <row r="41" customFormat="false" ht="15" hidden="false" customHeight="false" outlineLevel="0" collapsed="false">
      <c r="A41" s="17" t="str">
        <f aca="false">Inputs!A183</f>
        <v>P1 Pilot prototype</v>
      </c>
      <c r="B41" s="17" t="s">
        <v>61</v>
      </c>
      <c r="C41" s="43" t="n">
        <f aca="false">(Inputs!B183+Inputs!C183)*Inputs!$H$188</f>
        <v>187</v>
      </c>
      <c r="D41" s="46" t="n">
        <f aca="false">IF(AND(D$5&gt;=Inputs!$D$183,D$5&lt;Inputs!$D$183+Inputs!$E$183),$G$33/Inputs!$E$183,0)</f>
        <v>0</v>
      </c>
      <c r="E41" s="46" t="n">
        <f aca="false">IF(AND(E$5&gt;=Inputs!$D$183,E$5&lt;Inputs!$D$183+Inputs!$E$183),$G$33/Inputs!$E$183,0)</f>
        <v>0</v>
      </c>
      <c r="F41" s="46" t="n">
        <f aca="false">IF(AND(F$5&gt;=Inputs!$D$183,F$5&lt;Inputs!$D$183+Inputs!$E$183),$G$33/Inputs!$E$183,0)</f>
        <v>0</v>
      </c>
      <c r="G41" s="46" t="n">
        <f aca="false">IF(AND(G$5&gt;=Inputs!$D$183,G$5&lt;Inputs!$D$183+Inputs!$E$183),$G$33/Inputs!$E$183,0)</f>
        <v>0</v>
      </c>
      <c r="H41" s="46" t="n">
        <f aca="false">IF(AND(H$5&gt;=Inputs!$D$183,H$5&lt;Inputs!$D$183+Inputs!$E$183),$G$33/Inputs!$E$183,0)</f>
        <v>0</v>
      </c>
      <c r="I41" s="46" t="n">
        <f aca="false">IF(AND(I$5&gt;=Inputs!$D$183,I$5&lt;Inputs!$D$183+Inputs!$E$183),$G$33/Inputs!$E$183,0)</f>
        <v>0</v>
      </c>
      <c r="J41" s="46" t="n">
        <f aca="false">IF(AND(J$5&gt;=Inputs!$D$183,J$5&lt;Inputs!$D$183+Inputs!$E$183),$G$33/Inputs!$E$183,0)</f>
        <v>0</v>
      </c>
      <c r="K41" s="46" t="n">
        <f aca="false">IF(AND(K$5&gt;=Inputs!$D$183,K$5&lt;Inputs!$D$183+Inputs!$E$183),$G$33/Inputs!$E$183,0)</f>
        <v>0</v>
      </c>
      <c r="L41" s="46" t="n">
        <f aca="false">IF(AND(L$5&gt;=Inputs!$D$183,L$5&lt;Inputs!$D$183+Inputs!$E$183),$G$33/Inputs!$E$183,0)</f>
        <v>0</v>
      </c>
      <c r="M41" s="46" t="n">
        <f aca="false">IF(AND(M$5&gt;=Inputs!$D$183,M$5&lt;Inputs!$D$183+Inputs!$E$183),$G$33/Inputs!$E$183,0)</f>
        <v>0</v>
      </c>
      <c r="N41" s="46" t="n">
        <f aca="false">IF(AND(N$5&gt;=Inputs!$D$183,N$5&lt;Inputs!$D$183+Inputs!$E$183),$G$33/Inputs!$E$183,0)</f>
        <v>0</v>
      </c>
      <c r="O41" s="46" t="n">
        <f aca="false">IF(AND(O$5&gt;=Inputs!$D$183,O$5&lt;Inputs!$D$183+Inputs!$E$183),$G$33/Inputs!$E$183,0)</f>
        <v>0</v>
      </c>
      <c r="P41" s="46" t="n">
        <f aca="false">IF(AND(P$5&gt;=Inputs!$D$183,P$5&lt;Inputs!$D$183+Inputs!$E$183),$G$33/Inputs!$E$183,0)</f>
        <v>0</v>
      </c>
      <c r="Q41" s="46" t="n">
        <f aca="false">IF(AND(Q$5&gt;=Inputs!$D$183,Q$5&lt;Inputs!$D$183+Inputs!$E$183),$G$33/Inputs!$E$183,0)</f>
        <v>0</v>
      </c>
      <c r="R41" s="46" t="n">
        <f aca="false">IF(AND(R$5&gt;=Inputs!$D$183,R$5&lt;Inputs!$D$183+Inputs!$E$183),$G$33/Inputs!$E$183,0)</f>
        <v>0</v>
      </c>
      <c r="S41" s="46" t="n">
        <f aca="false">IF(AND(S$5&gt;=Inputs!$D$183,S$5&lt;Inputs!$D$183+Inputs!$E$183),$G$33/Inputs!$E$183,0)</f>
        <v>0</v>
      </c>
      <c r="T41" s="46" t="n">
        <f aca="false">IF(AND(T$5&gt;=Inputs!$D$183,T$5&lt;Inputs!$D$183+Inputs!$E$183),$G$33/Inputs!$E$183,0)</f>
        <v>0</v>
      </c>
      <c r="U41" s="46" t="n">
        <f aca="false">IF(AND(U$5&gt;=Inputs!$D$183,U$5&lt;Inputs!$D$183+Inputs!$E$183),$G$33/Inputs!$E$183,0)</f>
        <v>0</v>
      </c>
      <c r="V41" s="46" t="n">
        <f aca="false">IF(AND(V$5&gt;=Inputs!$D$183,V$5&lt;Inputs!$D$183+Inputs!$E$183),$G$33/Inputs!$E$183,0)</f>
        <v>0</v>
      </c>
      <c r="W41" s="46" t="n">
        <f aca="false">IF(AND(W$5&gt;=Inputs!$D$183,W$5&lt;Inputs!$D$183+Inputs!$E$183),$G$33/Inputs!$E$183,0)</f>
        <v>0</v>
      </c>
      <c r="X41" s="46" t="n">
        <f aca="false">IF(AND(X$5&gt;=Inputs!$D$183,X$5&lt;Inputs!$D$183+Inputs!$E$183),$G$33/Inputs!$E$183,0)</f>
        <v>0</v>
      </c>
      <c r="Y41" s="46" t="n">
        <f aca="false">IF(AND(Y$5&gt;=Inputs!$D$183,Y$5&lt;Inputs!$D$183+Inputs!$E$183),$G$33/Inputs!$E$183,0)</f>
        <v>0</v>
      </c>
      <c r="Z41" s="46" t="n">
        <f aca="false">IF(AND(Z$5&gt;=Inputs!$D$183,Z$5&lt;Inputs!$D$183+Inputs!$E$183),$G$33/Inputs!$E$183,0)</f>
        <v>0</v>
      </c>
      <c r="AA41" s="46" t="n">
        <f aca="false">IF(AND(AA$5&gt;=Inputs!$D$183,AA$5&lt;Inputs!$D$183+Inputs!$E$183),$G$33/Inputs!$E$183,0)</f>
        <v>0</v>
      </c>
      <c r="AB41" s="46" t="n">
        <f aca="false">IF(AND(AB$5&gt;=Inputs!$D$183,AB$5&lt;Inputs!$D$183+Inputs!$E$183),$G$33/Inputs!$E$183,0)</f>
        <v>0</v>
      </c>
      <c r="AC41" s="46" t="n">
        <f aca="false">IF(AND(AC$5&gt;=Inputs!$D$183,AC$5&lt;Inputs!$D$183+Inputs!$E$183),$G$33/Inputs!$E$183,0)</f>
        <v>0</v>
      </c>
      <c r="AD41" s="46" t="n">
        <f aca="false">IF(AND(AD$5&gt;=Inputs!$D$183,AD$5&lt;Inputs!$D$183+Inputs!$E$183),$G$33/Inputs!$E$183,0)</f>
        <v>0</v>
      </c>
      <c r="AE41" s="46" t="n">
        <f aca="false">IF(AND(AE$5&gt;=Inputs!$D$183,AE$5&lt;Inputs!$D$183+Inputs!$E$183),$G$33/Inputs!$E$183,0)</f>
        <v>0</v>
      </c>
      <c r="AF41" s="46" t="n">
        <f aca="false">IF(AND(AF$5&gt;=Inputs!$D$183,AF$5&lt;Inputs!$D$183+Inputs!$E$183),$G$33/Inputs!$E$183,0)</f>
        <v>0</v>
      </c>
      <c r="AG41" s="46" t="n">
        <f aca="false">IF(AND(AG$5&gt;=Inputs!$D$183,AG$5&lt;Inputs!$D$183+Inputs!$E$183),$G$33/Inputs!$E$183,0)</f>
        <v>0</v>
      </c>
      <c r="AH41" s="46" t="n">
        <f aca="false">IF(AND(AH$5&gt;=Inputs!$D$183,AH$5&lt;Inputs!$D$183+Inputs!$E$183),$G$33/Inputs!$E$183,0)</f>
        <v>0</v>
      </c>
      <c r="AI41" s="46" t="n">
        <f aca="false">IF(AND(AI$5&gt;=Inputs!$D$183,AI$5&lt;Inputs!$D$183+Inputs!$E$183),$G$33/Inputs!$E$183,0)</f>
        <v>0</v>
      </c>
      <c r="AJ41" s="46" t="n">
        <f aca="false">IF(AND(AJ$5&gt;=Inputs!$D$183,AJ$5&lt;Inputs!$D$183+Inputs!$E$183),$G$33/Inputs!$E$183,0)</f>
        <v>0</v>
      </c>
      <c r="AK41" s="46" t="n">
        <f aca="false">IF(AND(AK$5&gt;=Inputs!$D$183,AK$5&lt;Inputs!$D$183+Inputs!$E$183),$G$33/Inputs!$E$183,0)</f>
        <v>0</v>
      </c>
      <c r="AL41" s="46" t="n">
        <f aca="false">IF(AND(AL$5&gt;=Inputs!$D$183,AL$5&lt;Inputs!$D$183+Inputs!$E$183),$G$33/Inputs!$E$183,0)</f>
        <v>0</v>
      </c>
      <c r="AM41" s="46" t="n">
        <f aca="false">IF(AND(AM$5&gt;=Inputs!$D$183,AM$5&lt;Inputs!$D$183+Inputs!$E$183),$G$33/Inputs!$E$183,0)</f>
        <v>0</v>
      </c>
      <c r="AN41" s="46" t="n">
        <f aca="false">SUM(D41:AM41)</f>
        <v>0</v>
      </c>
      <c r="AO41" s="46" t="n">
        <f aca="false">SUM(D41:O41)</f>
        <v>0</v>
      </c>
      <c r="AP41" s="46" t="n">
        <f aca="false">SUM(P41:AA41)</f>
        <v>0</v>
      </c>
      <c r="AQ41" s="46" t="n">
        <f aca="false">SUM(AB41:AM41)</f>
        <v>0</v>
      </c>
    </row>
    <row r="42" customFormat="false" ht="15" hidden="false" customHeight="false" outlineLevel="0" collapsed="false">
      <c r="A42" s="17" t="str">
        <f aca="false">Inputs!A184</f>
        <v>P2 Field pilot (1-3 sites)</v>
      </c>
      <c r="B42" s="17" t="s">
        <v>61</v>
      </c>
      <c r="C42" s="43" t="n">
        <f aca="false">(Inputs!B184+Inputs!C184)*Inputs!$H$188</f>
        <v>113</v>
      </c>
      <c r="D42" s="46" t="n">
        <f aca="false">IF(AND(D$5&gt;=Inputs!$D$184,D$5&lt;Inputs!$D$184+Inputs!$E$184),$G$34/Inputs!$E$184,0)</f>
        <v>0</v>
      </c>
      <c r="E42" s="46" t="n">
        <f aca="false">IF(AND(E$5&gt;=Inputs!$D$184,E$5&lt;Inputs!$D$184+Inputs!$E$184),$G$34/Inputs!$E$184,0)</f>
        <v>0</v>
      </c>
      <c r="F42" s="46" t="n">
        <f aca="false">IF(AND(F$5&gt;=Inputs!$D$184,F$5&lt;Inputs!$D$184+Inputs!$E$184),$G$34/Inputs!$E$184,0)</f>
        <v>0</v>
      </c>
      <c r="G42" s="46" t="n">
        <f aca="false">IF(AND(G$5&gt;=Inputs!$D$184,G$5&lt;Inputs!$D$184+Inputs!$E$184),$G$34/Inputs!$E$184,0)</f>
        <v>0</v>
      </c>
      <c r="H42" s="46" t="n">
        <f aca="false">IF(AND(H$5&gt;=Inputs!$D$184,H$5&lt;Inputs!$D$184+Inputs!$E$184),$G$34/Inputs!$E$184,0)</f>
        <v>0</v>
      </c>
      <c r="I42" s="46" t="n">
        <f aca="false">IF(AND(I$5&gt;=Inputs!$D$184,I$5&lt;Inputs!$D$184+Inputs!$E$184),$G$34/Inputs!$E$184,0)</f>
        <v>0</v>
      </c>
      <c r="J42" s="46" t="n">
        <f aca="false">IF(AND(J$5&gt;=Inputs!$D$184,J$5&lt;Inputs!$D$184+Inputs!$E$184),$G$34/Inputs!$E$184,0)</f>
        <v>0</v>
      </c>
      <c r="K42" s="46" t="n">
        <f aca="false">IF(AND(K$5&gt;=Inputs!$D$184,K$5&lt;Inputs!$D$184+Inputs!$E$184),$G$34/Inputs!$E$184,0)</f>
        <v>0</v>
      </c>
      <c r="L42" s="46" t="n">
        <f aca="false">IF(AND(L$5&gt;=Inputs!$D$184,L$5&lt;Inputs!$D$184+Inputs!$E$184),$G$34/Inputs!$E$184,0)</f>
        <v>0</v>
      </c>
      <c r="M42" s="46" t="n">
        <f aca="false">IF(AND(M$5&gt;=Inputs!$D$184,M$5&lt;Inputs!$D$184+Inputs!$E$184),$G$34/Inputs!$E$184,0)</f>
        <v>0</v>
      </c>
      <c r="N42" s="46" t="n">
        <f aca="false">IF(AND(N$5&gt;=Inputs!$D$184,N$5&lt;Inputs!$D$184+Inputs!$E$184),$G$34/Inputs!$E$184,0)</f>
        <v>0</v>
      </c>
      <c r="O42" s="46" t="n">
        <f aca="false">IF(AND(O$5&gt;=Inputs!$D$184,O$5&lt;Inputs!$D$184+Inputs!$E$184),$G$34/Inputs!$E$184,0)</f>
        <v>0</v>
      </c>
      <c r="P42" s="46" t="n">
        <f aca="false">IF(AND(P$5&gt;=Inputs!$D$184,P$5&lt;Inputs!$D$184+Inputs!$E$184),$G$34/Inputs!$E$184,0)</f>
        <v>0</v>
      </c>
      <c r="Q42" s="46" t="n">
        <f aca="false">IF(AND(Q$5&gt;=Inputs!$D$184,Q$5&lt;Inputs!$D$184+Inputs!$E$184),$G$34/Inputs!$E$184,0)</f>
        <v>0</v>
      </c>
      <c r="R42" s="46" t="n">
        <f aca="false">IF(AND(R$5&gt;=Inputs!$D$184,R$5&lt;Inputs!$D$184+Inputs!$E$184),$G$34/Inputs!$E$184,0)</f>
        <v>0</v>
      </c>
      <c r="S42" s="46" t="n">
        <f aca="false">IF(AND(S$5&gt;=Inputs!$D$184,S$5&lt;Inputs!$D$184+Inputs!$E$184),$G$34/Inputs!$E$184,0)</f>
        <v>0</v>
      </c>
      <c r="T42" s="46" t="n">
        <f aca="false">IF(AND(T$5&gt;=Inputs!$D$184,T$5&lt;Inputs!$D$184+Inputs!$E$184),$G$34/Inputs!$E$184,0)</f>
        <v>0</v>
      </c>
      <c r="U42" s="46" t="n">
        <f aca="false">IF(AND(U$5&gt;=Inputs!$D$184,U$5&lt;Inputs!$D$184+Inputs!$E$184),$G$34/Inputs!$E$184,0)</f>
        <v>0</v>
      </c>
      <c r="V42" s="46" t="n">
        <f aca="false">IF(AND(V$5&gt;=Inputs!$D$184,V$5&lt;Inputs!$D$184+Inputs!$E$184),$G$34/Inputs!$E$184,0)</f>
        <v>0</v>
      </c>
      <c r="W42" s="46" t="n">
        <f aca="false">IF(AND(W$5&gt;=Inputs!$D$184,W$5&lt;Inputs!$D$184+Inputs!$E$184),$G$34/Inputs!$E$184,0)</f>
        <v>0</v>
      </c>
      <c r="X42" s="46" t="n">
        <f aca="false">IF(AND(X$5&gt;=Inputs!$D$184,X$5&lt;Inputs!$D$184+Inputs!$E$184),$G$34/Inputs!$E$184,0)</f>
        <v>0</v>
      </c>
      <c r="Y42" s="46" t="n">
        <f aca="false">IF(AND(Y$5&gt;=Inputs!$D$184,Y$5&lt;Inputs!$D$184+Inputs!$E$184),$G$34/Inputs!$E$184,0)</f>
        <v>0</v>
      </c>
      <c r="Z42" s="46" t="n">
        <f aca="false">IF(AND(Z$5&gt;=Inputs!$D$184,Z$5&lt;Inputs!$D$184+Inputs!$E$184),$G$34/Inputs!$E$184,0)</f>
        <v>0</v>
      </c>
      <c r="AA42" s="46" t="n">
        <f aca="false">IF(AND(AA$5&gt;=Inputs!$D$184,AA$5&lt;Inputs!$D$184+Inputs!$E$184),$G$34/Inputs!$E$184,0)</f>
        <v>0</v>
      </c>
      <c r="AB42" s="46" t="n">
        <f aca="false">IF(AND(AB$5&gt;=Inputs!$D$184,AB$5&lt;Inputs!$D$184+Inputs!$E$184),$G$34/Inputs!$E$184,0)</f>
        <v>0</v>
      </c>
      <c r="AC42" s="46" t="n">
        <f aca="false">IF(AND(AC$5&gt;=Inputs!$D$184,AC$5&lt;Inputs!$D$184+Inputs!$E$184),$G$34/Inputs!$E$184,0)</f>
        <v>0</v>
      </c>
      <c r="AD42" s="46" t="n">
        <f aca="false">IF(AND(AD$5&gt;=Inputs!$D$184,AD$5&lt;Inputs!$D$184+Inputs!$E$184),$G$34/Inputs!$E$184,0)</f>
        <v>0</v>
      </c>
      <c r="AE42" s="46" t="n">
        <f aca="false">IF(AND(AE$5&gt;=Inputs!$D$184,AE$5&lt;Inputs!$D$184+Inputs!$E$184),$G$34/Inputs!$E$184,0)</f>
        <v>0</v>
      </c>
      <c r="AF42" s="46" t="n">
        <f aca="false">IF(AND(AF$5&gt;=Inputs!$D$184,AF$5&lt;Inputs!$D$184+Inputs!$E$184),$G$34/Inputs!$E$184,0)</f>
        <v>0</v>
      </c>
      <c r="AG42" s="46" t="n">
        <f aca="false">IF(AND(AG$5&gt;=Inputs!$D$184,AG$5&lt;Inputs!$D$184+Inputs!$E$184),$G$34/Inputs!$E$184,0)</f>
        <v>0</v>
      </c>
      <c r="AH42" s="46" t="n">
        <f aca="false">IF(AND(AH$5&gt;=Inputs!$D$184,AH$5&lt;Inputs!$D$184+Inputs!$E$184),$G$34/Inputs!$E$184,0)</f>
        <v>0</v>
      </c>
      <c r="AI42" s="46" t="n">
        <f aca="false">IF(AND(AI$5&gt;=Inputs!$D$184,AI$5&lt;Inputs!$D$184+Inputs!$E$184),$G$34/Inputs!$E$184,0)</f>
        <v>0</v>
      </c>
      <c r="AJ42" s="46" t="n">
        <f aca="false">IF(AND(AJ$5&gt;=Inputs!$D$184,AJ$5&lt;Inputs!$D$184+Inputs!$E$184),$G$34/Inputs!$E$184,0)</f>
        <v>0</v>
      </c>
      <c r="AK42" s="46" t="n">
        <f aca="false">IF(AND(AK$5&gt;=Inputs!$D$184,AK$5&lt;Inputs!$D$184+Inputs!$E$184),$G$34/Inputs!$E$184,0)</f>
        <v>0</v>
      </c>
      <c r="AL42" s="46" t="n">
        <f aca="false">IF(AND(AL$5&gt;=Inputs!$D$184,AL$5&lt;Inputs!$D$184+Inputs!$E$184),$G$34/Inputs!$E$184,0)</f>
        <v>0</v>
      </c>
      <c r="AM42" s="46" t="n">
        <f aca="false">IF(AND(AM$5&gt;=Inputs!$D$184,AM$5&lt;Inputs!$D$184+Inputs!$E$184),$G$34/Inputs!$E$184,0)</f>
        <v>0</v>
      </c>
      <c r="AN42" s="46" t="n">
        <f aca="false">SUM(D42:AM42)</f>
        <v>0</v>
      </c>
      <c r="AO42" s="46" t="n">
        <f aca="false">SUM(D42:O42)</f>
        <v>0</v>
      </c>
      <c r="AP42" s="46" t="n">
        <f aca="false">SUM(P42:AA42)</f>
        <v>0</v>
      </c>
      <c r="AQ42" s="46" t="n">
        <f aca="false">SUM(AB42:AM42)</f>
        <v>0</v>
      </c>
    </row>
    <row r="43" customFormat="false" ht="15" hidden="false" customHeight="false" outlineLevel="0" collapsed="false">
      <c r="A43" s="17" t="str">
        <f aca="false">Inputs!A185</f>
        <v>P3 Productized small batch</v>
      </c>
      <c r="B43" s="17" t="s">
        <v>61</v>
      </c>
      <c r="C43" s="43" t="n">
        <f aca="false">(Inputs!B185+Inputs!C185)*Inputs!$H$188</f>
        <v>200</v>
      </c>
      <c r="D43" s="46" t="n">
        <f aca="false">IF(AND(D$5&gt;=Inputs!$D$185,D$5&lt;Inputs!$D$185+Inputs!$E$185),$G$35/Inputs!$E$185,0)</f>
        <v>0</v>
      </c>
      <c r="E43" s="46" t="n">
        <f aca="false">IF(AND(E$5&gt;=Inputs!$D$185,E$5&lt;Inputs!$D$185+Inputs!$E$185),$G$35/Inputs!$E$185,0)</f>
        <v>0</v>
      </c>
      <c r="F43" s="46" t="n">
        <f aca="false">IF(AND(F$5&gt;=Inputs!$D$185,F$5&lt;Inputs!$D$185+Inputs!$E$185),$G$35/Inputs!$E$185,0)</f>
        <v>0</v>
      </c>
      <c r="G43" s="46" t="n">
        <f aca="false">IF(AND(G$5&gt;=Inputs!$D$185,G$5&lt;Inputs!$D$185+Inputs!$E$185),$G$35/Inputs!$E$185,0)</f>
        <v>0</v>
      </c>
      <c r="H43" s="46" t="n">
        <f aca="false">IF(AND(H$5&gt;=Inputs!$D$185,H$5&lt;Inputs!$D$185+Inputs!$E$185),$G$35/Inputs!$E$185,0)</f>
        <v>0</v>
      </c>
      <c r="I43" s="46" t="n">
        <f aca="false">IF(AND(I$5&gt;=Inputs!$D$185,I$5&lt;Inputs!$D$185+Inputs!$E$185),$G$35/Inputs!$E$185,0)</f>
        <v>0</v>
      </c>
      <c r="J43" s="46" t="n">
        <f aca="false">IF(AND(J$5&gt;=Inputs!$D$185,J$5&lt;Inputs!$D$185+Inputs!$E$185),$G$35/Inputs!$E$185,0)</f>
        <v>0</v>
      </c>
      <c r="K43" s="46" t="n">
        <f aca="false">IF(AND(K$5&gt;=Inputs!$D$185,K$5&lt;Inputs!$D$185+Inputs!$E$185),$G$35/Inputs!$E$185,0)</f>
        <v>0</v>
      </c>
      <c r="L43" s="46" t="n">
        <f aca="false">IF(AND(L$5&gt;=Inputs!$D$185,L$5&lt;Inputs!$D$185+Inputs!$E$185),$G$35/Inputs!$E$185,0)</f>
        <v>0</v>
      </c>
      <c r="M43" s="46" t="n">
        <f aca="false">IF(AND(M$5&gt;=Inputs!$D$185,M$5&lt;Inputs!$D$185+Inputs!$E$185),$G$35/Inputs!$E$185,0)</f>
        <v>0</v>
      </c>
      <c r="N43" s="46" t="n">
        <f aca="false">IF(AND(N$5&gt;=Inputs!$D$185,N$5&lt;Inputs!$D$185+Inputs!$E$185),$G$35/Inputs!$E$185,0)</f>
        <v>0</v>
      </c>
      <c r="O43" s="46" t="n">
        <f aca="false">IF(AND(O$5&gt;=Inputs!$D$185,O$5&lt;Inputs!$D$185+Inputs!$E$185),$G$35/Inputs!$E$185,0)</f>
        <v>0</v>
      </c>
      <c r="P43" s="46" t="n">
        <f aca="false">IF(AND(P$5&gt;=Inputs!$D$185,P$5&lt;Inputs!$D$185+Inputs!$E$185),$G$35/Inputs!$E$185,0)</f>
        <v>0</v>
      </c>
      <c r="Q43" s="46" t="n">
        <f aca="false">IF(AND(Q$5&gt;=Inputs!$D$185,Q$5&lt;Inputs!$D$185+Inputs!$E$185),$G$35/Inputs!$E$185,0)</f>
        <v>0</v>
      </c>
      <c r="R43" s="46" t="n">
        <f aca="false">IF(AND(R$5&gt;=Inputs!$D$185,R$5&lt;Inputs!$D$185+Inputs!$E$185),$G$35/Inputs!$E$185,0)</f>
        <v>0</v>
      </c>
      <c r="S43" s="46" t="n">
        <f aca="false">IF(AND(S$5&gt;=Inputs!$D$185,S$5&lt;Inputs!$D$185+Inputs!$E$185),$G$35/Inputs!$E$185,0)</f>
        <v>0</v>
      </c>
      <c r="T43" s="46" t="n">
        <f aca="false">IF(AND(T$5&gt;=Inputs!$D$185,T$5&lt;Inputs!$D$185+Inputs!$E$185),$G$35/Inputs!$E$185,0)</f>
        <v>0</v>
      </c>
      <c r="U43" s="46" t="n">
        <f aca="false">IF(AND(U$5&gt;=Inputs!$D$185,U$5&lt;Inputs!$D$185+Inputs!$E$185),$G$35/Inputs!$E$185,0)</f>
        <v>0</v>
      </c>
      <c r="V43" s="46" t="n">
        <f aca="false">IF(AND(V$5&gt;=Inputs!$D$185,V$5&lt;Inputs!$D$185+Inputs!$E$185),$G$35/Inputs!$E$185,0)</f>
        <v>0</v>
      </c>
      <c r="W43" s="46" t="n">
        <f aca="false">IF(AND(W$5&gt;=Inputs!$D$185,W$5&lt;Inputs!$D$185+Inputs!$E$185),$G$35/Inputs!$E$185,0)</f>
        <v>0</v>
      </c>
      <c r="X43" s="46" t="n">
        <f aca="false">IF(AND(X$5&gt;=Inputs!$D$185,X$5&lt;Inputs!$D$185+Inputs!$E$185),$G$35/Inputs!$E$185,0)</f>
        <v>0</v>
      </c>
      <c r="Y43" s="46" t="n">
        <f aca="false">IF(AND(Y$5&gt;=Inputs!$D$185,Y$5&lt;Inputs!$D$185+Inputs!$E$185),$G$35/Inputs!$E$185,0)</f>
        <v>0</v>
      </c>
      <c r="Z43" s="46" t="n">
        <f aca="false">IF(AND(Z$5&gt;=Inputs!$D$185,Z$5&lt;Inputs!$D$185+Inputs!$E$185),$G$35/Inputs!$E$185,0)</f>
        <v>0</v>
      </c>
      <c r="AA43" s="46" t="n">
        <f aca="false">IF(AND(AA$5&gt;=Inputs!$D$185,AA$5&lt;Inputs!$D$185+Inputs!$E$185),$G$35/Inputs!$E$185,0)</f>
        <v>0</v>
      </c>
      <c r="AB43" s="46" t="n">
        <f aca="false">IF(AND(AB$5&gt;=Inputs!$D$185,AB$5&lt;Inputs!$D$185+Inputs!$E$185),$G$35/Inputs!$E$185,0)</f>
        <v>0</v>
      </c>
      <c r="AC43" s="46" t="n">
        <f aca="false">IF(AND(AC$5&gt;=Inputs!$D$185,AC$5&lt;Inputs!$D$185+Inputs!$E$185),$G$35/Inputs!$E$185,0)</f>
        <v>0</v>
      </c>
      <c r="AD43" s="46" t="n">
        <f aca="false">IF(AND(AD$5&gt;=Inputs!$D$185,AD$5&lt;Inputs!$D$185+Inputs!$E$185),$G$35/Inputs!$E$185,0)</f>
        <v>0</v>
      </c>
      <c r="AE43" s="46" t="n">
        <f aca="false">IF(AND(AE$5&gt;=Inputs!$D$185,AE$5&lt;Inputs!$D$185+Inputs!$E$185),$G$35/Inputs!$E$185,0)</f>
        <v>0</v>
      </c>
      <c r="AF43" s="46" t="n">
        <f aca="false">IF(AND(AF$5&gt;=Inputs!$D$185,AF$5&lt;Inputs!$D$185+Inputs!$E$185),$G$35/Inputs!$E$185,0)</f>
        <v>0</v>
      </c>
      <c r="AG43" s="46" t="n">
        <f aca="false">IF(AND(AG$5&gt;=Inputs!$D$185,AG$5&lt;Inputs!$D$185+Inputs!$E$185),$G$35/Inputs!$E$185,0)</f>
        <v>0</v>
      </c>
      <c r="AH43" s="46" t="n">
        <f aca="false">IF(AND(AH$5&gt;=Inputs!$D$185,AH$5&lt;Inputs!$D$185+Inputs!$E$185),$G$35/Inputs!$E$185,0)</f>
        <v>0</v>
      </c>
      <c r="AI43" s="46" t="n">
        <f aca="false">IF(AND(AI$5&gt;=Inputs!$D$185,AI$5&lt;Inputs!$D$185+Inputs!$E$185),$G$35/Inputs!$E$185,0)</f>
        <v>0</v>
      </c>
      <c r="AJ43" s="46" t="n">
        <f aca="false">IF(AND(AJ$5&gt;=Inputs!$D$185,AJ$5&lt;Inputs!$D$185+Inputs!$E$185),$G$35/Inputs!$E$185,0)</f>
        <v>0</v>
      </c>
      <c r="AK43" s="46" t="n">
        <f aca="false">IF(AND(AK$5&gt;=Inputs!$D$185,AK$5&lt;Inputs!$D$185+Inputs!$E$185),$G$35/Inputs!$E$185,0)</f>
        <v>0</v>
      </c>
      <c r="AL43" s="46" t="n">
        <f aca="false">IF(AND(AL$5&gt;=Inputs!$D$185,AL$5&lt;Inputs!$D$185+Inputs!$E$185),$G$35/Inputs!$E$185,0)</f>
        <v>0</v>
      </c>
      <c r="AM43" s="46" t="n">
        <f aca="false">IF(AND(AM$5&gt;=Inputs!$D$185,AM$5&lt;Inputs!$D$185+Inputs!$E$185),$G$35/Inputs!$E$185,0)</f>
        <v>0</v>
      </c>
      <c r="AN43" s="46" t="n">
        <f aca="false">SUM(D43:AM43)</f>
        <v>0</v>
      </c>
      <c r="AO43" s="46" t="n">
        <f aca="false">SUM(D43:O43)</f>
        <v>0</v>
      </c>
      <c r="AP43" s="46" t="n">
        <f aca="false">SUM(P43:AA43)</f>
        <v>0</v>
      </c>
      <c r="AQ43" s="46" t="n">
        <f aca="false">SUM(AB43:AM43)</f>
        <v>0</v>
      </c>
    </row>
    <row r="44" customFormat="false" ht="15" hidden="false" customHeight="false" outlineLevel="0" collapsed="false">
      <c r="A44" s="17" t="str">
        <f aca="false">Inputs!A186</f>
        <v>P4 Scale (sustaining)</v>
      </c>
      <c r="B44" s="17" t="s">
        <v>61</v>
      </c>
      <c r="C44" s="43" t="n">
        <f aca="false">(Inputs!B186+Inputs!C186)*Inputs!$H$188</f>
        <v>160</v>
      </c>
      <c r="D44" s="46" t="n">
        <f aca="false">IF(AND(D$5&gt;=Inputs!$D$186,D$5&lt;Inputs!$D$186+Inputs!$E$186),$G$36/Inputs!$E$186,0)</f>
        <v>0</v>
      </c>
      <c r="E44" s="46" t="n">
        <f aca="false">IF(AND(E$5&gt;=Inputs!$D$186,E$5&lt;Inputs!$D$186+Inputs!$E$186),$G$36/Inputs!$E$186,0)</f>
        <v>0</v>
      </c>
      <c r="F44" s="46" t="n">
        <f aca="false">IF(AND(F$5&gt;=Inputs!$D$186,F$5&lt;Inputs!$D$186+Inputs!$E$186),$G$36/Inputs!$E$186,0)</f>
        <v>0</v>
      </c>
      <c r="G44" s="46" t="n">
        <f aca="false">IF(AND(G$5&gt;=Inputs!$D$186,G$5&lt;Inputs!$D$186+Inputs!$E$186),$G$36/Inputs!$E$186,0)</f>
        <v>0</v>
      </c>
      <c r="H44" s="46" t="n">
        <f aca="false">IF(AND(H$5&gt;=Inputs!$D$186,H$5&lt;Inputs!$D$186+Inputs!$E$186),$G$36/Inputs!$E$186,0)</f>
        <v>0</v>
      </c>
      <c r="I44" s="46" t="n">
        <f aca="false">IF(AND(I$5&gt;=Inputs!$D$186,I$5&lt;Inputs!$D$186+Inputs!$E$186),$G$36/Inputs!$E$186,0)</f>
        <v>0</v>
      </c>
      <c r="J44" s="46" t="n">
        <f aca="false">IF(AND(J$5&gt;=Inputs!$D$186,J$5&lt;Inputs!$D$186+Inputs!$E$186),$G$36/Inputs!$E$186,0)</f>
        <v>0</v>
      </c>
      <c r="K44" s="46" t="n">
        <f aca="false">IF(AND(K$5&gt;=Inputs!$D$186,K$5&lt;Inputs!$D$186+Inputs!$E$186),$G$36/Inputs!$E$186,0)</f>
        <v>0</v>
      </c>
      <c r="L44" s="46" t="n">
        <f aca="false">IF(AND(L$5&gt;=Inputs!$D$186,L$5&lt;Inputs!$D$186+Inputs!$E$186),$G$36/Inputs!$E$186,0)</f>
        <v>0</v>
      </c>
      <c r="M44" s="46" t="n">
        <f aca="false">IF(AND(M$5&gt;=Inputs!$D$186,M$5&lt;Inputs!$D$186+Inputs!$E$186),$G$36/Inputs!$E$186,0)</f>
        <v>0</v>
      </c>
      <c r="N44" s="46" t="n">
        <f aca="false">IF(AND(N$5&gt;=Inputs!$D$186,N$5&lt;Inputs!$D$186+Inputs!$E$186),$G$36/Inputs!$E$186,0)</f>
        <v>0</v>
      </c>
      <c r="O44" s="46" t="n">
        <f aca="false">IF(AND(O$5&gt;=Inputs!$D$186,O$5&lt;Inputs!$D$186+Inputs!$E$186),$G$36/Inputs!$E$186,0)</f>
        <v>0</v>
      </c>
      <c r="P44" s="46" t="n">
        <f aca="false">IF(AND(P$5&gt;=Inputs!$D$186,P$5&lt;Inputs!$D$186+Inputs!$E$186),$G$36/Inputs!$E$186,0)</f>
        <v>0</v>
      </c>
      <c r="Q44" s="46" t="n">
        <f aca="false">IF(AND(Q$5&gt;=Inputs!$D$186,Q$5&lt;Inputs!$D$186+Inputs!$E$186),$G$36/Inputs!$E$186,0)</f>
        <v>0</v>
      </c>
      <c r="R44" s="46" t="n">
        <f aca="false">IF(AND(R$5&gt;=Inputs!$D$186,R$5&lt;Inputs!$D$186+Inputs!$E$186),$G$36/Inputs!$E$186,0)</f>
        <v>0</v>
      </c>
      <c r="S44" s="46" t="n">
        <f aca="false">IF(AND(S$5&gt;=Inputs!$D$186,S$5&lt;Inputs!$D$186+Inputs!$E$186),$G$36/Inputs!$E$186,0)</f>
        <v>0</v>
      </c>
      <c r="T44" s="46" t="n">
        <f aca="false">IF(AND(T$5&gt;=Inputs!$D$186,T$5&lt;Inputs!$D$186+Inputs!$E$186),$G$36/Inputs!$E$186,0)</f>
        <v>0</v>
      </c>
      <c r="U44" s="46" t="n">
        <f aca="false">IF(AND(U$5&gt;=Inputs!$D$186,U$5&lt;Inputs!$D$186+Inputs!$E$186),$G$36/Inputs!$E$186,0)</f>
        <v>0</v>
      </c>
      <c r="V44" s="46" t="n">
        <f aca="false">IF(AND(V$5&gt;=Inputs!$D$186,V$5&lt;Inputs!$D$186+Inputs!$E$186),$G$36/Inputs!$E$186,0)</f>
        <v>0</v>
      </c>
      <c r="W44" s="46" t="n">
        <f aca="false">IF(AND(W$5&gt;=Inputs!$D$186,W$5&lt;Inputs!$D$186+Inputs!$E$186),$G$36/Inputs!$E$186,0)</f>
        <v>0</v>
      </c>
      <c r="X44" s="46" t="n">
        <f aca="false">IF(AND(X$5&gt;=Inputs!$D$186,X$5&lt;Inputs!$D$186+Inputs!$E$186),$G$36/Inputs!$E$186,0)</f>
        <v>0</v>
      </c>
      <c r="Y44" s="46" t="n">
        <f aca="false">IF(AND(Y$5&gt;=Inputs!$D$186,Y$5&lt;Inputs!$D$186+Inputs!$E$186),$G$36/Inputs!$E$186,0)</f>
        <v>0</v>
      </c>
      <c r="Z44" s="46" t="n">
        <f aca="false">IF(AND(Z$5&gt;=Inputs!$D$186,Z$5&lt;Inputs!$D$186+Inputs!$E$186),$G$36/Inputs!$E$186,0)</f>
        <v>0</v>
      </c>
      <c r="AA44" s="46" t="n">
        <f aca="false">IF(AND(AA$5&gt;=Inputs!$D$186,AA$5&lt;Inputs!$D$186+Inputs!$E$186),$G$36/Inputs!$E$186,0)</f>
        <v>0</v>
      </c>
      <c r="AB44" s="46" t="n">
        <f aca="false">IF(AND(AB$5&gt;=Inputs!$D$186,AB$5&lt;Inputs!$D$186+Inputs!$E$186),$G$36/Inputs!$E$186,0)</f>
        <v>0</v>
      </c>
      <c r="AC44" s="46" t="n">
        <f aca="false">IF(AND(AC$5&gt;=Inputs!$D$186,AC$5&lt;Inputs!$D$186+Inputs!$E$186),$G$36/Inputs!$E$186,0)</f>
        <v>0</v>
      </c>
      <c r="AD44" s="46" t="n">
        <f aca="false">IF(AND(AD$5&gt;=Inputs!$D$186,AD$5&lt;Inputs!$D$186+Inputs!$E$186),$G$36/Inputs!$E$186,0)</f>
        <v>0</v>
      </c>
      <c r="AE44" s="46" t="n">
        <f aca="false">IF(AND(AE$5&gt;=Inputs!$D$186,AE$5&lt;Inputs!$D$186+Inputs!$E$186),$G$36/Inputs!$E$186,0)</f>
        <v>0</v>
      </c>
      <c r="AF44" s="46" t="n">
        <f aca="false">IF(AND(AF$5&gt;=Inputs!$D$186,AF$5&lt;Inputs!$D$186+Inputs!$E$186),$G$36/Inputs!$E$186,0)</f>
        <v>0</v>
      </c>
      <c r="AG44" s="46" t="n">
        <f aca="false">IF(AND(AG$5&gt;=Inputs!$D$186,AG$5&lt;Inputs!$D$186+Inputs!$E$186),$G$36/Inputs!$E$186,0)</f>
        <v>0</v>
      </c>
      <c r="AH44" s="46" t="n">
        <f aca="false">IF(AND(AH$5&gt;=Inputs!$D$186,AH$5&lt;Inputs!$D$186+Inputs!$E$186),$G$36/Inputs!$E$186,0)</f>
        <v>0</v>
      </c>
      <c r="AI44" s="46" t="n">
        <f aca="false">IF(AND(AI$5&gt;=Inputs!$D$186,AI$5&lt;Inputs!$D$186+Inputs!$E$186),$G$36/Inputs!$E$186,0)</f>
        <v>0</v>
      </c>
      <c r="AJ44" s="46" t="n">
        <f aca="false">IF(AND(AJ$5&gt;=Inputs!$D$186,AJ$5&lt;Inputs!$D$186+Inputs!$E$186),$G$36/Inputs!$E$186,0)</f>
        <v>0</v>
      </c>
      <c r="AK44" s="46" t="n">
        <f aca="false">IF(AND(AK$5&gt;=Inputs!$D$186,AK$5&lt;Inputs!$D$186+Inputs!$E$186),$G$36/Inputs!$E$186,0)</f>
        <v>0</v>
      </c>
      <c r="AL44" s="46" t="n">
        <f aca="false">IF(AND(AL$5&gt;=Inputs!$D$186,AL$5&lt;Inputs!$D$186+Inputs!$E$186),$G$36/Inputs!$E$186,0)</f>
        <v>0</v>
      </c>
      <c r="AM44" s="46" t="n">
        <f aca="false">IF(AND(AM$5&gt;=Inputs!$D$186,AM$5&lt;Inputs!$D$186+Inputs!$E$186),$G$36/Inputs!$E$186,0)</f>
        <v>0</v>
      </c>
      <c r="AN44" s="46" t="n">
        <f aca="false">SUM(D44:AM44)</f>
        <v>0</v>
      </c>
      <c r="AO44" s="46" t="n">
        <f aca="false">SUM(D44:O44)</f>
        <v>0</v>
      </c>
      <c r="AP44" s="46" t="n">
        <f aca="false">SUM(P44:AA44)</f>
        <v>0</v>
      </c>
      <c r="AQ44" s="46" t="n">
        <f aca="false">SUM(AB44:AM44)</f>
        <v>0</v>
      </c>
    </row>
    <row r="45" customFormat="false" ht="15" hidden="false" customHeight="false" outlineLevel="0" collapsed="false">
      <c r="A45" s="3" t="s">
        <v>839</v>
      </c>
      <c r="B45" s="17" t="s">
        <v>61</v>
      </c>
      <c r="D45" s="8" t="n">
        <f aca="false">SUM(D40:D44)</f>
        <v>0</v>
      </c>
      <c r="E45" s="8" t="n">
        <f aca="false">SUM(E40:E44)</f>
        <v>0</v>
      </c>
      <c r="F45" s="8" t="n">
        <f aca="false">SUM(F40:F44)</f>
        <v>0</v>
      </c>
      <c r="G45" s="8" t="n">
        <f aca="false">SUM(G40:G44)</f>
        <v>0</v>
      </c>
      <c r="H45" s="8" t="n">
        <f aca="false">SUM(H40:H44)</f>
        <v>0</v>
      </c>
      <c r="I45" s="8" t="n">
        <f aca="false">SUM(I40:I44)</f>
        <v>0</v>
      </c>
      <c r="J45" s="8" t="n">
        <f aca="false">SUM(J40:J44)</f>
        <v>11538.3333333333</v>
      </c>
      <c r="K45" s="8" t="n">
        <f aca="false">SUM(K40:K44)</f>
        <v>11538.3333333333</v>
      </c>
      <c r="L45" s="8" t="n">
        <f aca="false">SUM(L40:L44)</f>
        <v>11538.3333333333</v>
      </c>
      <c r="M45" s="8" t="n">
        <f aca="false">SUM(M40:M44)</f>
        <v>0</v>
      </c>
      <c r="N45" s="8" t="n">
        <f aca="false">SUM(N40:N44)</f>
        <v>0</v>
      </c>
      <c r="O45" s="8" t="n">
        <f aca="false">SUM(O40:O44)</f>
        <v>0</v>
      </c>
      <c r="P45" s="8" t="n">
        <f aca="false">SUM(P40:P44)</f>
        <v>0</v>
      </c>
      <c r="Q45" s="8" t="n">
        <f aca="false">SUM(Q40:Q44)</f>
        <v>0</v>
      </c>
      <c r="R45" s="8" t="n">
        <f aca="false">SUM(R40:R44)</f>
        <v>0</v>
      </c>
      <c r="S45" s="8" t="n">
        <f aca="false">SUM(S40:S44)</f>
        <v>0</v>
      </c>
      <c r="T45" s="8" t="n">
        <f aca="false">SUM(T40:T44)</f>
        <v>0</v>
      </c>
      <c r="U45" s="8" t="n">
        <f aca="false">SUM(U40:U44)</f>
        <v>0</v>
      </c>
      <c r="V45" s="8" t="n">
        <f aca="false">SUM(V40:V44)</f>
        <v>0</v>
      </c>
      <c r="W45" s="8" t="n">
        <f aca="false">SUM(W40:W44)</f>
        <v>0</v>
      </c>
      <c r="X45" s="8" t="n">
        <f aca="false">SUM(X40:X44)</f>
        <v>0</v>
      </c>
      <c r="Y45" s="8" t="n">
        <f aca="false">SUM(Y40:Y44)</f>
        <v>0</v>
      </c>
      <c r="Z45" s="8" t="n">
        <f aca="false">SUM(Z40:Z44)</f>
        <v>0</v>
      </c>
      <c r="AA45" s="8" t="n">
        <f aca="false">SUM(AA40:AA44)</f>
        <v>0</v>
      </c>
      <c r="AB45" s="8" t="n">
        <f aca="false">SUM(AB40:AB44)</f>
        <v>0</v>
      </c>
      <c r="AC45" s="8" t="n">
        <f aca="false">SUM(AC40:AC44)</f>
        <v>0</v>
      </c>
      <c r="AD45" s="8" t="n">
        <f aca="false">SUM(AD40:AD44)</f>
        <v>0</v>
      </c>
      <c r="AE45" s="8" t="n">
        <f aca="false">SUM(AE40:AE44)</f>
        <v>0</v>
      </c>
      <c r="AF45" s="8" t="n">
        <f aca="false">SUM(AF40:AF44)</f>
        <v>0</v>
      </c>
      <c r="AG45" s="8" t="n">
        <f aca="false">SUM(AG40:AG44)</f>
        <v>0</v>
      </c>
      <c r="AH45" s="8" t="n">
        <f aca="false">SUM(AH40:AH44)</f>
        <v>0</v>
      </c>
      <c r="AI45" s="8" t="n">
        <f aca="false">SUM(AI40:AI44)</f>
        <v>0</v>
      </c>
      <c r="AJ45" s="8" t="n">
        <f aca="false">SUM(AJ40:AJ44)</f>
        <v>0</v>
      </c>
      <c r="AK45" s="8" t="n">
        <f aca="false">SUM(AK40:AK44)</f>
        <v>0</v>
      </c>
      <c r="AL45" s="8" t="n">
        <f aca="false">SUM(AL40:AL44)</f>
        <v>0</v>
      </c>
      <c r="AM45" s="8" t="n">
        <f aca="false">SUM(AM40:AM44)</f>
        <v>0</v>
      </c>
      <c r="AN45" s="8" t="n">
        <f aca="false">SUM(D45:AM45)</f>
        <v>34615</v>
      </c>
      <c r="AO45" s="8" t="n">
        <f aca="false">SUM(D45:O45)</f>
        <v>34615</v>
      </c>
      <c r="AP45" s="8" t="n">
        <f aca="false">SUM(P45:AA45)</f>
        <v>0</v>
      </c>
      <c r="AQ45" s="8" t="n">
        <f aca="false">SUM(AB45:AM45)</f>
        <v>0</v>
      </c>
    </row>
    <row r="47" customFormat="false" ht="15" hidden="false" customHeight="false" outlineLevel="0" collapsed="false">
      <c r="A47" s="3" t="s">
        <v>840</v>
      </c>
      <c r="B47" s="17" t="s">
        <v>61</v>
      </c>
      <c r="D47" s="8" t="n">
        <f aca="false">D12+D28+D45</f>
        <v>58650</v>
      </c>
      <c r="E47" s="8" t="n">
        <f aca="false">E12+E28+E45</f>
        <v>55380</v>
      </c>
      <c r="F47" s="8" t="n">
        <f aca="false">F12+F28+F45</f>
        <v>30090</v>
      </c>
      <c r="G47" s="8" t="n">
        <f aca="false">G12+G28+G45</f>
        <v>12180</v>
      </c>
      <c r="H47" s="8" t="n">
        <f aca="false">H12+H28+H45</f>
        <v>8700</v>
      </c>
      <c r="I47" s="8" t="n">
        <f aca="false">I12+I28+I45</f>
        <v>0</v>
      </c>
      <c r="J47" s="8" t="n">
        <f aca="false">J12+J28+J45</f>
        <v>11538.3333333333</v>
      </c>
      <c r="K47" s="8" t="n">
        <f aca="false">K12+K28+K45</f>
        <v>11538.3333333333</v>
      </c>
      <c r="L47" s="8" t="n">
        <f aca="false">L12+L28+L45</f>
        <v>17238.3333333333</v>
      </c>
      <c r="M47" s="8" t="n">
        <f aca="false">M12+M28+M45</f>
        <v>5700</v>
      </c>
      <c r="N47" s="8" t="n">
        <f aca="false">N12+N28+N45</f>
        <v>0</v>
      </c>
      <c r="O47" s="8" t="n">
        <f aca="false">O12+O28+O45</f>
        <v>4800</v>
      </c>
      <c r="P47" s="8" t="n">
        <f aca="false">P12+P28+P45</f>
        <v>4800</v>
      </c>
      <c r="Q47" s="8" t="n">
        <f aca="false">Q12+Q28+Q45</f>
        <v>4800</v>
      </c>
      <c r="R47" s="8" t="n">
        <f aca="false">R12+R28+R45</f>
        <v>0</v>
      </c>
      <c r="S47" s="8" t="n">
        <f aca="false">S12+S28+S45</f>
        <v>0</v>
      </c>
      <c r="T47" s="8" t="n">
        <f aca="false">T12+T28+T45</f>
        <v>0</v>
      </c>
      <c r="U47" s="8" t="n">
        <f aca="false">U12+U28+U45</f>
        <v>0</v>
      </c>
      <c r="V47" s="8" t="n">
        <f aca="false">V12+V28+V45</f>
        <v>0</v>
      </c>
      <c r="W47" s="8" t="n">
        <f aca="false">W12+W28+W45</f>
        <v>0</v>
      </c>
      <c r="X47" s="8" t="n">
        <f aca="false">X12+X28+X45</f>
        <v>0</v>
      </c>
      <c r="Y47" s="8" t="n">
        <f aca="false">Y12+Y28+Y45</f>
        <v>0</v>
      </c>
      <c r="Z47" s="8" t="n">
        <f aca="false">Z12+Z28+Z45</f>
        <v>0</v>
      </c>
      <c r="AA47" s="8" t="n">
        <f aca="false">AA12+AA28+AA45</f>
        <v>0</v>
      </c>
      <c r="AB47" s="8" t="n">
        <f aca="false">AB12+AB28+AB45</f>
        <v>0</v>
      </c>
      <c r="AC47" s="8" t="n">
        <f aca="false">AC12+AC28+AC45</f>
        <v>0</v>
      </c>
      <c r="AD47" s="8" t="n">
        <f aca="false">AD12+AD28+AD45</f>
        <v>0</v>
      </c>
      <c r="AE47" s="8" t="n">
        <f aca="false">AE12+AE28+AE45</f>
        <v>0</v>
      </c>
      <c r="AF47" s="8" t="n">
        <f aca="false">AF12+AF28+AF45</f>
        <v>0</v>
      </c>
      <c r="AG47" s="8" t="n">
        <f aca="false">AG12+AG28+AG45</f>
        <v>0</v>
      </c>
      <c r="AH47" s="8" t="n">
        <f aca="false">AH12+AH28+AH45</f>
        <v>0</v>
      </c>
      <c r="AI47" s="8" t="n">
        <f aca="false">AI12+AI28+AI45</f>
        <v>0</v>
      </c>
      <c r="AJ47" s="8" t="n">
        <f aca="false">AJ12+AJ28+AJ45</f>
        <v>0</v>
      </c>
      <c r="AK47" s="8" t="n">
        <f aca="false">AK12+AK28+AK45</f>
        <v>0</v>
      </c>
      <c r="AL47" s="8" t="n">
        <f aca="false">AL12+AL28+AL45</f>
        <v>0</v>
      </c>
      <c r="AM47" s="8" t="n">
        <f aca="false">AM12+AM28+AM45</f>
        <v>0</v>
      </c>
      <c r="AN47" s="8" t="n">
        <f aca="false">SUM(D47:AM47)</f>
        <v>225415</v>
      </c>
      <c r="AO47" s="8" t="n">
        <f aca="false">SUM(D47:O47)</f>
        <v>215815</v>
      </c>
      <c r="AP47" s="8" t="n">
        <f aca="false">SUM(P47:AA47)</f>
        <v>9600</v>
      </c>
      <c r="AQ47" s="8" t="n">
        <f aca="false">SUM(AB47:AM47)</f>
        <v>0</v>
      </c>
    </row>
    <row r="49" customFormat="false" ht="15" hidden="false" customHeight="false" outlineLevel="0" collapsed="false">
      <c r="A49" s="4" t="s">
        <v>841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AQ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4296875" defaultRowHeight="15" customHeight="false" zeroHeight="false" outlineLevelRow="0" outlineLevelCol="0"/>
  <cols>
    <col collapsed="false" customWidth="true" hidden="false" outlineLevel="0" max="1" min="1" style="1" width="56"/>
    <col collapsed="false" customWidth="true" hidden="false" outlineLevel="0" max="2" min="2" style="1" width="10"/>
    <col collapsed="false" customWidth="true" hidden="false" outlineLevel="0" max="3" min="3" style="1" width="15"/>
    <col collapsed="false" customWidth="true" hidden="false" outlineLevel="0" max="43" min="4" style="1" width="11"/>
  </cols>
  <sheetData>
    <row r="1" customFormat="false" ht="17.35" hidden="false" customHeight="false" outlineLevel="0" collapsed="false">
      <c r="A1" s="2" t="s">
        <v>842</v>
      </c>
    </row>
    <row r="2" customFormat="false" ht="15" hidden="false" customHeight="false" outlineLevel="0" collapsed="false">
      <c r="A2" s="60" t="s">
        <v>843</v>
      </c>
    </row>
    <row r="4" customFormat="false" ht="15" hidden="false" customHeight="false" outlineLevel="0" collapsed="false">
      <c r="A4" s="15" t="s">
        <v>726</v>
      </c>
      <c r="B4" s="15" t="s">
        <v>51</v>
      </c>
      <c r="C4" s="15" t="s">
        <v>844</v>
      </c>
      <c r="D4" s="61" t="s">
        <v>728</v>
      </c>
      <c r="E4" s="61" t="s">
        <v>729</v>
      </c>
      <c r="F4" s="61" t="s">
        <v>730</v>
      </c>
      <c r="G4" s="61" t="s">
        <v>731</v>
      </c>
      <c r="H4" s="61" t="s">
        <v>732</v>
      </c>
      <c r="I4" s="61" t="s">
        <v>733</v>
      </c>
      <c r="J4" s="61" t="s">
        <v>734</v>
      </c>
      <c r="K4" s="61" t="s">
        <v>735</v>
      </c>
      <c r="L4" s="61" t="s">
        <v>736</v>
      </c>
      <c r="M4" s="61" t="s">
        <v>737</v>
      </c>
      <c r="N4" s="61" t="s">
        <v>738</v>
      </c>
      <c r="O4" s="61" t="s">
        <v>739</v>
      </c>
      <c r="P4" s="61" t="s">
        <v>740</v>
      </c>
      <c r="Q4" s="61" t="s">
        <v>741</v>
      </c>
      <c r="R4" s="61" t="s">
        <v>742</v>
      </c>
      <c r="S4" s="61" t="s">
        <v>743</v>
      </c>
      <c r="T4" s="61" t="s">
        <v>744</v>
      </c>
      <c r="U4" s="61" t="s">
        <v>745</v>
      </c>
      <c r="V4" s="61" t="s">
        <v>746</v>
      </c>
      <c r="W4" s="61" t="s">
        <v>747</v>
      </c>
      <c r="X4" s="61" t="s">
        <v>748</v>
      </c>
      <c r="Y4" s="61" t="s">
        <v>749</v>
      </c>
      <c r="Z4" s="61" t="s">
        <v>750</v>
      </c>
      <c r="AA4" s="61" t="s">
        <v>751</v>
      </c>
      <c r="AB4" s="61" t="s">
        <v>752</v>
      </c>
      <c r="AC4" s="61" t="s">
        <v>753</v>
      </c>
      <c r="AD4" s="61" t="s">
        <v>754</v>
      </c>
      <c r="AE4" s="61" t="s">
        <v>755</v>
      </c>
      <c r="AF4" s="61" t="s">
        <v>756</v>
      </c>
      <c r="AG4" s="61" t="s">
        <v>757</v>
      </c>
      <c r="AH4" s="61" t="s">
        <v>758</v>
      </c>
      <c r="AI4" s="61" t="s">
        <v>759</v>
      </c>
      <c r="AJ4" s="61" t="s">
        <v>760</v>
      </c>
      <c r="AK4" s="61" t="s">
        <v>761</v>
      </c>
      <c r="AL4" s="61" t="s">
        <v>762</v>
      </c>
      <c r="AM4" s="61" t="s">
        <v>763</v>
      </c>
      <c r="AN4" s="61" t="s">
        <v>764</v>
      </c>
      <c r="AO4" s="61" t="s">
        <v>17</v>
      </c>
      <c r="AP4" s="61" t="s">
        <v>18</v>
      </c>
      <c r="AQ4" s="61" t="s">
        <v>19</v>
      </c>
    </row>
    <row r="5" customFormat="false" ht="15" hidden="false" customHeight="false" outlineLevel="0" collapsed="false">
      <c r="A5" s="1" t="s">
        <v>765</v>
      </c>
      <c r="B5" s="1" t="s">
        <v>766</v>
      </c>
      <c r="D5" s="11" t="n">
        <f aca="false">Forecast!D6</f>
        <v>1</v>
      </c>
      <c r="E5" s="11" t="n">
        <f aca="false">Forecast!E6</f>
        <v>2</v>
      </c>
      <c r="F5" s="11" t="n">
        <f aca="false">Forecast!F6</f>
        <v>3</v>
      </c>
      <c r="G5" s="11" t="n">
        <f aca="false">Forecast!G6</f>
        <v>4</v>
      </c>
      <c r="H5" s="11" t="n">
        <f aca="false">Forecast!H6</f>
        <v>5</v>
      </c>
      <c r="I5" s="11" t="n">
        <f aca="false">Forecast!I6</f>
        <v>6</v>
      </c>
      <c r="J5" s="11" t="n">
        <f aca="false">Forecast!J6</f>
        <v>7</v>
      </c>
      <c r="K5" s="11" t="n">
        <f aca="false">Forecast!K6</f>
        <v>8</v>
      </c>
      <c r="L5" s="11" t="n">
        <f aca="false">Forecast!L6</f>
        <v>9</v>
      </c>
      <c r="M5" s="11" t="n">
        <f aca="false">Forecast!M6</f>
        <v>10</v>
      </c>
      <c r="N5" s="11" t="n">
        <f aca="false">Forecast!N6</f>
        <v>11</v>
      </c>
      <c r="O5" s="11" t="n">
        <f aca="false">Forecast!O6</f>
        <v>12</v>
      </c>
      <c r="P5" s="11" t="n">
        <f aca="false">Forecast!P6</f>
        <v>13</v>
      </c>
      <c r="Q5" s="11" t="n">
        <f aca="false">Forecast!Q6</f>
        <v>14</v>
      </c>
      <c r="R5" s="11" t="n">
        <f aca="false">Forecast!R6</f>
        <v>15</v>
      </c>
      <c r="S5" s="11" t="n">
        <f aca="false">Forecast!S6</f>
        <v>16</v>
      </c>
      <c r="T5" s="11" t="n">
        <f aca="false">Forecast!T6</f>
        <v>17</v>
      </c>
      <c r="U5" s="11" t="n">
        <f aca="false">Forecast!U6</f>
        <v>18</v>
      </c>
      <c r="V5" s="11" t="n">
        <f aca="false">Forecast!V6</f>
        <v>19</v>
      </c>
      <c r="W5" s="11" t="n">
        <f aca="false">Forecast!W6</f>
        <v>20</v>
      </c>
      <c r="X5" s="11" t="n">
        <f aca="false">Forecast!X6</f>
        <v>21</v>
      </c>
      <c r="Y5" s="11" t="n">
        <f aca="false">Forecast!Y6</f>
        <v>22</v>
      </c>
      <c r="Z5" s="11" t="n">
        <f aca="false">Forecast!Z6</f>
        <v>23</v>
      </c>
      <c r="AA5" s="11" t="n">
        <f aca="false">Forecast!AA6</f>
        <v>24</v>
      </c>
      <c r="AB5" s="11" t="n">
        <f aca="false">Forecast!AB6</f>
        <v>25</v>
      </c>
      <c r="AC5" s="11" t="n">
        <f aca="false">Forecast!AC6</f>
        <v>26</v>
      </c>
      <c r="AD5" s="11" t="n">
        <f aca="false">Forecast!AD6</f>
        <v>27</v>
      </c>
      <c r="AE5" s="11" t="n">
        <f aca="false">Forecast!AE6</f>
        <v>28</v>
      </c>
      <c r="AF5" s="11" t="n">
        <f aca="false">Forecast!AF6</f>
        <v>29</v>
      </c>
      <c r="AG5" s="11" t="n">
        <f aca="false">Forecast!AG6</f>
        <v>30</v>
      </c>
      <c r="AH5" s="11" t="n">
        <f aca="false">Forecast!AH6</f>
        <v>31</v>
      </c>
      <c r="AI5" s="11" t="n">
        <f aca="false">Forecast!AI6</f>
        <v>32</v>
      </c>
      <c r="AJ5" s="11" t="n">
        <f aca="false">Forecast!AJ6</f>
        <v>33</v>
      </c>
      <c r="AK5" s="11" t="n">
        <f aca="false">Forecast!AK6</f>
        <v>34</v>
      </c>
      <c r="AL5" s="11" t="n">
        <f aca="false">Forecast!AL6</f>
        <v>35</v>
      </c>
      <c r="AM5" s="11" t="n">
        <f aca="false">Forecast!AM6</f>
        <v>36</v>
      </c>
    </row>
    <row r="6" customFormat="false" ht="15" hidden="false" customHeight="false" outlineLevel="0" collapsed="false">
      <c r="A6" s="23" t="s">
        <v>845</v>
      </c>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row>
    <row r="7" customFormat="false" ht="15" hidden="false" customHeight="false" outlineLevel="0" collapsed="false">
      <c r="A7" s="17" t="s">
        <v>846</v>
      </c>
      <c r="B7" s="40" t="n">
        <f aca="false">Inputs!$H$194</f>
        <v>6.99</v>
      </c>
    </row>
    <row r="8" customFormat="false" ht="15" hidden="false" customHeight="false" outlineLevel="0" collapsed="false">
      <c r="A8" s="17" t="s">
        <v>847</v>
      </c>
      <c r="B8" s="40" t="n">
        <f aca="false">B7*Inputs!$H$196</f>
        <v>1.7475</v>
      </c>
    </row>
    <row r="9" customFormat="false" ht="15" hidden="false" customHeight="false" outlineLevel="0" collapsed="false">
      <c r="A9" s="17" t="s">
        <v>848</v>
      </c>
      <c r="B9" s="40" t="n">
        <f aca="false">B7*Inputs!$H$197+Inputs!$H$198</f>
        <v>0.23873</v>
      </c>
    </row>
    <row r="10" customFormat="false" ht="15" hidden="false" customHeight="false" outlineLevel="0" collapsed="false">
      <c r="A10" s="17" t="s">
        <v>849</v>
      </c>
      <c r="B10" s="40" t="n">
        <f aca="false">Inputs!$H$199</f>
        <v>0.3996</v>
      </c>
    </row>
    <row r="11" customFormat="false" ht="15" hidden="false" customHeight="false" outlineLevel="0" collapsed="false">
      <c r="A11" s="17" t="s">
        <v>850</v>
      </c>
      <c r="B11" s="40" t="n">
        <f aca="false">'Model Costs'!$J$36*Scenarios!$B$10*(1+Inputs!$B$42)+Inputs!$H$202</f>
        <v>0.3615345</v>
      </c>
    </row>
    <row r="12" customFormat="false" ht="15" hidden="false" customHeight="false" outlineLevel="0" collapsed="false">
      <c r="A12" s="17" t="s">
        <v>851</v>
      </c>
      <c r="B12" s="40" t="n">
        <f aca="false">(Inputs!$B$203*Inputs!$H$200+Inputs!$B$204*Inputs!$H$201+Inputs!$B$205*B11)*(1+Inputs!$B$206)</f>
        <v>0.203814315</v>
      </c>
    </row>
    <row r="13" customFormat="false" ht="15" hidden="false" customHeight="false" outlineLevel="0" collapsed="false">
      <c r="A13" s="17" t="s">
        <v>852</v>
      </c>
      <c r="B13" s="40" t="n">
        <f aca="false">B7-B8-B9-B10-B12</f>
        <v>4.400355685</v>
      </c>
    </row>
    <row r="14" customFormat="false" ht="15" hidden="false" customHeight="false" outlineLevel="0" collapsed="false">
      <c r="A14" s="17" t="s">
        <v>853</v>
      </c>
      <c r="B14" s="46" t="n">
        <f aca="false">Inputs!$H$210+Inputs!$H$211+Inputs!$H$212+Inputs!$H$213+Inputs!$H$214+Inputs!$H$215</f>
        <v>262</v>
      </c>
    </row>
    <row r="15" customFormat="false" ht="15" hidden="false" customHeight="false" outlineLevel="0" collapsed="false">
      <c r="A15" s="17" t="s">
        <v>854</v>
      </c>
      <c r="B15" s="43" t="n">
        <f aca="false">Inputs!$H$195*Inputs!$B$209</f>
        <v>152</v>
      </c>
    </row>
    <row r="16" customFormat="false" ht="15" hidden="false" customHeight="false" outlineLevel="0" collapsed="false">
      <c r="A16" s="17" t="s">
        <v>855</v>
      </c>
      <c r="B16" s="46" t="n">
        <f aca="false">B15*B13-B14</f>
        <v>406.85406412</v>
      </c>
    </row>
    <row r="17" customFormat="false" ht="15" hidden="false" customHeight="false" outlineLevel="0" collapsed="false">
      <c r="A17" s="17" t="s">
        <v>856</v>
      </c>
      <c r="B17" s="46" t="n">
        <f aca="false">Inputs!$B$219*Inputs!$H$217</f>
        <v>11970</v>
      </c>
    </row>
    <row r="18" customFormat="false" ht="15" hidden="false" customHeight="false" outlineLevel="0" collapsed="false">
      <c r="A18" s="17" t="s">
        <v>857</v>
      </c>
      <c r="B18" s="46" t="n">
        <f aca="false">B17/Inputs!$H$216</f>
        <v>332.5</v>
      </c>
    </row>
    <row r="19" customFormat="false" ht="15" hidden="false" customHeight="false" outlineLevel="0" collapsed="false">
      <c r="A19" s="17" t="s">
        <v>858</v>
      </c>
      <c r="B19" s="46" t="n">
        <f aca="false">B16-B18</f>
        <v>74.3540641199999</v>
      </c>
    </row>
    <row r="20" customFormat="false" ht="15" hidden="false" customHeight="false" outlineLevel="0" collapsed="false">
      <c r="A20" s="17" t="s">
        <v>859</v>
      </c>
      <c r="B20" s="43" t="n">
        <f aca="false">IF(B16&gt;0,B17/B16,"Never at this rate")</f>
        <v>29.4208686986828</v>
      </c>
    </row>
    <row r="21" customFormat="false" ht="15" hidden="false" customHeight="false" outlineLevel="0" collapsed="false">
      <c r="A21" s="17" t="s">
        <v>860</v>
      </c>
      <c r="B21" s="63" t="n">
        <f aca="false">IF(B13&gt;0,B14/(Inputs!$B$209*B13),"n/a")</f>
        <v>1.95857373121227</v>
      </c>
    </row>
    <row r="22" customFormat="false" ht="15" hidden="false" customHeight="false" outlineLevel="0" collapsed="false">
      <c r="A22" s="17" t="s">
        <v>861</v>
      </c>
      <c r="B22" s="63" t="n">
        <f aca="false">IF(B13&gt;0,(B14+B18)/(Inputs!$B$209*B13),"n/a")</f>
        <v>4.44416825651029</v>
      </c>
    </row>
    <row r="24" customFormat="false" ht="15" hidden="false" customHeight="false" outlineLevel="0" collapsed="false">
      <c r="A24" s="23" t="s">
        <v>862</v>
      </c>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row>
    <row r="25" customFormat="false" ht="15" hidden="false" customHeight="false" outlineLevel="0" collapsed="false">
      <c r="A25" s="17" t="s">
        <v>863</v>
      </c>
      <c r="B25" s="17" t="s">
        <v>559</v>
      </c>
      <c r="D25" s="50" t="n">
        <f aca="false">INDEX(Inputs!$B$226:$B$261,D$5)</f>
        <v>0</v>
      </c>
      <c r="E25" s="50" t="n">
        <f aca="false">INDEX(Inputs!$B$226:$B$261,E$5)</f>
        <v>0</v>
      </c>
      <c r="F25" s="50" t="n">
        <f aca="false">INDEX(Inputs!$B$226:$B$261,F$5)</f>
        <v>0</v>
      </c>
      <c r="G25" s="50" t="n">
        <f aca="false">INDEX(Inputs!$B$226:$B$261,G$5)</f>
        <v>0</v>
      </c>
      <c r="H25" s="50" t="n">
        <f aca="false">INDEX(Inputs!$B$226:$B$261,H$5)</f>
        <v>0</v>
      </c>
      <c r="I25" s="50" t="n">
        <f aca="false">INDEX(Inputs!$B$226:$B$261,I$5)</f>
        <v>0</v>
      </c>
      <c r="J25" s="50" t="n">
        <f aca="false">INDEX(Inputs!$B$226:$B$261,J$5)</f>
        <v>0</v>
      </c>
      <c r="K25" s="50" t="n">
        <f aca="false">INDEX(Inputs!$B$226:$B$261,K$5)</f>
        <v>0</v>
      </c>
      <c r="L25" s="50" t="n">
        <f aca="false">INDEX(Inputs!$B$226:$B$261,L$5)</f>
        <v>0</v>
      </c>
      <c r="M25" s="50" t="n">
        <f aca="false">INDEX(Inputs!$B$226:$B$261,M$5)</f>
        <v>0</v>
      </c>
      <c r="N25" s="50" t="n">
        <f aca="false">INDEX(Inputs!$B$226:$B$261,N$5)</f>
        <v>0</v>
      </c>
      <c r="O25" s="50" t="n">
        <f aca="false">INDEX(Inputs!$B$226:$B$261,O$5)</f>
        <v>0</v>
      </c>
      <c r="P25" s="50" t="n">
        <f aca="false">INDEX(Inputs!$B$226:$B$261,P$5)</f>
        <v>0</v>
      </c>
      <c r="Q25" s="50" t="n">
        <f aca="false">INDEX(Inputs!$B$226:$B$261,Q$5)</f>
        <v>0</v>
      </c>
      <c r="R25" s="50" t="n">
        <f aca="false">INDEX(Inputs!$B$226:$B$261,R$5)</f>
        <v>0</v>
      </c>
      <c r="S25" s="50" t="n">
        <f aca="false">INDEX(Inputs!$B$226:$B$261,S$5)</f>
        <v>0</v>
      </c>
      <c r="T25" s="50" t="n">
        <f aca="false">INDEX(Inputs!$B$226:$B$261,T$5)</f>
        <v>0</v>
      </c>
      <c r="U25" s="50" t="n">
        <f aca="false">INDEX(Inputs!$B$226:$B$261,U$5)</f>
        <v>0</v>
      </c>
      <c r="V25" s="50" t="n">
        <f aca="false">INDEX(Inputs!$B$226:$B$261,V$5)</f>
        <v>3</v>
      </c>
      <c r="W25" s="50" t="n">
        <f aca="false">INDEX(Inputs!$B$226:$B$261,W$5)</f>
        <v>3</v>
      </c>
      <c r="X25" s="50" t="n">
        <f aca="false">INDEX(Inputs!$B$226:$B$261,X$5)</f>
        <v>3</v>
      </c>
      <c r="Y25" s="50" t="n">
        <f aca="false">INDEX(Inputs!$B$226:$B$261,Y$5)</f>
        <v>3</v>
      </c>
      <c r="Z25" s="50" t="n">
        <f aca="false">INDEX(Inputs!$B$226:$B$261,Z$5)</f>
        <v>3</v>
      </c>
      <c r="AA25" s="50" t="n">
        <f aca="false">INDEX(Inputs!$B$226:$B$261,AA$5)</f>
        <v>3</v>
      </c>
      <c r="AB25" s="50" t="n">
        <f aca="false">INDEX(Inputs!$B$226:$B$261,AB$5)</f>
        <v>3</v>
      </c>
      <c r="AC25" s="50" t="n">
        <f aca="false">INDEX(Inputs!$B$226:$B$261,AC$5)</f>
        <v>3</v>
      </c>
      <c r="AD25" s="50" t="n">
        <f aca="false">INDEX(Inputs!$B$226:$B$261,AD$5)</f>
        <v>3</v>
      </c>
      <c r="AE25" s="50" t="n">
        <f aca="false">INDEX(Inputs!$B$226:$B$261,AE$5)</f>
        <v>3</v>
      </c>
      <c r="AF25" s="50" t="n">
        <f aca="false">INDEX(Inputs!$B$226:$B$261,AF$5)</f>
        <v>3</v>
      </c>
      <c r="AG25" s="50" t="n">
        <f aca="false">INDEX(Inputs!$B$226:$B$261,AG$5)</f>
        <v>13</v>
      </c>
      <c r="AH25" s="50" t="n">
        <f aca="false">INDEX(Inputs!$B$226:$B$261,AH$5)</f>
        <v>13</v>
      </c>
      <c r="AI25" s="50" t="n">
        <f aca="false">INDEX(Inputs!$B$226:$B$261,AI$5)</f>
        <v>19</v>
      </c>
      <c r="AJ25" s="50" t="n">
        <f aca="false">INDEX(Inputs!$B$226:$B$261,AJ$5)</f>
        <v>25</v>
      </c>
      <c r="AK25" s="50" t="n">
        <f aca="false">INDEX(Inputs!$B$226:$B$261,AK$5)</f>
        <v>33</v>
      </c>
      <c r="AL25" s="50" t="n">
        <f aca="false">INDEX(Inputs!$B$226:$B$261,AL$5)</f>
        <v>42</v>
      </c>
      <c r="AM25" s="50" t="n">
        <f aca="false">INDEX(Inputs!$B$226:$B$261,AM$5)</f>
        <v>50</v>
      </c>
    </row>
    <row r="26" customFormat="false" ht="15" hidden="false" customHeight="false" outlineLevel="0" collapsed="false">
      <c r="A26" s="3" t="s">
        <v>864</v>
      </c>
      <c r="B26" s="17" t="s">
        <v>559</v>
      </c>
      <c r="C26" s="50" t="n">
        <v>0</v>
      </c>
      <c r="D26" s="7" t="n">
        <f aca="false">IF(AND(D$5&gt;=Inputs!$B$224,'R&amp;D'!$B$36=1),D25,MIN(D25,Inputs!$B$222)*'R&amp;D'!$B$34)</f>
        <v>0</v>
      </c>
      <c r="E26" s="7" t="n">
        <f aca="false">IF(AND(E$5&gt;=Inputs!$B$224,'R&amp;D'!$B$36=1),E25,MIN(E25,Inputs!$B$222)*'R&amp;D'!$B$34)</f>
        <v>0</v>
      </c>
      <c r="F26" s="7" t="n">
        <f aca="false">IF(AND(F$5&gt;=Inputs!$B$224,'R&amp;D'!$B$36=1),F25,MIN(F25,Inputs!$B$222)*'R&amp;D'!$B$34)</f>
        <v>0</v>
      </c>
      <c r="G26" s="7" t="n">
        <f aca="false">IF(AND(G$5&gt;=Inputs!$B$224,'R&amp;D'!$B$36=1),G25,MIN(G25,Inputs!$B$222)*'R&amp;D'!$B$34)</f>
        <v>0</v>
      </c>
      <c r="H26" s="7" t="n">
        <f aca="false">IF(AND(H$5&gt;=Inputs!$B$224,'R&amp;D'!$B$36=1),H25,MIN(H25,Inputs!$B$222)*'R&amp;D'!$B$34)</f>
        <v>0</v>
      </c>
      <c r="I26" s="7" t="n">
        <f aca="false">IF(AND(I$5&gt;=Inputs!$B$224,'R&amp;D'!$B$36=1),I25,MIN(I25,Inputs!$B$222)*'R&amp;D'!$B$34)</f>
        <v>0</v>
      </c>
      <c r="J26" s="7" t="n">
        <f aca="false">IF(AND(J$5&gt;=Inputs!$B$224,'R&amp;D'!$B$36=1),J25,MIN(J25,Inputs!$B$222)*'R&amp;D'!$B$34)</f>
        <v>0</v>
      </c>
      <c r="K26" s="7" t="n">
        <f aca="false">IF(AND(K$5&gt;=Inputs!$B$224,'R&amp;D'!$B$36=1),K25,MIN(K25,Inputs!$B$222)*'R&amp;D'!$B$34)</f>
        <v>0</v>
      </c>
      <c r="L26" s="7" t="n">
        <f aca="false">IF(AND(L$5&gt;=Inputs!$B$224,'R&amp;D'!$B$36=1),L25,MIN(L25,Inputs!$B$222)*'R&amp;D'!$B$34)</f>
        <v>0</v>
      </c>
      <c r="M26" s="7" t="n">
        <f aca="false">IF(AND(M$5&gt;=Inputs!$B$224,'R&amp;D'!$B$36=1),M25,MIN(M25,Inputs!$B$222)*'R&amp;D'!$B$34)</f>
        <v>0</v>
      </c>
      <c r="N26" s="7" t="n">
        <f aca="false">IF(AND(N$5&gt;=Inputs!$B$224,'R&amp;D'!$B$36=1),N25,MIN(N25,Inputs!$B$222)*'R&amp;D'!$B$34)</f>
        <v>0</v>
      </c>
      <c r="O26" s="7" t="n">
        <f aca="false">IF(AND(O$5&gt;=Inputs!$B$224,'R&amp;D'!$B$36=1),O25,MIN(O25,Inputs!$B$222)*'R&amp;D'!$B$34)</f>
        <v>0</v>
      </c>
      <c r="P26" s="7" t="n">
        <f aca="false">IF(AND(P$5&gt;=Inputs!$B$224,'R&amp;D'!$B$36=1),P25,MIN(P25,Inputs!$B$222)*'R&amp;D'!$B$34)</f>
        <v>0</v>
      </c>
      <c r="Q26" s="7" t="n">
        <f aca="false">IF(AND(Q$5&gt;=Inputs!$B$224,'R&amp;D'!$B$36=1),Q25,MIN(Q25,Inputs!$B$222)*'R&amp;D'!$B$34)</f>
        <v>0</v>
      </c>
      <c r="R26" s="7" t="n">
        <f aca="false">IF(AND(R$5&gt;=Inputs!$B$224,'R&amp;D'!$B$36=1),R25,MIN(R25,Inputs!$B$222)*'R&amp;D'!$B$34)</f>
        <v>0</v>
      </c>
      <c r="S26" s="7" t="n">
        <f aca="false">IF(AND(S$5&gt;=Inputs!$B$224,'R&amp;D'!$B$36=1),S25,MIN(S25,Inputs!$B$222)*'R&amp;D'!$B$34)</f>
        <v>0</v>
      </c>
      <c r="T26" s="7" t="n">
        <f aca="false">IF(AND(T$5&gt;=Inputs!$B$224,'R&amp;D'!$B$36=1),T25,MIN(T25,Inputs!$B$222)*'R&amp;D'!$B$34)</f>
        <v>0</v>
      </c>
      <c r="U26" s="7" t="n">
        <f aca="false">IF(AND(U$5&gt;=Inputs!$B$224,'R&amp;D'!$B$36=1),U25,MIN(U25,Inputs!$B$222)*'R&amp;D'!$B$34)</f>
        <v>0</v>
      </c>
      <c r="V26" s="7" t="n">
        <f aca="false">IF(AND(V$5&gt;=Inputs!$B$224,'R&amp;D'!$B$36=1),V25,MIN(V25,Inputs!$B$222)*'R&amp;D'!$B$34)</f>
        <v>0</v>
      </c>
      <c r="W26" s="7" t="n">
        <f aca="false">IF(AND(W$5&gt;=Inputs!$B$224,'R&amp;D'!$B$36=1),W25,MIN(W25,Inputs!$B$222)*'R&amp;D'!$B$34)</f>
        <v>0</v>
      </c>
      <c r="X26" s="7" t="n">
        <f aca="false">IF(AND(X$5&gt;=Inputs!$B$224,'R&amp;D'!$B$36=1),X25,MIN(X25,Inputs!$B$222)*'R&amp;D'!$B$34)</f>
        <v>0</v>
      </c>
      <c r="Y26" s="7" t="n">
        <f aca="false">IF(AND(Y$5&gt;=Inputs!$B$224,'R&amp;D'!$B$36=1),Y25,MIN(Y25,Inputs!$B$222)*'R&amp;D'!$B$34)</f>
        <v>0</v>
      </c>
      <c r="Z26" s="7" t="n">
        <f aca="false">IF(AND(Z$5&gt;=Inputs!$B$224,'R&amp;D'!$B$36=1),Z25,MIN(Z25,Inputs!$B$222)*'R&amp;D'!$B$34)</f>
        <v>0</v>
      </c>
      <c r="AA26" s="7" t="n">
        <f aca="false">IF(AND(AA$5&gt;=Inputs!$B$224,'R&amp;D'!$B$36=1),AA25,MIN(AA25,Inputs!$B$222)*'R&amp;D'!$B$34)</f>
        <v>0</v>
      </c>
      <c r="AB26" s="7" t="n">
        <f aca="false">IF(AND(AB$5&gt;=Inputs!$B$224,'R&amp;D'!$B$36=1),AB25,MIN(AB25,Inputs!$B$222)*'R&amp;D'!$B$34)</f>
        <v>0</v>
      </c>
      <c r="AC26" s="7" t="n">
        <f aca="false">IF(AND(AC$5&gt;=Inputs!$B$224,'R&amp;D'!$B$36=1),AC25,MIN(AC25,Inputs!$B$222)*'R&amp;D'!$B$34)</f>
        <v>0</v>
      </c>
      <c r="AD26" s="7" t="n">
        <f aca="false">IF(AND(AD$5&gt;=Inputs!$B$224,'R&amp;D'!$B$36=1),AD25,MIN(AD25,Inputs!$B$222)*'R&amp;D'!$B$34)</f>
        <v>0</v>
      </c>
      <c r="AE26" s="7" t="n">
        <f aca="false">IF(AND(AE$5&gt;=Inputs!$B$224,'R&amp;D'!$B$36=1),AE25,MIN(AE25,Inputs!$B$222)*'R&amp;D'!$B$34)</f>
        <v>0</v>
      </c>
      <c r="AF26" s="7" t="n">
        <f aca="false">IF(AND(AF$5&gt;=Inputs!$B$224,'R&amp;D'!$B$36=1),AF25,MIN(AF25,Inputs!$B$222)*'R&amp;D'!$B$34)</f>
        <v>0</v>
      </c>
      <c r="AG26" s="7" t="n">
        <f aca="false">IF(AND(AG$5&gt;=Inputs!$B$224,'R&amp;D'!$B$36=1),AG25,MIN(AG25,Inputs!$B$222)*'R&amp;D'!$B$34)</f>
        <v>0</v>
      </c>
      <c r="AH26" s="7" t="n">
        <f aca="false">IF(AND(AH$5&gt;=Inputs!$B$224,'R&amp;D'!$B$36=1),AH25,MIN(AH25,Inputs!$B$222)*'R&amp;D'!$B$34)</f>
        <v>0</v>
      </c>
      <c r="AI26" s="7" t="n">
        <f aca="false">IF(AND(AI$5&gt;=Inputs!$B$224,'R&amp;D'!$B$36=1),AI25,MIN(AI25,Inputs!$B$222)*'R&amp;D'!$B$34)</f>
        <v>0</v>
      </c>
      <c r="AJ26" s="7" t="n">
        <f aca="false">IF(AND(AJ$5&gt;=Inputs!$B$224,'R&amp;D'!$B$36=1),AJ25,MIN(AJ25,Inputs!$B$222)*'R&amp;D'!$B$34)</f>
        <v>0</v>
      </c>
      <c r="AK26" s="7" t="n">
        <f aca="false">IF(AND(AK$5&gt;=Inputs!$B$224,'R&amp;D'!$B$36=1),AK25,MIN(AK25,Inputs!$B$222)*'R&amp;D'!$B$34)</f>
        <v>0</v>
      </c>
      <c r="AL26" s="7" t="n">
        <f aca="false">IF(AND(AL$5&gt;=Inputs!$B$224,'R&amp;D'!$B$36=1),AL25,MIN(AL25,Inputs!$B$222)*'R&amp;D'!$B$34)</f>
        <v>0</v>
      </c>
      <c r="AM26" s="7" t="n">
        <f aca="false">IF(AND(AM$5&gt;=Inputs!$B$224,'R&amp;D'!$B$36=1),AM25,MIN(AM25,Inputs!$B$222)*'R&amp;D'!$B$34)</f>
        <v>0</v>
      </c>
    </row>
    <row r="27" customFormat="false" ht="15" hidden="false" customHeight="false" outlineLevel="0" collapsed="false">
      <c r="A27" s="17" t="s">
        <v>865</v>
      </c>
      <c r="B27" s="17" t="s">
        <v>559</v>
      </c>
      <c r="D27" s="50" t="n">
        <f aca="false">MAX(0,D26-C26)</f>
        <v>0</v>
      </c>
      <c r="E27" s="50" t="n">
        <f aca="false">MAX(0,E26-D26)</f>
        <v>0</v>
      </c>
      <c r="F27" s="50" t="n">
        <f aca="false">MAX(0,F26-E26)</f>
        <v>0</v>
      </c>
      <c r="G27" s="50" t="n">
        <f aca="false">MAX(0,G26-F26)</f>
        <v>0</v>
      </c>
      <c r="H27" s="50" t="n">
        <f aca="false">MAX(0,H26-G26)</f>
        <v>0</v>
      </c>
      <c r="I27" s="50" t="n">
        <f aca="false">MAX(0,I26-H26)</f>
        <v>0</v>
      </c>
      <c r="J27" s="50" t="n">
        <f aca="false">MAX(0,J26-I26)</f>
        <v>0</v>
      </c>
      <c r="K27" s="50" t="n">
        <f aca="false">MAX(0,K26-J26)</f>
        <v>0</v>
      </c>
      <c r="L27" s="50" t="n">
        <f aca="false">MAX(0,L26-K26)</f>
        <v>0</v>
      </c>
      <c r="M27" s="50" t="n">
        <f aca="false">MAX(0,M26-L26)</f>
        <v>0</v>
      </c>
      <c r="N27" s="50" t="n">
        <f aca="false">MAX(0,N26-M26)</f>
        <v>0</v>
      </c>
      <c r="O27" s="50" t="n">
        <f aca="false">MAX(0,O26-N26)</f>
        <v>0</v>
      </c>
      <c r="P27" s="50" t="n">
        <f aca="false">MAX(0,P26-O26)</f>
        <v>0</v>
      </c>
      <c r="Q27" s="50" t="n">
        <f aca="false">MAX(0,Q26-P26)</f>
        <v>0</v>
      </c>
      <c r="R27" s="50" t="n">
        <f aca="false">MAX(0,R26-Q26)</f>
        <v>0</v>
      </c>
      <c r="S27" s="50" t="n">
        <f aca="false">MAX(0,S26-R26)</f>
        <v>0</v>
      </c>
      <c r="T27" s="50" t="n">
        <f aca="false">MAX(0,T26-S26)</f>
        <v>0</v>
      </c>
      <c r="U27" s="50" t="n">
        <f aca="false">MAX(0,U26-T26)</f>
        <v>0</v>
      </c>
      <c r="V27" s="50" t="n">
        <f aca="false">MAX(0,V26-U26)</f>
        <v>0</v>
      </c>
      <c r="W27" s="50" t="n">
        <f aca="false">MAX(0,W26-V26)</f>
        <v>0</v>
      </c>
      <c r="X27" s="50" t="n">
        <f aca="false">MAX(0,X26-W26)</f>
        <v>0</v>
      </c>
      <c r="Y27" s="50" t="n">
        <f aca="false">MAX(0,Y26-X26)</f>
        <v>0</v>
      </c>
      <c r="Z27" s="50" t="n">
        <f aca="false">MAX(0,Z26-Y26)</f>
        <v>0</v>
      </c>
      <c r="AA27" s="50" t="n">
        <f aca="false">MAX(0,AA26-Z26)</f>
        <v>0</v>
      </c>
      <c r="AB27" s="50" t="n">
        <f aca="false">MAX(0,AB26-AA26)</f>
        <v>0</v>
      </c>
      <c r="AC27" s="50" t="n">
        <f aca="false">MAX(0,AC26-AB26)</f>
        <v>0</v>
      </c>
      <c r="AD27" s="50" t="n">
        <f aca="false">MAX(0,AD26-AC26)</f>
        <v>0</v>
      </c>
      <c r="AE27" s="50" t="n">
        <f aca="false">MAX(0,AE26-AD26)</f>
        <v>0</v>
      </c>
      <c r="AF27" s="50" t="n">
        <f aca="false">MAX(0,AF26-AE26)</f>
        <v>0</v>
      </c>
      <c r="AG27" s="50" t="n">
        <f aca="false">MAX(0,AG26-AF26)</f>
        <v>0</v>
      </c>
      <c r="AH27" s="50" t="n">
        <f aca="false">MAX(0,AH26-AG26)</f>
        <v>0</v>
      </c>
      <c r="AI27" s="50" t="n">
        <f aca="false">MAX(0,AI26-AH26)</f>
        <v>0</v>
      </c>
      <c r="AJ27" s="50" t="n">
        <f aca="false">MAX(0,AJ26-AI26)</f>
        <v>0</v>
      </c>
      <c r="AK27" s="50" t="n">
        <f aca="false">MAX(0,AK26-AJ26)</f>
        <v>0</v>
      </c>
      <c r="AL27" s="50" t="n">
        <f aca="false">MAX(0,AL26-AK26)</f>
        <v>0</v>
      </c>
      <c r="AM27" s="50" t="n">
        <f aca="false">MAX(0,AM26-AL26)</f>
        <v>0</v>
      </c>
      <c r="AN27" s="50" t="n">
        <f aca="false">SUM(D27:AM27)</f>
        <v>0</v>
      </c>
      <c r="AO27" s="50" t="n">
        <f aca="false">SUM(D27:O27)</f>
        <v>0</v>
      </c>
      <c r="AP27" s="50" t="n">
        <f aca="false">SUM(P27:AA27)</f>
        <v>0</v>
      </c>
      <c r="AQ27" s="50" t="n">
        <f aca="false">SUM(AB27:AM27)</f>
        <v>0</v>
      </c>
    </row>
    <row r="28" customFormat="false" ht="15" hidden="false" customHeight="false" outlineLevel="0" collapsed="false">
      <c r="A28" s="17" t="s">
        <v>866</v>
      </c>
      <c r="B28" s="17" t="s">
        <v>559</v>
      </c>
      <c r="D28" s="50" t="n">
        <f aca="false">IF(D$5&gt;=Inputs!$B$224,MAX(0,MIN(D26,Inputs!$B$221)-C26),0)</f>
        <v>0</v>
      </c>
      <c r="E28" s="50" t="n">
        <f aca="false">IF(E$5&gt;=Inputs!$B$224,MAX(0,MIN(E26,Inputs!$B$221)-D26),0)</f>
        <v>0</v>
      </c>
      <c r="F28" s="50" t="n">
        <f aca="false">IF(F$5&gt;=Inputs!$B$224,MAX(0,MIN(F26,Inputs!$B$221)-E26),0)</f>
        <v>0</v>
      </c>
      <c r="G28" s="50" t="n">
        <f aca="false">IF(G$5&gt;=Inputs!$B$224,MAX(0,MIN(G26,Inputs!$B$221)-F26),0)</f>
        <v>0</v>
      </c>
      <c r="H28" s="50" t="n">
        <f aca="false">IF(H$5&gt;=Inputs!$B$224,MAX(0,MIN(H26,Inputs!$B$221)-G26),0)</f>
        <v>0</v>
      </c>
      <c r="I28" s="50" t="n">
        <f aca="false">IF(I$5&gt;=Inputs!$B$224,MAX(0,MIN(I26,Inputs!$B$221)-H26),0)</f>
        <v>0</v>
      </c>
      <c r="J28" s="50" t="n">
        <f aca="false">IF(J$5&gt;=Inputs!$B$224,MAX(0,MIN(J26,Inputs!$B$221)-I26),0)</f>
        <v>0</v>
      </c>
      <c r="K28" s="50" t="n">
        <f aca="false">IF(K$5&gt;=Inputs!$B$224,MAX(0,MIN(K26,Inputs!$B$221)-J26),0)</f>
        <v>0</v>
      </c>
      <c r="L28" s="50" t="n">
        <f aca="false">IF(L$5&gt;=Inputs!$B$224,MAX(0,MIN(L26,Inputs!$B$221)-K26),0)</f>
        <v>0</v>
      </c>
      <c r="M28" s="50" t="n">
        <f aca="false">IF(M$5&gt;=Inputs!$B$224,MAX(0,MIN(M26,Inputs!$B$221)-L26),0)</f>
        <v>0</v>
      </c>
      <c r="N28" s="50" t="n">
        <f aca="false">IF(N$5&gt;=Inputs!$B$224,MAX(0,MIN(N26,Inputs!$B$221)-M26),0)</f>
        <v>0</v>
      </c>
      <c r="O28" s="50" t="n">
        <f aca="false">IF(O$5&gt;=Inputs!$B$224,MAX(0,MIN(O26,Inputs!$B$221)-N26),0)</f>
        <v>0</v>
      </c>
      <c r="P28" s="50" t="n">
        <f aca="false">IF(P$5&gt;=Inputs!$B$224,MAX(0,MIN(P26,Inputs!$B$221)-O26),0)</f>
        <v>0</v>
      </c>
      <c r="Q28" s="50" t="n">
        <f aca="false">IF(Q$5&gt;=Inputs!$B$224,MAX(0,MIN(Q26,Inputs!$B$221)-P26),0)</f>
        <v>0</v>
      </c>
      <c r="R28" s="50" t="n">
        <f aca="false">IF(R$5&gt;=Inputs!$B$224,MAX(0,MIN(R26,Inputs!$B$221)-Q26),0)</f>
        <v>0</v>
      </c>
      <c r="S28" s="50" t="n">
        <f aca="false">IF(S$5&gt;=Inputs!$B$224,MAX(0,MIN(S26,Inputs!$B$221)-R26),0)</f>
        <v>0</v>
      </c>
      <c r="T28" s="50" t="n">
        <f aca="false">IF(T$5&gt;=Inputs!$B$224,MAX(0,MIN(T26,Inputs!$B$221)-S26),0)</f>
        <v>0</v>
      </c>
      <c r="U28" s="50" t="n">
        <f aca="false">IF(U$5&gt;=Inputs!$B$224,MAX(0,MIN(U26,Inputs!$B$221)-T26),0)</f>
        <v>0</v>
      </c>
      <c r="V28" s="50" t="n">
        <f aca="false">IF(V$5&gt;=Inputs!$B$224,MAX(0,MIN(V26,Inputs!$B$221)-U26),0)</f>
        <v>0</v>
      </c>
      <c r="W28" s="50" t="n">
        <f aca="false">IF(W$5&gt;=Inputs!$B$224,MAX(0,MIN(W26,Inputs!$B$221)-V26),0)</f>
        <v>0</v>
      </c>
      <c r="X28" s="50" t="n">
        <f aca="false">IF(X$5&gt;=Inputs!$B$224,MAX(0,MIN(X26,Inputs!$B$221)-W26),0)</f>
        <v>0</v>
      </c>
      <c r="Y28" s="50" t="n">
        <f aca="false">IF(Y$5&gt;=Inputs!$B$224,MAX(0,MIN(Y26,Inputs!$B$221)-X26),0)</f>
        <v>0</v>
      </c>
      <c r="Z28" s="50" t="n">
        <f aca="false">IF(Z$5&gt;=Inputs!$B$224,MAX(0,MIN(Z26,Inputs!$B$221)-Y26),0)</f>
        <v>0</v>
      </c>
      <c r="AA28" s="50" t="n">
        <f aca="false">IF(AA$5&gt;=Inputs!$B$224,MAX(0,MIN(AA26,Inputs!$B$221)-Z26),0)</f>
        <v>0</v>
      </c>
      <c r="AB28" s="50" t="n">
        <f aca="false">IF(AB$5&gt;=Inputs!$B$224,MAX(0,MIN(AB26,Inputs!$B$221)-AA26),0)</f>
        <v>0</v>
      </c>
      <c r="AC28" s="50" t="n">
        <f aca="false">IF(AC$5&gt;=Inputs!$B$224,MAX(0,MIN(AC26,Inputs!$B$221)-AB26),0)</f>
        <v>0</v>
      </c>
      <c r="AD28" s="50" t="n">
        <f aca="false">IF(AD$5&gt;=Inputs!$B$224,MAX(0,MIN(AD26,Inputs!$B$221)-AC26),0)</f>
        <v>0</v>
      </c>
      <c r="AE28" s="50" t="n">
        <f aca="false">IF(AE$5&gt;=Inputs!$B$224,MAX(0,MIN(AE26,Inputs!$B$221)-AD26),0)</f>
        <v>0</v>
      </c>
      <c r="AF28" s="50" t="n">
        <f aca="false">IF(AF$5&gt;=Inputs!$B$224,MAX(0,MIN(AF26,Inputs!$B$221)-AE26),0)</f>
        <v>0</v>
      </c>
      <c r="AG28" s="50" t="n">
        <f aca="false">IF(AG$5&gt;=Inputs!$B$224,MAX(0,MIN(AG26,Inputs!$B$221)-AF26),0)</f>
        <v>0</v>
      </c>
      <c r="AH28" s="50" t="n">
        <f aca="false">IF(AH$5&gt;=Inputs!$B$224,MAX(0,MIN(AH26,Inputs!$B$221)-AG26),0)</f>
        <v>0</v>
      </c>
      <c r="AI28" s="50" t="n">
        <f aca="false">IF(AI$5&gt;=Inputs!$B$224,MAX(0,MIN(AI26,Inputs!$B$221)-AH26),0)</f>
        <v>0</v>
      </c>
      <c r="AJ28" s="50" t="n">
        <f aca="false">IF(AJ$5&gt;=Inputs!$B$224,MAX(0,MIN(AJ26,Inputs!$B$221)-AI26),0)</f>
        <v>0</v>
      </c>
      <c r="AK28" s="50" t="n">
        <f aca="false">IF(AK$5&gt;=Inputs!$B$224,MAX(0,MIN(AK26,Inputs!$B$221)-AJ26),0)</f>
        <v>0</v>
      </c>
      <c r="AL28" s="50" t="n">
        <f aca="false">IF(AL$5&gt;=Inputs!$B$224,MAX(0,MIN(AL26,Inputs!$B$221)-AK26),0)</f>
        <v>0</v>
      </c>
      <c r="AM28" s="50" t="n">
        <f aca="false">IF(AM$5&gt;=Inputs!$B$224,MAX(0,MIN(AM26,Inputs!$B$221)-AL26),0)</f>
        <v>0</v>
      </c>
      <c r="AN28" s="50" t="n">
        <f aca="false">SUM(D28:AM28)</f>
        <v>0</v>
      </c>
      <c r="AO28" s="50" t="n">
        <f aca="false">SUM(D28:O28)</f>
        <v>0</v>
      </c>
      <c r="AP28" s="50" t="n">
        <f aca="false">SUM(P28:AA28)</f>
        <v>0</v>
      </c>
      <c r="AQ28" s="50" t="n">
        <f aca="false">SUM(AB28:AM28)</f>
        <v>0</v>
      </c>
    </row>
    <row r="29" customFormat="false" ht="15" hidden="false" customHeight="false" outlineLevel="0" collapsed="false">
      <c r="A29" s="17" t="s">
        <v>867</v>
      </c>
      <c r="B29" s="17" t="s">
        <v>559</v>
      </c>
      <c r="D29" s="50" t="n">
        <f aca="false">IF(D$5&gt;=Inputs!$B$224,D27-D28,0)</f>
        <v>0</v>
      </c>
      <c r="E29" s="50" t="n">
        <f aca="false">IF(E$5&gt;=Inputs!$B$224,E27-E28,0)</f>
        <v>0</v>
      </c>
      <c r="F29" s="50" t="n">
        <f aca="false">IF(F$5&gt;=Inputs!$B$224,F27-F28,0)</f>
        <v>0</v>
      </c>
      <c r="G29" s="50" t="n">
        <f aca="false">IF(G$5&gt;=Inputs!$B$224,G27-G28,0)</f>
        <v>0</v>
      </c>
      <c r="H29" s="50" t="n">
        <f aca="false">IF(H$5&gt;=Inputs!$B$224,H27-H28,0)</f>
        <v>0</v>
      </c>
      <c r="I29" s="50" t="n">
        <f aca="false">IF(I$5&gt;=Inputs!$B$224,I27-I28,0)</f>
        <v>0</v>
      </c>
      <c r="J29" s="50" t="n">
        <f aca="false">IF(J$5&gt;=Inputs!$B$224,J27-J28,0)</f>
        <v>0</v>
      </c>
      <c r="K29" s="50" t="n">
        <f aca="false">IF(K$5&gt;=Inputs!$B$224,K27-K28,0)</f>
        <v>0</v>
      </c>
      <c r="L29" s="50" t="n">
        <f aca="false">IF(L$5&gt;=Inputs!$B$224,L27-L28,0)</f>
        <v>0</v>
      </c>
      <c r="M29" s="50" t="n">
        <f aca="false">IF(M$5&gt;=Inputs!$B$224,M27-M28,0)</f>
        <v>0</v>
      </c>
      <c r="N29" s="50" t="n">
        <f aca="false">IF(N$5&gt;=Inputs!$B$224,N27-N28,0)</f>
        <v>0</v>
      </c>
      <c r="O29" s="50" t="n">
        <f aca="false">IF(O$5&gt;=Inputs!$B$224,O27-O28,0)</f>
        <v>0</v>
      </c>
      <c r="P29" s="50" t="n">
        <f aca="false">IF(P$5&gt;=Inputs!$B$224,P27-P28,0)</f>
        <v>0</v>
      </c>
      <c r="Q29" s="50" t="n">
        <f aca="false">IF(Q$5&gt;=Inputs!$B$224,Q27-Q28,0)</f>
        <v>0</v>
      </c>
      <c r="R29" s="50" t="n">
        <f aca="false">IF(R$5&gt;=Inputs!$B$224,R27-R28,0)</f>
        <v>0</v>
      </c>
      <c r="S29" s="50" t="n">
        <f aca="false">IF(S$5&gt;=Inputs!$B$224,S27-S28,0)</f>
        <v>0</v>
      </c>
      <c r="T29" s="50" t="n">
        <f aca="false">IF(T$5&gt;=Inputs!$B$224,T27-T28,0)</f>
        <v>0</v>
      </c>
      <c r="U29" s="50" t="n">
        <f aca="false">IF(U$5&gt;=Inputs!$B$224,U27-U28,0)</f>
        <v>0</v>
      </c>
      <c r="V29" s="50" t="n">
        <f aca="false">IF(V$5&gt;=Inputs!$B$224,V27-V28,0)</f>
        <v>0</v>
      </c>
      <c r="W29" s="50" t="n">
        <f aca="false">IF(W$5&gt;=Inputs!$B$224,W27-W28,0)</f>
        <v>0</v>
      </c>
      <c r="X29" s="50" t="n">
        <f aca="false">IF(X$5&gt;=Inputs!$B$224,X27-X28,0)</f>
        <v>0</v>
      </c>
      <c r="Y29" s="50" t="n">
        <f aca="false">IF(Y$5&gt;=Inputs!$B$224,Y27-Y28,0)</f>
        <v>0</v>
      </c>
      <c r="Z29" s="50" t="n">
        <f aca="false">IF(Z$5&gt;=Inputs!$B$224,Z27-Z28,0)</f>
        <v>0</v>
      </c>
      <c r="AA29" s="50" t="n">
        <f aca="false">IF(AA$5&gt;=Inputs!$B$224,AA27-AA28,0)</f>
        <v>0</v>
      </c>
      <c r="AB29" s="50" t="n">
        <f aca="false">IF(AB$5&gt;=Inputs!$B$224,AB27-AB28,0)</f>
        <v>0</v>
      </c>
      <c r="AC29" s="50" t="n">
        <f aca="false">IF(AC$5&gt;=Inputs!$B$224,AC27-AC28,0)</f>
        <v>0</v>
      </c>
      <c r="AD29" s="50" t="n">
        <f aca="false">IF(AD$5&gt;=Inputs!$B$224,AD27-AD28,0)</f>
        <v>0</v>
      </c>
      <c r="AE29" s="50" t="n">
        <f aca="false">IF(AE$5&gt;=Inputs!$B$224,AE27-AE28,0)</f>
        <v>0</v>
      </c>
      <c r="AF29" s="50" t="n">
        <f aca="false">IF(AF$5&gt;=Inputs!$B$224,AF27-AF28,0)</f>
        <v>0</v>
      </c>
      <c r="AG29" s="50" t="n">
        <f aca="false">IF(AG$5&gt;=Inputs!$B$224,AG27-AG28,0)</f>
        <v>0</v>
      </c>
      <c r="AH29" s="50" t="n">
        <f aca="false">IF(AH$5&gt;=Inputs!$B$224,AH27-AH28,0)</f>
        <v>0</v>
      </c>
      <c r="AI29" s="50" t="n">
        <f aca="false">IF(AI$5&gt;=Inputs!$B$224,AI27-AI28,0)</f>
        <v>0</v>
      </c>
      <c r="AJ29" s="50" t="n">
        <f aca="false">IF(AJ$5&gt;=Inputs!$B$224,AJ27-AJ28,0)</f>
        <v>0</v>
      </c>
      <c r="AK29" s="50" t="n">
        <f aca="false">IF(AK$5&gt;=Inputs!$B$224,AK27-AK28,0)</f>
        <v>0</v>
      </c>
      <c r="AL29" s="50" t="n">
        <f aca="false">IF(AL$5&gt;=Inputs!$B$224,AL27-AL28,0)</f>
        <v>0</v>
      </c>
      <c r="AM29" s="50" t="n">
        <f aca="false">IF(AM$5&gt;=Inputs!$B$224,AM27-AM28,0)</f>
        <v>0</v>
      </c>
      <c r="AN29" s="50" t="n">
        <f aca="false">SUM(D29:AM29)</f>
        <v>0</v>
      </c>
      <c r="AO29" s="50" t="n">
        <f aca="false">SUM(D29:O29)</f>
        <v>0</v>
      </c>
      <c r="AP29" s="50" t="n">
        <f aca="false">SUM(P29:AA29)</f>
        <v>0</v>
      </c>
      <c r="AQ29" s="50" t="n">
        <f aca="false">SUM(AB29:AM29)</f>
        <v>0</v>
      </c>
    </row>
    <row r="30" customFormat="false" ht="15" hidden="false" customHeight="false" outlineLevel="0" collapsed="false">
      <c r="A30" s="17" t="s">
        <v>868</v>
      </c>
      <c r="B30" s="17" t="s">
        <v>61</v>
      </c>
      <c r="D30" s="46" t="n">
        <f aca="false">(D28*Inputs!$B$219+D29*Inputs!$B$220)*Inputs!$H$217</f>
        <v>0</v>
      </c>
      <c r="E30" s="46" t="n">
        <f aca="false">(E28*Inputs!$B$219+E29*Inputs!$B$220)*Inputs!$H$217</f>
        <v>0</v>
      </c>
      <c r="F30" s="46" t="n">
        <f aca="false">(F28*Inputs!$B$219+F29*Inputs!$B$220)*Inputs!$H$217</f>
        <v>0</v>
      </c>
      <c r="G30" s="46" t="n">
        <f aca="false">(G28*Inputs!$B$219+G29*Inputs!$B$220)*Inputs!$H$217</f>
        <v>0</v>
      </c>
      <c r="H30" s="46" t="n">
        <f aca="false">(H28*Inputs!$B$219+H29*Inputs!$B$220)*Inputs!$H$217</f>
        <v>0</v>
      </c>
      <c r="I30" s="46" t="n">
        <f aca="false">(I28*Inputs!$B$219+I29*Inputs!$B$220)*Inputs!$H$217</f>
        <v>0</v>
      </c>
      <c r="J30" s="46" t="n">
        <f aca="false">(J28*Inputs!$B$219+J29*Inputs!$B$220)*Inputs!$H$217</f>
        <v>0</v>
      </c>
      <c r="K30" s="46" t="n">
        <f aca="false">(K28*Inputs!$B$219+K29*Inputs!$B$220)*Inputs!$H$217</f>
        <v>0</v>
      </c>
      <c r="L30" s="46" t="n">
        <f aca="false">(L28*Inputs!$B$219+L29*Inputs!$B$220)*Inputs!$H$217</f>
        <v>0</v>
      </c>
      <c r="M30" s="46" t="n">
        <f aca="false">(M28*Inputs!$B$219+M29*Inputs!$B$220)*Inputs!$H$217</f>
        <v>0</v>
      </c>
      <c r="N30" s="46" t="n">
        <f aca="false">(N28*Inputs!$B$219+N29*Inputs!$B$220)*Inputs!$H$217</f>
        <v>0</v>
      </c>
      <c r="O30" s="46" t="n">
        <f aca="false">(O28*Inputs!$B$219+O29*Inputs!$B$220)*Inputs!$H$217</f>
        <v>0</v>
      </c>
      <c r="P30" s="46" t="n">
        <f aca="false">(P28*Inputs!$B$219+P29*Inputs!$B$220)*Inputs!$H$217</f>
        <v>0</v>
      </c>
      <c r="Q30" s="46" t="n">
        <f aca="false">(Q28*Inputs!$B$219+Q29*Inputs!$B$220)*Inputs!$H$217</f>
        <v>0</v>
      </c>
      <c r="R30" s="46" t="n">
        <f aca="false">(R28*Inputs!$B$219+R29*Inputs!$B$220)*Inputs!$H$217</f>
        <v>0</v>
      </c>
      <c r="S30" s="46" t="n">
        <f aca="false">(S28*Inputs!$B$219+S29*Inputs!$B$220)*Inputs!$H$217</f>
        <v>0</v>
      </c>
      <c r="T30" s="46" t="n">
        <f aca="false">(T28*Inputs!$B$219+T29*Inputs!$B$220)*Inputs!$H$217</f>
        <v>0</v>
      </c>
      <c r="U30" s="46" t="n">
        <f aca="false">(U28*Inputs!$B$219+U29*Inputs!$B$220)*Inputs!$H$217</f>
        <v>0</v>
      </c>
      <c r="V30" s="46" t="n">
        <f aca="false">(V28*Inputs!$B$219+V29*Inputs!$B$220)*Inputs!$H$217</f>
        <v>0</v>
      </c>
      <c r="W30" s="46" t="n">
        <f aca="false">(W28*Inputs!$B$219+W29*Inputs!$B$220)*Inputs!$H$217</f>
        <v>0</v>
      </c>
      <c r="X30" s="46" t="n">
        <f aca="false">(X28*Inputs!$B$219+X29*Inputs!$B$220)*Inputs!$H$217</f>
        <v>0</v>
      </c>
      <c r="Y30" s="46" t="n">
        <f aca="false">(Y28*Inputs!$B$219+Y29*Inputs!$B$220)*Inputs!$H$217</f>
        <v>0</v>
      </c>
      <c r="Z30" s="46" t="n">
        <f aca="false">(Z28*Inputs!$B$219+Z29*Inputs!$B$220)*Inputs!$H$217</f>
        <v>0</v>
      </c>
      <c r="AA30" s="46" t="n">
        <f aca="false">(AA28*Inputs!$B$219+AA29*Inputs!$B$220)*Inputs!$H$217</f>
        <v>0</v>
      </c>
      <c r="AB30" s="46" t="n">
        <f aca="false">(AB28*Inputs!$B$219+AB29*Inputs!$B$220)*Inputs!$H$217</f>
        <v>0</v>
      </c>
      <c r="AC30" s="46" t="n">
        <f aca="false">(AC28*Inputs!$B$219+AC29*Inputs!$B$220)*Inputs!$H$217</f>
        <v>0</v>
      </c>
      <c r="AD30" s="46" t="n">
        <f aca="false">(AD28*Inputs!$B$219+AD29*Inputs!$B$220)*Inputs!$H$217</f>
        <v>0</v>
      </c>
      <c r="AE30" s="46" t="n">
        <f aca="false">(AE28*Inputs!$B$219+AE29*Inputs!$B$220)*Inputs!$H$217</f>
        <v>0</v>
      </c>
      <c r="AF30" s="46" t="n">
        <f aca="false">(AF28*Inputs!$B$219+AF29*Inputs!$B$220)*Inputs!$H$217</f>
        <v>0</v>
      </c>
      <c r="AG30" s="46" t="n">
        <f aca="false">(AG28*Inputs!$B$219+AG29*Inputs!$B$220)*Inputs!$H$217</f>
        <v>0</v>
      </c>
      <c r="AH30" s="46" t="n">
        <f aca="false">(AH28*Inputs!$B$219+AH29*Inputs!$B$220)*Inputs!$H$217</f>
        <v>0</v>
      </c>
      <c r="AI30" s="46" t="n">
        <f aca="false">(AI28*Inputs!$B$219+AI29*Inputs!$B$220)*Inputs!$H$217</f>
        <v>0</v>
      </c>
      <c r="AJ30" s="46" t="n">
        <f aca="false">(AJ28*Inputs!$B$219+AJ29*Inputs!$B$220)*Inputs!$H$217</f>
        <v>0</v>
      </c>
      <c r="AK30" s="46" t="n">
        <f aca="false">(AK28*Inputs!$B$219+AK29*Inputs!$B$220)*Inputs!$H$217</f>
        <v>0</v>
      </c>
      <c r="AL30" s="46" t="n">
        <f aca="false">(AL28*Inputs!$B$219+AL29*Inputs!$B$220)*Inputs!$H$217</f>
        <v>0</v>
      </c>
      <c r="AM30" s="46" t="n">
        <f aca="false">(AM28*Inputs!$B$219+AM29*Inputs!$B$220)*Inputs!$H$217</f>
        <v>0</v>
      </c>
      <c r="AN30" s="46" t="n">
        <f aca="false">SUM(D30:AM30)</f>
        <v>0</v>
      </c>
      <c r="AO30" s="46" t="n">
        <f aca="false">SUM(D30:O30)</f>
        <v>0</v>
      </c>
      <c r="AP30" s="46" t="n">
        <f aca="false">SUM(P30:AA30)</f>
        <v>0</v>
      </c>
      <c r="AQ30" s="46" t="n">
        <f aca="false">SUM(AB30:AM30)</f>
        <v>0</v>
      </c>
    </row>
    <row r="31" customFormat="false" ht="15" hidden="false" customHeight="false" outlineLevel="0" collapsed="false">
      <c r="A31" s="23" t="s">
        <v>869</v>
      </c>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row>
    <row r="32" customFormat="false" ht="15" hidden="false" customHeight="false" outlineLevel="0" collapsed="false">
      <c r="A32" s="17" t="s">
        <v>870</v>
      </c>
      <c r="B32" s="17" t="s">
        <v>103</v>
      </c>
      <c r="D32" s="45" t="n">
        <f aca="false">IF(AND(D$5&gt;=Inputs!$B$223,D$5&lt;Inputs!$B$223+Inputs!$B$208),Inputs!$B$207,1)</f>
        <v>1</v>
      </c>
      <c r="E32" s="45" t="n">
        <f aca="false">IF(AND(E$5&gt;=Inputs!$B$223,E$5&lt;Inputs!$B$223+Inputs!$B$208),Inputs!$B$207,1)</f>
        <v>1</v>
      </c>
      <c r="F32" s="45" t="n">
        <f aca="false">IF(AND(F$5&gt;=Inputs!$B$223,F$5&lt;Inputs!$B$223+Inputs!$B$208),Inputs!$B$207,1)</f>
        <v>1</v>
      </c>
      <c r="G32" s="45" t="n">
        <f aca="false">IF(AND(G$5&gt;=Inputs!$B$223,G$5&lt;Inputs!$B$223+Inputs!$B$208),Inputs!$B$207,1)</f>
        <v>1</v>
      </c>
      <c r="H32" s="45" t="n">
        <f aca="false">IF(AND(H$5&gt;=Inputs!$B$223,H$5&lt;Inputs!$B$223+Inputs!$B$208),Inputs!$B$207,1)</f>
        <v>1</v>
      </c>
      <c r="I32" s="45" t="n">
        <f aca="false">IF(AND(I$5&gt;=Inputs!$B$223,I$5&lt;Inputs!$B$223+Inputs!$B$208),Inputs!$B$207,1)</f>
        <v>1</v>
      </c>
      <c r="J32" s="45" t="n">
        <f aca="false">IF(AND(J$5&gt;=Inputs!$B$223,J$5&lt;Inputs!$B$223+Inputs!$B$208),Inputs!$B$207,1)</f>
        <v>1</v>
      </c>
      <c r="K32" s="45" t="n">
        <f aca="false">IF(AND(K$5&gt;=Inputs!$B$223,K$5&lt;Inputs!$B$223+Inputs!$B$208),Inputs!$B$207,1)</f>
        <v>1</v>
      </c>
      <c r="L32" s="45" t="n">
        <f aca="false">IF(AND(L$5&gt;=Inputs!$B$223,L$5&lt;Inputs!$B$223+Inputs!$B$208),Inputs!$B$207,1)</f>
        <v>1</v>
      </c>
      <c r="M32" s="45" t="n">
        <f aca="false">IF(AND(M$5&gt;=Inputs!$B$223,M$5&lt;Inputs!$B$223+Inputs!$B$208),Inputs!$B$207,1)</f>
        <v>1</v>
      </c>
      <c r="N32" s="45" t="n">
        <f aca="false">IF(AND(N$5&gt;=Inputs!$B$223,N$5&lt;Inputs!$B$223+Inputs!$B$208),Inputs!$B$207,1)</f>
        <v>1</v>
      </c>
      <c r="O32" s="45" t="n">
        <f aca="false">IF(AND(O$5&gt;=Inputs!$B$223,O$5&lt;Inputs!$B$223+Inputs!$B$208),Inputs!$B$207,1)</f>
        <v>1</v>
      </c>
      <c r="P32" s="45" t="n">
        <f aca="false">IF(AND(P$5&gt;=Inputs!$B$223,P$5&lt;Inputs!$B$223+Inputs!$B$208),Inputs!$B$207,1)</f>
        <v>1</v>
      </c>
      <c r="Q32" s="45" t="n">
        <f aca="false">IF(AND(Q$5&gt;=Inputs!$B$223,Q$5&lt;Inputs!$B$223+Inputs!$B$208),Inputs!$B$207,1)</f>
        <v>1</v>
      </c>
      <c r="R32" s="45" t="n">
        <f aca="false">IF(AND(R$5&gt;=Inputs!$B$223,R$5&lt;Inputs!$B$223+Inputs!$B$208),Inputs!$B$207,1)</f>
        <v>1</v>
      </c>
      <c r="S32" s="45" t="n">
        <f aca="false">IF(AND(S$5&gt;=Inputs!$B$223,S$5&lt;Inputs!$B$223+Inputs!$B$208),Inputs!$B$207,1)</f>
        <v>1</v>
      </c>
      <c r="T32" s="45" t="n">
        <f aca="false">IF(AND(T$5&gt;=Inputs!$B$223,T$5&lt;Inputs!$B$223+Inputs!$B$208),Inputs!$B$207,1)</f>
        <v>1</v>
      </c>
      <c r="U32" s="45" t="n">
        <f aca="false">IF(AND(U$5&gt;=Inputs!$B$223,U$5&lt;Inputs!$B$223+Inputs!$B$208),Inputs!$B$207,1)</f>
        <v>1</v>
      </c>
      <c r="V32" s="45" t="n">
        <f aca="false">IF(AND(V$5&gt;=Inputs!$B$223,V$5&lt;Inputs!$B$223+Inputs!$B$208),Inputs!$B$207,1)</f>
        <v>0.6</v>
      </c>
      <c r="W32" s="45" t="n">
        <f aca="false">IF(AND(W$5&gt;=Inputs!$B$223,W$5&lt;Inputs!$B$223+Inputs!$B$208),Inputs!$B$207,1)</f>
        <v>0.6</v>
      </c>
      <c r="X32" s="45" t="n">
        <f aca="false">IF(AND(X$5&gt;=Inputs!$B$223,X$5&lt;Inputs!$B$223+Inputs!$B$208),Inputs!$B$207,1)</f>
        <v>0.6</v>
      </c>
      <c r="Y32" s="45" t="n">
        <f aca="false">IF(AND(Y$5&gt;=Inputs!$B$223,Y$5&lt;Inputs!$B$223+Inputs!$B$208),Inputs!$B$207,1)</f>
        <v>0.6</v>
      </c>
      <c r="Z32" s="45" t="n">
        <f aca="false">IF(AND(Z$5&gt;=Inputs!$B$223,Z$5&lt;Inputs!$B$223+Inputs!$B$208),Inputs!$B$207,1)</f>
        <v>1</v>
      </c>
      <c r="AA32" s="45" t="n">
        <f aca="false">IF(AND(AA$5&gt;=Inputs!$B$223,AA$5&lt;Inputs!$B$223+Inputs!$B$208),Inputs!$B$207,1)</f>
        <v>1</v>
      </c>
      <c r="AB32" s="45" t="n">
        <f aca="false">IF(AND(AB$5&gt;=Inputs!$B$223,AB$5&lt;Inputs!$B$223+Inputs!$B$208),Inputs!$B$207,1)</f>
        <v>1</v>
      </c>
      <c r="AC32" s="45" t="n">
        <f aca="false">IF(AND(AC$5&gt;=Inputs!$B$223,AC$5&lt;Inputs!$B$223+Inputs!$B$208),Inputs!$B$207,1)</f>
        <v>1</v>
      </c>
      <c r="AD32" s="45" t="n">
        <f aca="false">IF(AND(AD$5&gt;=Inputs!$B$223,AD$5&lt;Inputs!$B$223+Inputs!$B$208),Inputs!$B$207,1)</f>
        <v>1</v>
      </c>
      <c r="AE32" s="45" t="n">
        <f aca="false">IF(AND(AE$5&gt;=Inputs!$B$223,AE$5&lt;Inputs!$B$223+Inputs!$B$208),Inputs!$B$207,1)</f>
        <v>1</v>
      </c>
      <c r="AF32" s="45" t="n">
        <f aca="false">IF(AND(AF$5&gt;=Inputs!$B$223,AF$5&lt;Inputs!$B$223+Inputs!$B$208),Inputs!$B$207,1)</f>
        <v>1</v>
      </c>
      <c r="AG32" s="45" t="n">
        <f aca="false">IF(AND(AG$5&gt;=Inputs!$B$223,AG$5&lt;Inputs!$B$223+Inputs!$B$208),Inputs!$B$207,1)</f>
        <v>1</v>
      </c>
      <c r="AH32" s="45" t="n">
        <f aca="false">IF(AND(AH$5&gt;=Inputs!$B$223,AH$5&lt;Inputs!$B$223+Inputs!$B$208),Inputs!$B$207,1)</f>
        <v>1</v>
      </c>
      <c r="AI32" s="45" t="n">
        <f aca="false">IF(AND(AI$5&gt;=Inputs!$B$223,AI$5&lt;Inputs!$B$223+Inputs!$B$208),Inputs!$B$207,1)</f>
        <v>1</v>
      </c>
      <c r="AJ32" s="45" t="n">
        <f aca="false">IF(AND(AJ$5&gt;=Inputs!$B$223,AJ$5&lt;Inputs!$B$223+Inputs!$B$208),Inputs!$B$207,1)</f>
        <v>1</v>
      </c>
      <c r="AK32" s="45" t="n">
        <f aca="false">IF(AND(AK$5&gt;=Inputs!$B$223,AK$5&lt;Inputs!$B$223+Inputs!$B$208),Inputs!$B$207,1)</f>
        <v>1</v>
      </c>
      <c r="AL32" s="45" t="n">
        <f aca="false">IF(AND(AL$5&gt;=Inputs!$B$223,AL$5&lt;Inputs!$B$223+Inputs!$B$208),Inputs!$B$207,1)</f>
        <v>1</v>
      </c>
      <c r="AM32" s="45" t="n">
        <f aca="false">IF(AND(AM$5&gt;=Inputs!$B$223,AM$5&lt;Inputs!$B$223+Inputs!$B$208),Inputs!$B$207,1)</f>
        <v>1</v>
      </c>
    </row>
    <row r="33" customFormat="false" ht="15" hidden="false" customHeight="false" outlineLevel="0" collapsed="false">
      <c r="A33" s="17" t="s">
        <v>871</v>
      </c>
      <c r="B33" s="17" t="s">
        <v>872</v>
      </c>
      <c r="D33" s="50" t="n">
        <f aca="false">D26*Inputs!$H$195*Inputs!$B$209*D32</f>
        <v>0</v>
      </c>
      <c r="E33" s="50" t="n">
        <f aca="false">E26*Inputs!$H$195*Inputs!$B$209*E32</f>
        <v>0</v>
      </c>
      <c r="F33" s="50" t="n">
        <f aca="false">F26*Inputs!$H$195*Inputs!$B$209*F32</f>
        <v>0</v>
      </c>
      <c r="G33" s="50" t="n">
        <f aca="false">G26*Inputs!$H$195*Inputs!$B$209*G32</f>
        <v>0</v>
      </c>
      <c r="H33" s="50" t="n">
        <f aca="false">H26*Inputs!$H$195*Inputs!$B$209*H32</f>
        <v>0</v>
      </c>
      <c r="I33" s="50" t="n">
        <f aca="false">I26*Inputs!$H$195*Inputs!$B$209*I32</f>
        <v>0</v>
      </c>
      <c r="J33" s="50" t="n">
        <f aca="false">J26*Inputs!$H$195*Inputs!$B$209*J32</f>
        <v>0</v>
      </c>
      <c r="K33" s="50" t="n">
        <f aca="false">K26*Inputs!$H$195*Inputs!$B$209*K32</f>
        <v>0</v>
      </c>
      <c r="L33" s="50" t="n">
        <f aca="false">L26*Inputs!$H$195*Inputs!$B$209*L32</f>
        <v>0</v>
      </c>
      <c r="M33" s="50" t="n">
        <f aca="false">M26*Inputs!$H$195*Inputs!$B$209*M32</f>
        <v>0</v>
      </c>
      <c r="N33" s="50" t="n">
        <f aca="false">N26*Inputs!$H$195*Inputs!$B$209*N32</f>
        <v>0</v>
      </c>
      <c r="O33" s="50" t="n">
        <f aca="false">O26*Inputs!$H$195*Inputs!$B$209*O32</f>
        <v>0</v>
      </c>
      <c r="P33" s="50" t="n">
        <f aca="false">P26*Inputs!$H$195*Inputs!$B$209*P32</f>
        <v>0</v>
      </c>
      <c r="Q33" s="50" t="n">
        <f aca="false">Q26*Inputs!$H$195*Inputs!$B$209*Q32</f>
        <v>0</v>
      </c>
      <c r="R33" s="50" t="n">
        <f aca="false">R26*Inputs!$H$195*Inputs!$B$209*R32</f>
        <v>0</v>
      </c>
      <c r="S33" s="50" t="n">
        <f aca="false">S26*Inputs!$H$195*Inputs!$B$209*S32</f>
        <v>0</v>
      </c>
      <c r="T33" s="50" t="n">
        <f aca="false">T26*Inputs!$H$195*Inputs!$B$209*T32</f>
        <v>0</v>
      </c>
      <c r="U33" s="50" t="n">
        <f aca="false">U26*Inputs!$H$195*Inputs!$B$209*U32</f>
        <v>0</v>
      </c>
      <c r="V33" s="50" t="n">
        <f aca="false">V26*Inputs!$H$195*Inputs!$B$209*V32</f>
        <v>0</v>
      </c>
      <c r="W33" s="50" t="n">
        <f aca="false">W26*Inputs!$H$195*Inputs!$B$209*W32</f>
        <v>0</v>
      </c>
      <c r="X33" s="50" t="n">
        <f aca="false">X26*Inputs!$H$195*Inputs!$B$209*X32</f>
        <v>0</v>
      </c>
      <c r="Y33" s="50" t="n">
        <f aca="false">Y26*Inputs!$H$195*Inputs!$B$209*Y32</f>
        <v>0</v>
      </c>
      <c r="Z33" s="50" t="n">
        <f aca="false">Z26*Inputs!$H$195*Inputs!$B$209*Z32</f>
        <v>0</v>
      </c>
      <c r="AA33" s="50" t="n">
        <f aca="false">AA26*Inputs!$H$195*Inputs!$B$209*AA32</f>
        <v>0</v>
      </c>
      <c r="AB33" s="50" t="n">
        <f aca="false">AB26*Inputs!$H$195*Inputs!$B$209*AB32</f>
        <v>0</v>
      </c>
      <c r="AC33" s="50" t="n">
        <f aca="false">AC26*Inputs!$H$195*Inputs!$B$209*AC32</f>
        <v>0</v>
      </c>
      <c r="AD33" s="50" t="n">
        <f aca="false">AD26*Inputs!$H$195*Inputs!$B$209*AD32</f>
        <v>0</v>
      </c>
      <c r="AE33" s="50" t="n">
        <f aca="false">AE26*Inputs!$H$195*Inputs!$B$209*AE32</f>
        <v>0</v>
      </c>
      <c r="AF33" s="50" t="n">
        <f aca="false">AF26*Inputs!$H$195*Inputs!$B$209*AF32</f>
        <v>0</v>
      </c>
      <c r="AG33" s="50" t="n">
        <f aca="false">AG26*Inputs!$H$195*Inputs!$B$209*AG32</f>
        <v>0</v>
      </c>
      <c r="AH33" s="50" t="n">
        <f aca="false">AH26*Inputs!$H$195*Inputs!$B$209*AH32</f>
        <v>0</v>
      </c>
      <c r="AI33" s="50" t="n">
        <f aca="false">AI26*Inputs!$H$195*Inputs!$B$209*AI32</f>
        <v>0</v>
      </c>
      <c r="AJ33" s="50" t="n">
        <f aca="false">AJ26*Inputs!$H$195*Inputs!$B$209*AJ32</f>
        <v>0</v>
      </c>
      <c r="AK33" s="50" t="n">
        <f aca="false">AK26*Inputs!$H$195*Inputs!$B$209*AK32</f>
        <v>0</v>
      </c>
      <c r="AL33" s="50" t="n">
        <f aca="false">AL26*Inputs!$H$195*Inputs!$B$209*AL32</f>
        <v>0</v>
      </c>
      <c r="AM33" s="50" t="n">
        <f aca="false">AM26*Inputs!$H$195*Inputs!$B$209*AM32</f>
        <v>0</v>
      </c>
      <c r="AN33" s="50" t="n">
        <f aca="false">SUM(D33:AM33)</f>
        <v>0</v>
      </c>
      <c r="AO33" s="50" t="n">
        <f aca="false">SUM(D33:O33)</f>
        <v>0</v>
      </c>
      <c r="AP33" s="50" t="n">
        <f aca="false">SUM(P33:AA33)</f>
        <v>0</v>
      </c>
      <c r="AQ33" s="50" t="n">
        <f aca="false">SUM(AB33:AM33)</f>
        <v>0</v>
      </c>
    </row>
    <row r="34" customFormat="false" ht="15" hidden="false" customHeight="false" outlineLevel="0" collapsed="false">
      <c r="A34" s="3" t="s">
        <v>873</v>
      </c>
      <c r="B34" s="17" t="s">
        <v>61</v>
      </c>
      <c r="D34" s="8" t="n">
        <f aca="false">D33*$B$7</f>
        <v>0</v>
      </c>
      <c r="E34" s="8" t="n">
        <f aca="false">E33*$B$7</f>
        <v>0</v>
      </c>
      <c r="F34" s="8" t="n">
        <f aca="false">F33*$B$7</f>
        <v>0</v>
      </c>
      <c r="G34" s="8" t="n">
        <f aca="false">G33*$B$7</f>
        <v>0</v>
      </c>
      <c r="H34" s="8" t="n">
        <f aca="false">H33*$B$7</f>
        <v>0</v>
      </c>
      <c r="I34" s="8" t="n">
        <f aca="false">I33*$B$7</f>
        <v>0</v>
      </c>
      <c r="J34" s="8" t="n">
        <f aca="false">J33*$B$7</f>
        <v>0</v>
      </c>
      <c r="K34" s="8" t="n">
        <f aca="false">K33*$B$7</f>
        <v>0</v>
      </c>
      <c r="L34" s="8" t="n">
        <f aca="false">L33*$B$7</f>
        <v>0</v>
      </c>
      <c r="M34" s="8" t="n">
        <f aca="false">M33*$B$7</f>
        <v>0</v>
      </c>
      <c r="N34" s="8" t="n">
        <f aca="false">N33*$B$7</f>
        <v>0</v>
      </c>
      <c r="O34" s="8" t="n">
        <f aca="false">O33*$B$7</f>
        <v>0</v>
      </c>
      <c r="P34" s="8" t="n">
        <f aca="false">P33*$B$7</f>
        <v>0</v>
      </c>
      <c r="Q34" s="8" t="n">
        <f aca="false">Q33*$B$7</f>
        <v>0</v>
      </c>
      <c r="R34" s="8" t="n">
        <f aca="false">R33*$B$7</f>
        <v>0</v>
      </c>
      <c r="S34" s="8" t="n">
        <f aca="false">S33*$B$7</f>
        <v>0</v>
      </c>
      <c r="T34" s="8" t="n">
        <f aca="false">T33*$B$7</f>
        <v>0</v>
      </c>
      <c r="U34" s="8" t="n">
        <f aca="false">U33*$B$7</f>
        <v>0</v>
      </c>
      <c r="V34" s="8" t="n">
        <f aca="false">V33*$B$7</f>
        <v>0</v>
      </c>
      <c r="W34" s="8" t="n">
        <f aca="false">W33*$B$7</f>
        <v>0</v>
      </c>
      <c r="X34" s="8" t="n">
        <f aca="false">X33*$B$7</f>
        <v>0</v>
      </c>
      <c r="Y34" s="8" t="n">
        <f aca="false">Y33*$B$7</f>
        <v>0</v>
      </c>
      <c r="Z34" s="8" t="n">
        <f aca="false">Z33*$B$7</f>
        <v>0</v>
      </c>
      <c r="AA34" s="8" t="n">
        <f aca="false">AA33*$B$7</f>
        <v>0</v>
      </c>
      <c r="AB34" s="8" t="n">
        <f aca="false">AB33*$B$7</f>
        <v>0</v>
      </c>
      <c r="AC34" s="8" t="n">
        <f aca="false">AC33*$B$7</f>
        <v>0</v>
      </c>
      <c r="AD34" s="8" t="n">
        <f aca="false">AD33*$B$7</f>
        <v>0</v>
      </c>
      <c r="AE34" s="8" t="n">
        <f aca="false">AE33*$B$7</f>
        <v>0</v>
      </c>
      <c r="AF34" s="8" t="n">
        <f aca="false">AF33*$B$7</f>
        <v>0</v>
      </c>
      <c r="AG34" s="8" t="n">
        <f aca="false">AG33*$B$7</f>
        <v>0</v>
      </c>
      <c r="AH34" s="8" t="n">
        <f aca="false">AH33*$B$7</f>
        <v>0</v>
      </c>
      <c r="AI34" s="8" t="n">
        <f aca="false">AI33*$B$7</f>
        <v>0</v>
      </c>
      <c r="AJ34" s="8" t="n">
        <f aca="false">AJ33*$B$7</f>
        <v>0</v>
      </c>
      <c r="AK34" s="8" t="n">
        <f aca="false">AK33*$B$7</f>
        <v>0</v>
      </c>
      <c r="AL34" s="8" t="n">
        <f aca="false">AL33*$B$7</f>
        <v>0</v>
      </c>
      <c r="AM34" s="8" t="n">
        <f aca="false">AM33*$B$7</f>
        <v>0</v>
      </c>
      <c r="AN34" s="8" t="n">
        <f aca="false">SUM(D34:AM34)</f>
        <v>0</v>
      </c>
      <c r="AO34" s="8" t="n">
        <f aca="false">SUM(D34:O34)</f>
        <v>0</v>
      </c>
      <c r="AP34" s="8" t="n">
        <f aca="false">SUM(P34:AA34)</f>
        <v>0</v>
      </c>
      <c r="AQ34" s="8" t="n">
        <f aca="false">SUM(AB34:AM34)</f>
        <v>0</v>
      </c>
    </row>
    <row r="35" customFormat="false" ht="15" hidden="false" customHeight="false" outlineLevel="0" collapsed="false">
      <c r="A35" s="17" t="s">
        <v>874</v>
      </c>
      <c r="B35" s="17" t="s">
        <v>61</v>
      </c>
      <c r="D35" s="46" t="n">
        <f aca="false">-D34*Inputs!$H$196</f>
        <v>-0</v>
      </c>
      <c r="E35" s="46" t="n">
        <f aca="false">-E34*Inputs!$H$196</f>
        <v>-0</v>
      </c>
      <c r="F35" s="46" t="n">
        <f aca="false">-F34*Inputs!$H$196</f>
        <v>-0</v>
      </c>
      <c r="G35" s="46" t="n">
        <f aca="false">-G34*Inputs!$H$196</f>
        <v>-0</v>
      </c>
      <c r="H35" s="46" t="n">
        <f aca="false">-H34*Inputs!$H$196</f>
        <v>-0</v>
      </c>
      <c r="I35" s="46" t="n">
        <f aca="false">-I34*Inputs!$H$196</f>
        <v>-0</v>
      </c>
      <c r="J35" s="46" t="n">
        <f aca="false">-J34*Inputs!$H$196</f>
        <v>-0</v>
      </c>
      <c r="K35" s="46" t="n">
        <f aca="false">-K34*Inputs!$H$196</f>
        <v>-0</v>
      </c>
      <c r="L35" s="46" t="n">
        <f aca="false">-L34*Inputs!$H$196</f>
        <v>-0</v>
      </c>
      <c r="M35" s="46" t="n">
        <f aca="false">-M34*Inputs!$H$196</f>
        <v>-0</v>
      </c>
      <c r="N35" s="46" t="n">
        <f aca="false">-N34*Inputs!$H$196</f>
        <v>-0</v>
      </c>
      <c r="O35" s="46" t="n">
        <f aca="false">-O34*Inputs!$H$196</f>
        <v>-0</v>
      </c>
      <c r="P35" s="46" t="n">
        <f aca="false">-P34*Inputs!$H$196</f>
        <v>-0</v>
      </c>
      <c r="Q35" s="46" t="n">
        <f aca="false">-Q34*Inputs!$H$196</f>
        <v>-0</v>
      </c>
      <c r="R35" s="46" t="n">
        <f aca="false">-R34*Inputs!$H$196</f>
        <v>-0</v>
      </c>
      <c r="S35" s="46" t="n">
        <f aca="false">-S34*Inputs!$H$196</f>
        <v>-0</v>
      </c>
      <c r="T35" s="46" t="n">
        <f aca="false">-T34*Inputs!$H$196</f>
        <v>-0</v>
      </c>
      <c r="U35" s="46" t="n">
        <f aca="false">-U34*Inputs!$H$196</f>
        <v>-0</v>
      </c>
      <c r="V35" s="46" t="n">
        <f aca="false">-V34*Inputs!$H$196</f>
        <v>-0</v>
      </c>
      <c r="W35" s="46" t="n">
        <f aca="false">-W34*Inputs!$H$196</f>
        <v>-0</v>
      </c>
      <c r="X35" s="46" t="n">
        <f aca="false">-X34*Inputs!$H$196</f>
        <v>-0</v>
      </c>
      <c r="Y35" s="46" t="n">
        <f aca="false">-Y34*Inputs!$H$196</f>
        <v>-0</v>
      </c>
      <c r="Z35" s="46" t="n">
        <f aca="false">-Z34*Inputs!$H$196</f>
        <v>-0</v>
      </c>
      <c r="AA35" s="46" t="n">
        <f aca="false">-AA34*Inputs!$H$196</f>
        <v>-0</v>
      </c>
      <c r="AB35" s="46" t="n">
        <f aca="false">-AB34*Inputs!$H$196</f>
        <v>-0</v>
      </c>
      <c r="AC35" s="46" t="n">
        <f aca="false">-AC34*Inputs!$H$196</f>
        <v>-0</v>
      </c>
      <c r="AD35" s="46" t="n">
        <f aca="false">-AD34*Inputs!$H$196</f>
        <v>-0</v>
      </c>
      <c r="AE35" s="46" t="n">
        <f aca="false">-AE34*Inputs!$H$196</f>
        <v>-0</v>
      </c>
      <c r="AF35" s="46" t="n">
        <f aca="false">-AF34*Inputs!$H$196</f>
        <v>-0</v>
      </c>
      <c r="AG35" s="46" t="n">
        <f aca="false">-AG34*Inputs!$H$196</f>
        <v>-0</v>
      </c>
      <c r="AH35" s="46" t="n">
        <f aca="false">-AH34*Inputs!$H$196</f>
        <v>-0</v>
      </c>
      <c r="AI35" s="46" t="n">
        <f aca="false">-AI34*Inputs!$H$196</f>
        <v>-0</v>
      </c>
      <c r="AJ35" s="46" t="n">
        <f aca="false">-AJ34*Inputs!$H$196</f>
        <v>-0</v>
      </c>
      <c r="AK35" s="46" t="n">
        <f aca="false">-AK34*Inputs!$H$196</f>
        <v>-0</v>
      </c>
      <c r="AL35" s="46" t="n">
        <f aca="false">-AL34*Inputs!$H$196</f>
        <v>-0</v>
      </c>
      <c r="AM35" s="46" t="n">
        <f aca="false">-AM34*Inputs!$H$196</f>
        <v>-0</v>
      </c>
      <c r="AN35" s="46" t="n">
        <f aca="false">SUM(D35:AM35)</f>
        <v>0</v>
      </c>
      <c r="AO35" s="46" t="n">
        <f aca="false">SUM(D35:O35)</f>
        <v>0</v>
      </c>
      <c r="AP35" s="46" t="n">
        <f aca="false">SUM(P35:AA35)</f>
        <v>0</v>
      </c>
      <c r="AQ35" s="46" t="n">
        <f aca="false">SUM(AB35:AM35)</f>
        <v>0</v>
      </c>
    </row>
    <row r="36" customFormat="false" ht="15" hidden="false" customHeight="false" outlineLevel="0" collapsed="false">
      <c r="A36" s="17" t="s">
        <v>875</v>
      </c>
      <c r="B36" s="17" t="s">
        <v>61</v>
      </c>
      <c r="D36" s="46" t="n">
        <f aca="false">-(D34*Inputs!$H$197+D33*Inputs!$H$198)</f>
        <v>-0</v>
      </c>
      <c r="E36" s="46" t="n">
        <f aca="false">-(E34*Inputs!$H$197+E33*Inputs!$H$198)</f>
        <v>-0</v>
      </c>
      <c r="F36" s="46" t="n">
        <f aca="false">-(F34*Inputs!$H$197+F33*Inputs!$H$198)</f>
        <v>-0</v>
      </c>
      <c r="G36" s="46" t="n">
        <f aca="false">-(G34*Inputs!$H$197+G33*Inputs!$H$198)</f>
        <v>-0</v>
      </c>
      <c r="H36" s="46" t="n">
        <f aca="false">-(H34*Inputs!$H$197+H33*Inputs!$H$198)</f>
        <v>-0</v>
      </c>
      <c r="I36" s="46" t="n">
        <f aca="false">-(I34*Inputs!$H$197+I33*Inputs!$H$198)</f>
        <v>-0</v>
      </c>
      <c r="J36" s="46" t="n">
        <f aca="false">-(J34*Inputs!$H$197+J33*Inputs!$H$198)</f>
        <v>-0</v>
      </c>
      <c r="K36" s="46" t="n">
        <f aca="false">-(K34*Inputs!$H$197+K33*Inputs!$H$198)</f>
        <v>-0</v>
      </c>
      <c r="L36" s="46" t="n">
        <f aca="false">-(L34*Inputs!$H$197+L33*Inputs!$H$198)</f>
        <v>-0</v>
      </c>
      <c r="M36" s="46" t="n">
        <f aca="false">-(M34*Inputs!$H$197+M33*Inputs!$H$198)</f>
        <v>-0</v>
      </c>
      <c r="N36" s="46" t="n">
        <f aca="false">-(N34*Inputs!$H$197+N33*Inputs!$H$198)</f>
        <v>-0</v>
      </c>
      <c r="O36" s="46" t="n">
        <f aca="false">-(O34*Inputs!$H$197+O33*Inputs!$H$198)</f>
        <v>-0</v>
      </c>
      <c r="P36" s="46" t="n">
        <f aca="false">-(P34*Inputs!$H$197+P33*Inputs!$H$198)</f>
        <v>-0</v>
      </c>
      <c r="Q36" s="46" t="n">
        <f aca="false">-(Q34*Inputs!$H$197+Q33*Inputs!$H$198)</f>
        <v>-0</v>
      </c>
      <c r="R36" s="46" t="n">
        <f aca="false">-(R34*Inputs!$H$197+R33*Inputs!$H$198)</f>
        <v>-0</v>
      </c>
      <c r="S36" s="46" t="n">
        <f aca="false">-(S34*Inputs!$H$197+S33*Inputs!$H$198)</f>
        <v>-0</v>
      </c>
      <c r="T36" s="46" t="n">
        <f aca="false">-(T34*Inputs!$H$197+T33*Inputs!$H$198)</f>
        <v>-0</v>
      </c>
      <c r="U36" s="46" t="n">
        <f aca="false">-(U34*Inputs!$H$197+U33*Inputs!$H$198)</f>
        <v>-0</v>
      </c>
      <c r="V36" s="46" t="n">
        <f aca="false">-(V34*Inputs!$H$197+V33*Inputs!$H$198)</f>
        <v>-0</v>
      </c>
      <c r="W36" s="46" t="n">
        <f aca="false">-(W34*Inputs!$H$197+W33*Inputs!$H$198)</f>
        <v>-0</v>
      </c>
      <c r="X36" s="46" t="n">
        <f aca="false">-(X34*Inputs!$H$197+X33*Inputs!$H$198)</f>
        <v>-0</v>
      </c>
      <c r="Y36" s="46" t="n">
        <f aca="false">-(Y34*Inputs!$H$197+Y33*Inputs!$H$198)</f>
        <v>-0</v>
      </c>
      <c r="Z36" s="46" t="n">
        <f aca="false">-(Z34*Inputs!$H$197+Z33*Inputs!$H$198)</f>
        <v>-0</v>
      </c>
      <c r="AA36" s="46" t="n">
        <f aca="false">-(AA34*Inputs!$H$197+AA33*Inputs!$H$198)</f>
        <v>-0</v>
      </c>
      <c r="AB36" s="46" t="n">
        <f aca="false">-(AB34*Inputs!$H$197+AB33*Inputs!$H$198)</f>
        <v>-0</v>
      </c>
      <c r="AC36" s="46" t="n">
        <f aca="false">-(AC34*Inputs!$H$197+AC33*Inputs!$H$198)</f>
        <v>-0</v>
      </c>
      <c r="AD36" s="46" t="n">
        <f aca="false">-(AD34*Inputs!$H$197+AD33*Inputs!$H$198)</f>
        <v>-0</v>
      </c>
      <c r="AE36" s="46" t="n">
        <f aca="false">-(AE34*Inputs!$H$197+AE33*Inputs!$H$198)</f>
        <v>-0</v>
      </c>
      <c r="AF36" s="46" t="n">
        <f aca="false">-(AF34*Inputs!$H$197+AF33*Inputs!$H$198)</f>
        <v>-0</v>
      </c>
      <c r="AG36" s="46" t="n">
        <f aca="false">-(AG34*Inputs!$H$197+AG33*Inputs!$H$198)</f>
        <v>-0</v>
      </c>
      <c r="AH36" s="46" t="n">
        <f aca="false">-(AH34*Inputs!$H$197+AH33*Inputs!$H$198)</f>
        <v>-0</v>
      </c>
      <c r="AI36" s="46" t="n">
        <f aca="false">-(AI34*Inputs!$H$197+AI33*Inputs!$H$198)</f>
        <v>-0</v>
      </c>
      <c r="AJ36" s="46" t="n">
        <f aca="false">-(AJ34*Inputs!$H$197+AJ33*Inputs!$H$198)</f>
        <v>-0</v>
      </c>
      <c r="AK36" s="46" t="n">
        <f aca="false">-(AK34*Inputs!$H$197+AK33*Inputs!$H$198)</f>
        <v>-0</v>
      </c>
      <c r="AL36" s="46" t="n">
        <f aca="false">-(AL34*Inputs!$H$197+AL33*Inputs!$H$198)</f>
        <v>-0</v>
      </c>
      <c r="AM36" s="46" t="n">
        <f aca="false">-(AM34*Inputs!$H$197+AM33*Inputs!$H$198)</f>
        <v>-0</v>
      </c>
      <c r="AN36" s="46" t="n">
        <f aca="false">SUM(D36:AM36)</f>
        <v>0</v>
      </c>
      <c r="AO36" s="46" t="n">
        <f aca="false">SUM(D36:O36)</f>
        <v>0</v>
      </c>
      <c r="AP36" s="46" t="n">
        <f aca="false">SUM(P36:AA36)</f>
        <v>0</v>
      </c>
      <c r="AQ36" s="46" t="n">
        <f aca="false">SUM(AB36:AM36)</f>
        <v>0</v>
      </c>
    </row>
    <row r="37" customFormat="false" ht="15" hidden="false" customHeight="false" outlineLevel="0" collapsed="false">
      <c r="A37" s="17" t="s">
        <v>876</v>
      </c>
      <c r="B37" s="17" t="s">
        <v>61</v>
      </c>
      <c r="D37" s="46" t="n">
        <f aca="false">-D33*$B$10</f>
        <v>-0</v>
      </c>
      <c r="E37" s="46" t="n">
        <f aca="false">-E33*$B$10</f>
        <v>-0</v>
      </c>
      <c r="F37" s="46" t="n">
        <f aca="false">-F33*$B$10</f>
        <v>-0</v>
      </c>
      <c r="G37" s="46" t="n">
        <f aca="false">-G33*$B$10</f>
        <v>-0</v>
      </c>
      <c r="H37" s="46" t="n">
        <f aca="false">-H33*$B$10</f>
        <v>-0</v>
      </c>
      <c r="I37" s="46" t="n">
        <f aca="false">-I33*$B$10</f>
        <v>-0</v>
      </c>
      <c r="J37" s="46" t="n">
        <f aca="false">-J33*$B$10</f>
        <v>-0</v>
      </c>
      <c r="K37" s="46" t="n">
        <f aca="false">-K33*$B$10</f>
        <v>-0</v>
      </c>
      <c r="L37" s="46" t="n">
        <f aca="false">-L33*$B$10</f>
        <v>-0</v>
      </c>
      <c r="M37" s="46" t="n">
        <f aca="false">-M33*$B$10</f>
        <v>-0</v>
      </c>
      <c r="N37" s="46" t="n">
        <f aca="false">-N33*$B$10</f>
        <v>-0</v>
      </c>
      <c r="O37" s="46" t="n">
        <f aca="false">-O33*$B$10</f>
        <v>-0</v>
      </c>
      <c r="P37" s="46" t="n">
        <f aca="false">-P33*$B$10</f>
        <v>-0</v>
      </c>
      <c r="Q37" s="46" t="n">
        <f aca="false">-Q33*$B$10</f>
        <v>-0</v>
      </c>
      <c r="R37" s="46" t="n">
        <f aca="false">-R33*$B$10</f>
        <v>-0</v>
      </c>
      <c r="S37" s="46" t="n">
        <f aca="false">-S33*$B$10</f>
        <v>-0</v>
      </c>
      <c r="T37" s="46" t="n">
        <f aca="false">-T33*$B$10</f>
        <v>-0</v>
      </c>
      <c r="U37" s="46" t="n">
        <f aca="false">-U33*$B$10</f>
        <v>-0</v>
      </c>
      <c r="V37" s="46" t="n">
        <f aca="false">-V33*$B$10</f>
        <v>-0</v>
      </c>
      <c r="W37" s="46" t="n">
        <f aca="false">-W33*$B$10</f>
        <v>-0</v>
      </c>
      <c r="X37" s="46" t="n">
        <f aca="false">-X33*$B$10</f>
        <v>-0</v>
      </c>
      <c r="Y37" s="46" t="n">
        <f aca="false">-Y33*$B$10</f>
        <v>-0</v>
      </c>
      <c r="Z37" s="46" t="n">
        <f aca="false">-Z33*$B$10</f>
        <v>-0</v>
      </c>
      <c r="AA37" s="46" t="n">
        <f aca="false">-AA33*$B$10</f>
        <v>-0</v>
      </c>
      <c r="AB37" s="46" t="n">
        <f aca="false">-AB33*$B$10</f>
        <v>-0</v>
      </c>
      <c r="AC37" s="46" t="n">
        <f aca="false">-AC33*$B$10</f>
        <v>-0</v>
      </c>
      <c r="AD37" s="46" t="n">
        <f aca="false">-AD33*$B$10</f>
        <v>-0</v>
      </c>
      <c r="AE37" s="46" t="n">
        <f aca="false">-AE33*$B$10</f>
        <v>-0</v>
      </c>
      <c r="AF37" s="46" t="n">
        <f aca="false">-AF33*$B$10</f>
        <v>-0</v>
      </c>
      <c r="AG37" s="46" t="n">
        <f aca="false">-AG33*$B$10</f>
        <v>-0</v>
      </c>
      <c r="AH37" s="46" t="n">
        <f aca="false">-AH33*$B$10</f>
        <v>-0</v>
      </c>
      <c r="AI37" s="46" t="n">
        <f aca="false">-AI33*$B$10</f>
        <v>-0</v>
      </c>
      <c r="AJ37" s="46" t="n">
        <f aca="false">-AJ33*$B$10</f>
        <v>-0</v>
      </c>
      <c r="AK37" s="46" t="n">
        <f aca="false">-AK33*$B$10</f>
        <v>-0</v>
      </c>
      <c r="AL37" s="46" t="n">
        <f aca="false">-AL33*$B$10</f>
        <v>-0</v>
      </c>
      <c r="AM37" s="46" t="n">
        <f aca="false">-AM33*$B$10</f>
        <v>-0</v>
      </c>
      <c r="AN37" s="46" t="n">
        <f aca="false">SUM(D37:AM37)</f>
        <v>0</v>
      </c>
      <c r="AO37" s="46" t="n">
        <f aca="false">SUM(D37:O37)</f>
        <v>0</v>
      </c>
      <c r="AP37" s="46" t="n">
        <f aca="false">SUM(P37:AA37)</f>
        <v>0</v>
      </c>
      <c r="AQ37" s="46" t="n">
        <f aca="false">SUM(AB37:AM37)</f>
        <v>0</v>
      </c>
    </row>
    <row r="38" customFormat="false" ht="15" hidden="false" customHeight="false" outlineLevel="0" collapsed="false">
      <c r="A38" s="17" t="s">
        <v>877</v>
      </c>
      <c r="B38" s="17" t="s">
        <v>61</v>
      </c>
      <c r="D38" s="46" t="n">
        <f aca="false">-D33*$B$12</f>
        <v>-0</v>
      </c>
      <c r="E38" s="46" t="n">
        <f aca="false">-E33*$B$12</f>
        <v>-0</v>
      </c>
      <c r="F38" s="46" t="n">
        <f aca="false">-F33*$B$12</f>
        <v>-0</v>
      </c>
      <c r="G38" s="46" t="n">
        <f aca="false">-G33*$B$12</f>
        <v>-0</v>
      </c>
      <c r="H38" s="46" t="n">
        <f aca="false">-H33*$B$12</f>
        <v>-0</v>
      </c>
      <c r="I38" s="46" t="n">
        <f aca="false">-I33*$B$12</f>
        <v>-0</v>
      </c>
      <c r="J38" s="46" t="n">
        <f aca="false">-J33*$B$12</f>
        <v>-0</v>
      </c>
      <c r="K38" s="46" t="n">
        <f aca="false">-K33*$B$12</f>
        <v>-0</v>
      </c>
      <c r="L38" s="46" t="n">
        <f aca="false">-L33*$B$12</f>
        <v>-0</v>
      </c>
      <c r="M38" s="46" t="n">
        <f aca="false">-M33*$B$12</f>
        <v>-0</v>
      </c>
      <c r="N38" s="46" t="n">
        <f aca="false">-N33*$B$12</f>
        <v>-0</v>
      </c>
      <c r="O38" s="46" t="n">
        <f aca="false">-O33*$B$12</f>
        <v>-0</v>
      </c>
      <c r="P38" s="46" t="n">
        <f aca="false">-P33*$B$12</f>
        <v>-0</v>
      </c>
      <c r="Q38" s="46" t="n">
        <f aca="false">-Q33*$B$12</f>
        <v>-0</v>
      </c>
      <c r="R38" s="46" t="n">
        <f aca="false">-R33*$B$12</f>
        <v>-0</v>
      </c>
      <c r="S38" s="46" t="n">
        <f aca="false">-S33*$B$12</f>
        <v>-0</v>
      </c>
      <c r="T38" s="46" t="n">
        <f aca="false">-T33*$B$12</f>
        <v>-0</v>
      </c>
      <c r="U38" s="46" t="n">
        <f aca="false">-U33*$B$12</f>
        <v>-0</v>
      </c>
      <c r="V38" s="46" t="n">
        <f aca="false">-V33*$B$12</f>
        <v>-0</v>
      </c>
      <c r="W38" s="46" t="n">
        <f aca="false">-W33*$B$12</f>
        <v>-0</v>
      </c>
      <c r="X38" s="46" t="n">
        <f aca="false">-X33*$B$12</f>
        <v>-0</v>
      </c>
      <c r="Y38" s="46" t="n">
        <f aca="false">-Y33*$B$12</f>
        <v>-0</v>
      </c>
      <c r="Z38" s="46" t="n">
        <f aca="false">-Z33*$B$12</f>
        <v>-0</v>
      </c>
      <c r="AA38" s="46" t="n">
        <f aca="false">-AA33*$B$12</f>
        <v>-0</v>
      </c>
      <c r="AB38" s="46" t="n">
        <f aca="false">-AB33*$B$12</f>
        <v>-0</v>
      </c>
      <c r="AC38" s="46" t="n">
        <f aca="false">-AC33*$B$12</f>
        <v>-0</v>
      </c>
      <c r="AD38" s="46" t="n">
        <f aca="false">-AD33*$B$12</f>
        <v>-0</v>
      </c>
      <c r="AE38" s="46" t="n">
        <f aca="false">-AE33*$B$12</f>
        <v>-0</v>
      </c>
      <c r="AF38" s="46" t="n">
        <f aca="false">-AF33*$B$12</f>
        <v>-0</v>
      </c>
      <c r="AG38" s="46" t="n">
        <f aca="false">-AG33*$B$12</f>
        <v>-0</v>
      </c>
      <c r="AH38" s="46" t="n">
        <f aca="false">-AH33*$B$12</f>
        <v>-0</v>
      </c>
      <c r="AI38" s="46" t="n">
        <f aca="false">-AI33*$B$12</f>
        <v>-0</v>
      </c>
      <c r="AJ38" s="46" t="n">
        <f aca="false">-AJ33*$B$12</f>
        <v>-0</v>
      </c>
      <c r="AK38" s="46" t="n">
        <f aca="false">-AK33*$B$12</f>
        <v>-0</v>
      </c>
      <c r="AL38" s="46" t="n">
        <f aca="false">-AL33*$B$12</f>
        <v>-0</v>
      </c>
      <c r="AM38" s="46" t="n">
        <f aca="false">-AM33*$B$12</f>
        <v>-0</v>
      </c>
      <c r="AN38" s="46" t="n">
        <f aca="false">SUM(D38:AM38)</f>
        <v>0</v>
      </c>
      <c r="AO38" s="46" t="n">
        <f aca="false">SUM(D38:O38)</f>
        <v>0</v>
      </c>
      <c r="AP38" s="46" t="n">
        <f aca="false">SUM(P38:AA38)</f>
        <v>0</v>
      </c>
      <c r="AQ38" s="46" t="n">
        <f aca="false">SUM(AB38:AM38)</f>
        <v>0</v>
      </c>
    </row>
    <row r="39" customFormat="false" ht="15" hidden="false" customHeight="false" outlineLevel="0" collapsed="false">
      <c r="A39" s="17" t="s">
        <v>878</v>
      </c>
      <c r="B39" s="17" t="s">
        <v>61</v>
      </c>
      <c r="D39" s="46" t="n">
        <f aca="false">-D26*Inputs!$H$213</f>
        <v>-0</v>
      </c>
      <c r="E39" s="46" t="n">
        <f aca="false">-E26*Inputs!$H$213</f>
        <v>-0</v>
      </c>
      <c r="F39" s="46" t="n">
        <f aca="false">-F26*Inputs!$H$213</f>
        <v>-0</v>
      </c>
      <c r="G39" s="46" t="n">
        <f aca="false">-G26*Inputs!$H$213</f>
        <v>-0</v>
      </c>
      <c r="H39" s="46" t="n">
        <f aca="false">-H26*Inputs!$H$213</f>
        <v>-0</v>
      </c>
      <c r="I39" s="46" t="n">
        <f aca="false">-I26*Inputs!$H$213</f>
        <v>-0</v>
      </c>
      <c r="J39" s="46" t="n">
        <f aca="false">-J26*Inputs!$H$213</f>
        <v>-0</v>
      </c>
      <c r="K39" s="46" t="n">
        <f aca="false">-K26*Inputs!$H$213</f>
        <v>-0</v>
      </c>
      <c r="L39" s="46" t="n">
        <f aca="false">-L26*Inputs!$H$213</f>
        <v>-0</v>
      </c>
      <c r="M39" s="46" t="n">
        <f aca="false">-M26*Inputs!$H$213</f>
        <v>-0</v>
      </c>
      <c r="N39" s="46" t="n">
        <f aca="false">-N26*Inputs!$H$213</f>
        <v>-0</v>
      </c>
      <c r="O39" s="46" t="n">
        <f aca="false">-O26*Inputs!$H$213</f>
        <v>-0</v>
      </c>
      <c r="P39" s="46" t="n">
        <f aca="false">-P26*Inputs!$H$213</f>
        <v>-0</v>
      </c>
      <c r="Q39" s="46" t="n">
        <f aca="false">-Q26*Inputs!$H$213</f>
        <v>-0</v>
      </c>
      <c r="R39" s="46" t="n">
        <f aca="false">-R26*Inputs!$H$213</f>
        <v>-0</v>
      </c>
      <c r="S39" s="46" t="n">
        <f aca="false">-S26*Inputs!$H$213</f>
        <v>-0</v>
      </c>
      <c r="T39" s="46" t="n">
        <f aca="false">-T26*Inputs!$H$213</f>
        <v>-0</v>
      </c>
      <c r="U39" s="46" t="n">
        <f aca="false">-U26*Inputs!$H$213</f>
        <v>-0</v>
      </c>
      <c r="V39" s="46" t="n">
        <f aca="false">-V26*Inputs!$H$213</f>
        <v>-0</v>
      </c>
      <c r="W39" s="46" t="n">
        <f aca="false">-W26*Inputs!$H$213</f>
        <v>-0</v>
      </c>
      <c r="X39" s="46" t="n">
        <f aca="false">-X26*Inputs!$H$213</f>
        <v>-0</v>
      </c>
      <c r="Y39" s="46" t="n">
        <f aca="false">-Y26*Inputs!$H$213</f>
        <v>-0</v>
      </c>
      <c r="Z39" s="46" t="n">
        <f aca="false">-Z26*Inputs!$H$213</f>
        <v>-0</v>
      </c>
      <c r="AA39" s="46" t="n">
        <f aca="false">-AA26*Inputs!$H$213</f>
        <v>-0</v>
      </c>
      <c r="AB39" s="46" t="n">
        <f aca="false">-AB26*Inputs!$H$213</f>
        <v>-0</v>
      </c>
      <c r="AC39" s="46" t="n">
        <f aca="false">-AC26*Inputs!$H$213</f>
        <v>-0</v>
      </c>
      <c r="AD39" s="46" t="n">
        <f aca="false">-AD26*Inputs!$H$213</f>
        <v>-0</v>
      </c>
      <c r="AE39" s="46" t="n">
        <f aca="false">-AE26*Inputs!$H$213</f>
        <v>-0</v>
      </c>
      <c r="AF39" s="46" t="n">
        <f aca="false">-AF26*Inputs!$H$213</f>
        <v>-0</v>
      </c>
      <c r="AG39" s="46" t="n">
        <f aca="false">-AG26*Inputs!$H$213</f>
        <v>-0</v>
      </c>
      <c r="AH39" s="46" t="n">
        <f aca="false">-AH26*Inputs!$H$213</f>
        <v>-0</v>
      </c>
      <c r="AI39" s="46" t="n">
        <f aca="false">-AI26*Inputs!$H$213</f>
        <v>-0</v>
      </c>
      <c r="AJ39" s="46" t="n">
        <f aca="false">-AJ26*Inputs!$H$213</f>
        <v>-0</v>
      </c>
      <c r="AK39" s="46" t="n">
        <f aca="false">-AK26*Inputs!$H$213</f>
        <v>-0</v>
      </c>
      <c r="AL39" s="46" t="n">
        <f aca="false">-AL26*Inputs!$H$213</f>
        <v>-0</v>
      </c>
      <c r="AM39" s="46" t="n">
        <f aca="false">-AM26*Inputs!$H$213</f>
        <v>-0</v>
      </c>
      <c r="AN39" s="46" t="n">
        <f aca="false">SUM(D39:AM39)</f>
        <v>0</v>
      </c>
      <c r="AO39" s="46" t="n">
        <f aca="false">SUM(D39:O39)</f>
        <v>0</v>
      </c>
      <c r="AP39" s="46" t="n">
        <f aca="false">SUM(P39:AA39)</f>
        <v>0</v>
      </c>
      <c r="AQ39" s="46" t="n">
        <f aca="false">SUM(AB39:AM39)</f>
        <v>0</v>
      </c>
    </row>
    <row r="40" customFormat="false" ht="15" hidden="false" customHeight="false" outlineLevel="0" collapsed="false">
      <c r="A40" s="17" t="s">
        <v>879</v>
      </c>
      <c r="B40" s="17" t="s">
        <v>61</v>
      </c>
      <c r="D40" s="46" t="n">
        <f aca="false">-D26*(Inputs!$H$210+Inputs!$H$211+Inputs!$H$212+Inputs!$H$214+Inputs!$H$215)</f>
        <v>-0</v>
      </c>
      <c r="E40" s="46" t="n">
        <f aca="false">-E26*(Inputs!$H$210+Inputs!$H$211+Inputs!$H$212+Inputs!$H$214+Inputs!$H$215)</f>
        <v>-0</v>
      </c>
      <c r="F40" s="46" t="n">
        <f aca="false">-F26*(Inputs!$H$210+Inputs!$H$211+Inputs!$H$212+Inputs!$H$214+Inputs!$H$215)</f>
        <v>-0</v>
      </c>
      <c r="G40" s="46" t="n">
        <f aca="false">-G26*(Inputs!$H$210+Inputs!$H$211+Inputs!$H$212+Inputs!$H$214+Inputs!$H$215)</f>
        <v>-0</v>
      </c>
      <c r="H40" s="46" t="n">
        <f aca="false">-H26*(Inputs!$H$210+Inputs!$H$211+Inputs!$H$212+Inputs!$H$214+Inputs!$H$215)</f>
        <v>-0</v>
      </c>
      <c r="I40" s="46" t="n">
        <f aca="false">-I26*(Inputs!$H$210+Inputs!$H$211+Inputs!$H$212+Inputs!$H$214+Inputs!$H$215)</f>
        <v>-0</v>
      </c>
      <c r="J40" s="46" t="n">
        <f aca="false">-J26*(Inputs!$H$210+Inputs!$H$211+Inputs!$H$212+Inputs!$H$214+Inputs!$H$215)</f>
        <v>-0</v>
      </c>
      <c r="K40" s="46" t="n">
        <f aca="false">-K26*(Inputs!$H$210+Inputs!$H$211+Inputs!$H$212+Inputs!$H$214+Inputs!$H$215)</f>
        <v>-0</v>
      </c>
      <c r="L40" s="46" t="n">
        <f aca="false">-L26*(Inputs!$H$210+Inputs!$H$211+Inputs!$H$212+Inputs!$H$214+Inputs!$H$215)</f>
        <v>-0</v>
      </c>
      <c r="M40" s="46" t="n">
        <f aca="false">-M26*(Inputs!$H$210+Inputs!$H$211+Inputs!$H$212+Inputs!$H$214+Inputs!$H$215)</f>
        <v>-0</v>
      </c>
      <c r="N40" s="46" t="n">
        <f aca="false">-N26*(Inputs!$H$210+Inputs!$H$211+Inputs!$H$212+Inputs!$H$214+Inputs!$H$215)</f>
        <v>-0</v>
      </c>
      <c r="O40" s="46" t="n">
        <f aca="false">-O26*(Inputs!$H$210+Inputs!$H$211+Inputs!$H$212+Inputs!$H$214+Inputs!$H$215)</f>
        <v>-0</v>
      </c>
      <c r="P40" s="46" t="n">
        <f aca="false">-P26*(Inputs!$H$210+Inputs!$H$211+Inputs!$H$212+Inputs!$H$214+Inputs!$H$215)</f>
        <v>-0</v>
      </c>
      <c r="Q40" s="46" t="n">
        <f aca="false">-Q26*(Inputs!$H$210+Inputs!$H$211+Inputs!$H$212+Inputs!$H$214+Inputs!$H$215)</f>
        <v>-0</v>
      </c>
      <c r="R40" s="46" t="n">
        <f aca="false">-R26*(Inputs!$H$210+Inputs!$H$211+Inputs!$H$212+Inputs!$H$214+Inputs!$H$215)</f>
        <v>-0</v>
      </c>
      <c r="S40" s="46" t="n">
        <f aca="false">-S26*(Inputs!$H$210+Inputs!$H$211+Inputs!$H$212+Inputs!$H$214+Inputs!$H$215)</f>
        <v>-0</v>
      </c>
      <c r="T40" s="46" t="n">
        <f aca="false">-T26*(Inputs!$H$210+Inputs!$H$211+Inputs!$H$212+Inputs!$H$214+Inputs!$H$215)</f>
        <v>-0</v>
      </c>
      <c r="U40" s="46" t="n">
        <f aca="false">-U26*(Inputs!$H$210+Inputs!$H$211+Inputs!$H$212+Inputs!$H$214+Inputs!$H$215)</f>
        <v>-0</v>
      </c>
      <c r="V40" s="46" t="n">
        <f aca="false">-V26*(Inputs!$H$210+Inputs!$H$211+Inputs!$H$212+Inputs!$H$214+Inputs!$H$215)</f>
        <v>-0</v>
      </c>
      <c r="W40" s="46" t="n">
        <f aca="false">-W26*(Inputs!$H$210+Inputs!$H$211+Inputs!$H$212+Inputs!$H$214+Inputs!$H$215)</f>
        <v>-0</v>
      </c>
      <c r="X40" s="46" t="n">
        <f aca="false">-X26*(Inputs!$H$210+Inputs!$H$211+Inputs!$H$212+Inputs!$H$214+Inputs!$H$215)</f>
        <v>-0</v>
      </c>
      <c r="Y40" s="46" t="n">
        <f aca="false">-Y26*(Inputs!$H$210+Inputs!$H$211+Inputs!$H$212+Inputs!$H$214+Inputs!$H$215)</f>
        <v>-0</v>
      </c>
      <c r="Z40" s="46" t="n">
        <f aca="false">-Z26*(Inputs!$H$210+Inputs!$H$211+Inputs!$H$212+Inputs!$H$214+Inputs!$H$215)</f>
        <v>-0</v>
      </c>
      <c r="AA40" s="46" t="n">
        <f aca="false">-AA26*(Inputs!$H$210+Inputs!$H$211+Inputs!$H$212+Inputs!$H$214+Inputs!$H$215)</f>
        <v>-0</v>
      </c>
      <c r="AB40" s="46" t="n">
        <f aca="false">-AB26*(Inputs!$H$210+Inputs!$H$211+Inputs!$H$212+Inputs!$H$214+Inputs!$H$215)</f>
        <v>-0</v>
      </c>
      <c r="AC40" s="46" t="n">
        <f aca="false">-AC26*(Inputs!$H$210+Inputs!$H$211+Inputs!$H$212+Inputs!$H$214+Inputs!$H$215)</f>
        <v>-0</v>
      </c>
      <c r="AD40" s="46" t="n">
        <f aca="false">-AD26*(Inputs!$H$210+Inputs!$H$211+Inputs!$H$212+Inputs!$H$214+Inputs!$H$215)</f>
        <v>-0</v>
      </c>
      <c r="AE40" s="46" t="n">
        <f aca="false">-AE26*(Inputs!$H$210+Inputs!$H$211+Inputs!$H$212+Inputs!$H$214+Inputs!$H$215)</f>
        <v>-0</v>
      </c>
      <c r="AF40" s="46" t="n">
        <f aca="false">-AF26*(Inputs!$H$210+Inputs!$H$211+Inputs!$H$212+Inputs!$H$214+Inputs!$H$215)</f>
        <v>-0</v>
      </c>
      <c r="AG40" s="46" t="n">
        <f aca="false">-AG26*(Inputs!$H$210+Inputs!$H$211+Inputs!$H$212+Inputs!$H$214+Inputs!$H$215)</f>
        <v>-0</v>
      </c>
      <c r="AH40" s="46" t="n">
        <f aca="false">-AH26*(Inputs!$H$210+Inputs!$H$211+Inputs!$H$212+Inputs!$H$214+Inputs!$H$215)</f>
        <v>-0</v>
      </c>
      <c r="AI40" s="46" t="n">
        <f aca="false">-AI26*(Inputs!$H$210+Inputs!$H$211+Inputs!$H$212+Inputs!$H$214+Inputs!$H$215)</f>
        <v>-0</v>
      </c>
      <c r="AJ40" s="46" t="n">
        <f aca="false">-AJ26*(Inputs!$H$210+Inputs!$H$211+Inputs!$H$212+Inputs!$H$214+Inputs!$H$215)</f>
        <v>-0</v>
      </c>
      <c r="AK40" s="46" t="n">
        <f aca="false">-AK26*(Inputs!$H$210+Inputs!$H$211+Inputs!$H$212+Inputs!$H$214+Inputs!$H$215)</f>
        <v>-0</v>
      </c>
      <c r="AL40" s="46" t="n">
        <f aca="false">-AL26*(Inputs!$H$210+Inputs!$H$211+Inputs!$H$212+Inputs!$H$214+Inputs!$H$215)</f>
        <v>-0</v>
      </c>
      <c r="AM40" s="46" t="n">
        <f aca="false">-AM26*(Inputs!$H$210+Inputs!$H$211+Inputs!$H$212+Inputs!$H$214+Inputs!$H$215)</f>
        <v>-0</v>
      </c>
      <c r="AN40" s="46" t="n">
        <f aca="false">SUM(D40:AM40)</f>
        <v>0</v>
      </c>
      <c r="AO40" s="46" t="n">
        <f aca="false">SUM(D40:O40)</f>
        <v>0</v>
      </c>
      <c r="AP40" s="46" t="n">
        <f aca="false">SUM(P40:AA40)</f>
        <v>0</v>
      </c>
      <c r="AQ40" s="46" t="n">
        <f aca="false">SUM(AB40:AM40)</f>
        <v>0</v>
      </c>
    </row>
    <row r="41" customFormat="false" ht="15" hidden="false" customHeight="false" outlineLevel="0" collapsed="false">
      <c r="A41" s="3" t="s">
        <v>880</v>
      </c>
      <c r="B41" s="17" t="s">
        <v>61</v>
      </c>
      <c r="D41" s="8" t="n">
        <f aca="false">SUM(D34:D40)</f>
        <v>0</v>
      </c>
      <c r="E41" s="8" t="n">
        <f aca="false">SUM(E34:E40)</f>
        <v>0</v>
      </c>
      <c r="F41" s="8" t="n">
        <f aca="false">SUM(F34:F40)</f>
        <v>0</v>
      </c>
      <c r="G41" s="8" t="n">
        <f aca="false">SUM(G34:G40)</f>
        <v>0</v>
      </c>
      <c r="H41" s="8" t="n">
        <f aca="false">SUM(H34:H40)</f>
        <v>0</v>
      </c>
      <c r="I41" s="8" t="n">
        <f aca="false">SUM(I34:I40)</f>
        <v>0</v>
      </c>
      <c r="J41" s="8" t="n">
        <f aca="false">SUM(J34:J40)</f>
        <v>0</v>
      </c>
      <c r="K41" s="8" t="n">
        <f aca="false">SUM(K34:K40)</f>
        <v>0</v>
      </c>
      <c r="L41" s="8" t="n">
        <f aca="false">SUM(L34:L40)</f>
        <v>0</v>
      </c>
      <c r="M41" s="8" t="n">
        <f aca="false">SUM(M34:M40)</f>
        <v>0</v>
      </c>
      <c r="N41" s="8" t="n">
        <f aca="false">SUM(N34:N40)</f>
        <v>0</v>
      </c>
      <c r="O41" s="8" t="n">
        <f aca="false">SUM(O34:O40)</f>
        <v>0</v>
      </c>
      <c r="P41" s="8" t="n">
        <f aca="false">SUM(P34:P40)</f>
        <v>0</v>
      </c>
      <c r="Q41" s="8" t="n">
        <f aca="false">SUM(Q34:Q40)</f>
        <v>0</v>
      </c>
      <c r="R41" s="8" t="n">
        <f aca="false">SUM(R34:R40)</f>
        <v>0</v>
      </c>
      <c r="S41" s="8" t="n">
        <f aca="false">SUM(S34:S40)</f>
        <v>0</v>
      </c>
      <c r="T41" s="8" t="n">
        <f aca="false">SUM(T34:T40)</f>
        <v>0</v>
      </c>
      <c r="U41" s="8" t="n">
        <f aca="false">SUM(U34:U40)</f>
        <v>0</v>
      </c>
      <c r="V41" s="8" t="n">
        <f aca="false">SUM(V34:V40)</f>
        <v>0</v>
      </c>
      <c r="W41" s="8" t="n">
        <f aca="false">SUM(W34:W40)</f>
        <v>0</v>
      </c>
      <c r="X41" s="8" t="n">
        <f aca="false">SUM(X34:X40)</f>
        <v>0</v>
      </c>
      <c r="Y41" s="8" t="n">
        <f aca="false">SUM(Y34:Y40)</f>
        <v>0</v>
      </c>
      <c r="Z41" s="8" t="n">
        <f aca="false">SUM(Z34:Z40)</f>
        <v>0</v>
      </c>
      <c r="AA41" s="8" t="n">
        <f aca="false">SUM(AA34:AA40)</f>
        <v>0</v>
      </c>
      <c r="AB41" s="8" t="n">
        <f aca="false">SUM(AB34:AB40)</f>
        <v>0</v>
      </c>
      <c r="AC41" s="8" t="n">
        <f aca="false">SUM(AC34:AC40)</f>
        <v>0</v>
      </c>
      <c r="AD41" s="8" t="n">
        <f aca="false">SUM(AD34:AD40)</f>
        <v>0</v>
      </c>
      <c r="AE41" s="8" t="n">
        <f aca="false">SUM(AE34:AE40)</f>
        <v>0</v>
      </c>
      <c r="AF41" s="8" t="n">
        <f aca="false">SUM(AF34:AF40)</f>
        <v>0</v>
      </c>
      <c r="AG41" s="8" t="n">
        <f aca="false">SUM(AG34:AG40)</f>
        <v>0</v>
      </c>
      <c r="AH41" s="8" t="n">
        <f aca="false">SUM(AH34:AH40)</f>
        <v>0</v>
      </c>
      <c r="AI41" s="8" t="n">
        <f aca="false">SUM(AI34:AI40)</f>
        <v>0</v>
      </c>
      <c r="AJ41" s="8" t="n">
        <f aca="false">SUM(AJ34:AJ40)</f>
        <v>0</v>
      </c>
      <c r="AK41" s="8" t="n">
        <f aca="false">SUM(AK34:AK40)</f>
        <v>0</v>
      </c>
      <c r="AL41" s="8" t="n">
        <f aca="false">SUM(AL34:AL40)</f>
        <v>0</v>
      </c>
      <c r="AM41" s="8" t="n">
        <f aca="false">SUM(AM34:AM40)</f>
        <v>0</v>
      </c>
      <c r="AN41" s="8" t="n">
        <f aca="false">SUM(D41:AM41)</f>
        <v>0</v>
      </c>
      <c r="AO41" s="8" t="n">
        <f aca="false">SUM(D41:O41)</f>
        <v>0</v>
      </c>
      <c r="AP41" s="8" t="n">
        <f aca="false">SUM(P41:AA41)</f>
        <v>0</v>
      </c>
      <c r="AQ41" s="8" t="n">
        <f aca="false">SUM(AB41:AM41)</f>
        <v>0</v>
      </c>
    </row>
    <row r="42" customFormat="false" ht="15" hidden="false" customHeight="false" outlineLevel="0" collapsed="false">
      <c r="A42" s="17" t="s">
        <v>881</v>
      </c>
      <c r="B42" s="17" t="s">
        <v>61</v>
      </c>
      <c r="D42" s="46" t="n">
        <f aca="false">0</f>
        <v>0</v>
      </c>
      <c r="E42" s="46" t="n">
        <f aca="false">-SUM($D30:D30)/Inputs!$H$216</f>
        <v>-0</v>
      </c>
      <c r="F42" s="46" t="n">
        <f aca="false">-SUM($D30:E30)/Inputs!$H$216</f>
        <v>-0</v>
      </c>
      <c r="G42" s="46" t="n">
        <f aca="false">-SUM($D30:F30)/Inputs!$H$216</f>
        <v>-0</v>
      </c>
      <c r="H42" s="46" t="n">
        <f aca="false">-SUM($D30:G30)/Inputs!$H$216</f>
        <v>-0</v>
      </c>
      <c r="I42" s="46" t="n">
        <f aca="false">-SUM($D30:H30)/Inputs!$H$216</f>
        <v>-0</v>
      </c>
      <c r="J42" s="46" t="n">
        <f aca="false">-SUM($D30:I30)/Inputs!$H$216</f>
        <v>-0</v>
      </c>
      <c r="K42" s="46" t="n">
        <f aca="false">-SUM($D30:J30)/Inputs!$H$216</f>
        <v>-0</v>
      </c>
      <c r="L42" s="46" t="n">
        <f aca="false">-SUM($D30:K30)/Inputs!$H$216</f>
        <v>-0</v>
      </c>
      <c r="M42" s="46" t="n">
        <f aca="false">-SUM($D30:L30)/Inputs!$H$216</f>
        <v>-0</v>
      </c>
      <c r="N42" s="46" t="n">
        <f aca="false">-SUM($D30:M30)/Inputs!$H$216</f>
        <v>-0</v>
      </c>
      <c r="O42" s="46" t="n">
        <f aca="false">-SUM($D30:N30)/Inputs!$H$216</f>
        <v>-0</v>
      </c>
      <c r="P42" s="46" t="n">
        <f aca="false">-SUM($D30:O30)/Inputs!$H$216</f>
        <v>-0</v>
      </c>
      <c r="Q42" s="46" t="n">
        <f aca="false">-SUM($D30:P30)/Inputs!$H$216</f>
        <v>-0</v>
      </c>
      <c r="R42" s="46" t="n">
        <f aca="false">-SUM($D30:Q30)/Inputs!$H$216</f>
        <v>-0</v>
      </c>
      <c r="S42" s="46" t="n">
        <f aca="false">-SUM($D30:R30)/Inputs!$H$216</f>
        <v>-0</v>
      </c>
      <c r="T42" s="46" t="n">
        <f aca="false">-SUM($D30:S30)/Inputs!$H$216</f>
        <v>-0</v>
      </c>
      <c r="U42" s="46" t="n">
        <f aca="false">-SUM($D30:T30)/Inputs!$H$216</f>
        <v>-0</v>
      </c>
      <c r="V42" s="46" t="n">
        <f aca="false">-SUM($D30:U30)/Inputs!$H$216</f>
        <v>-0</v>
      </c>
      <c r="W42" s="46" t="n">
        <f aca="false">-SUM($D30:V30)/Inputs!$H$216</f>
        <v>-0</v>
      </c>
      <c r="X42" s="46" t="n">
        <f aca="false">-SUM($D30:W30)/Inputs!$H$216</f>
        <v>-0</v>
      </c>
      <c r="Y42" s="46" t="n">
        <f aca="false">-SUM($D30:X30)/Inputs!$H$216</f>
        <v>-0</v>
      </c>
      <c r="Z42" s="46" t="n">
        <f aca="false">-SUM($D30:Y30)/Inputs!$H$216</f>
        <v>-0</v>
      </c>
      <c r="AA42" s="46" t="n">
        <f aca="false">-SUM($D30:Z30)/Inputs!$H$216</f>
        <v>-0</v>
      </c>
      <c r="AB42" s="46" t="n">
        <f aca="false">-SUM($D30:AA30)/Inputs!$H$216</f>
        <v>-0</v>
      </c>
      <c r="AC42" s="46" t="n">
        <f aca="false">-SUM($D30:AB30)/Inputs!$H$216</f>
        <v>-0</v>
      </c>
      <c r="AD42" s="46" t="n">
        <f aca="false">-SUM($D30:AC30)/Inputs!$H$216</f>
        <v>-0</v>
      </c>
      <c r="AE42" s="46" t="n">
        <f aca="false">-SUM($D30:AD30)/Inputs!$H$216</f>
        <v>-0</v>
      </c>
      <c r="AF42" s="46" t="n">
        <f aca="false">-SUM($D30:AE30)/Inputs!$H$216</f>
        <v>-0</v>
      </c>
      <c r="AG42" s="46" t="n">
        <f aca="false">-SUM($D30:AF30)/Inputs!$H$216</f>
        <v>-0</v>
      </c>
      <c r="AH42" s="46" t="n">
        <f aca="false">-SUM($D30:AG30)/Inputs!$H$216</f>
        <v>-0</v>
      </c>
      <c r="AI42" s="46" t="n">
        <f aca="false">-SUM($D30:AH30)/Inputs!$H$216</f>
        <v>-0</v>
      </c>
      <c r="AJ42" s="46" t="n">
        <f aca="false">-SUM($D30:AI30)/Inputs!$H$216</f>
        <v>-0</v>
      </c>
      <c r="AK42" s="46" t="n">
        <f aca="false">-SUM($D30:AJ30)/Inputs!$H$216</f>
        <v>-0</v>
      </c>
      <c r="AL42" s="46" t="n">
        <f aca="false">-SUM($D30:AK30)/Inputs!$H$216</f>
        <v>-0</v>
      </c>
      <c r="AM42" s="46" t="n">
        <f aca="false">-SUM($D30:AL30)/Inputs!$H$216</f>
        <v>-0</v>
      </c>
      <c r="AN42" s="46" t="n">
        <f aca="false">SUM(D42:AM42)</f>
        <v>0</v>
      </c>
      <c r="AO42" s="46" t="n">
        <f aca="false">SUM(D42:O42)</f>
        <v>0</v>
      </c>
      <c r="AP42" s="46" t="n">
        <f aca="false">SUM(P42:AA42)</f>
        <v>0</v>
      </c>
      <c r="AQ42" s="46" t="n">
        <f aca="false">SUM(AB42:AM42)</f>
        <v>0</v>
      </c>
    </row>
    <row r="43" customFormat="false" ht="15" hidden="false" customHeight="false" outlineLevel="0" collapsed="false">
      <c r="A43" s="17" t="s">
        <v>882</v>
      </c>
      <c r="B43" s="17" t="s">
        <v>61</v>
      </c>
      <c r="D43" s="46" t="n">
        <f aca="false">-'R&amp;D'!D45</f>
        <v>-0</v>
      </c>
      <c r="E43" s="46" t="n">
        <f aca="false">-'R&amp;D'!E45</f>
        <v>-0</v>
      </c>
      <c r="F43" s="46" t="n">
        <f aca="false">-'R&amp;D'!F45</f>
        <v>-0</v>
      </c>
      <c r="G43" s="46" t="n">
        <f aca="false">-'R&amp;D'!G45</f>
        <v>-0</v>
      </c>
      <c r="H43" s="46" t="n">
        <f aca="false">-'R&amp;D'!H45</f>
        <v>-0</v>
      </c>
      <c r="I43" s="46" t="n">
        <f aca="false">-'R&amp;D'!I45</f>
        <v>-0</v>
      </c>
      <c r="J43" s="46" t="n">
        <f aca="false">-'R&amp;D'!J45</f>
        <v>-11538.3333333333</v>
      </c>
      <c r="K43" s="46" t="n">
        <f aca="false">-'R&amp;D'!K45</f>
        <v>-11538.3333333333</v>
      </c>
      <c r="L43" s="46" t="n">
        <f aca="false">-'R&amp;D'!L45</f>
        <v>-11538.3333333333</v>
      </c>
      <c r="M43" s="46" t="n">
        <f aca="false">-'R&amp;D'!M45</f>
        <v>-0</v>
      </c>
      <c r="N43" s="46" t="n">
        <f aca="false">-'R&amp;D'!N45</f>
        <v>-0</v>
      </c>
      <c r="O43" s="46" t="n">
        <f aca="false">-'R&amp;D'!O45</f>
        <v>-0</v>
      </c>
      <c r="P43" s="46" t="n">
        <f aca="false">-'R&amp;D'!P45</f>
        <v>-0</v>
      </c>
      <c r="Q43" s="46" t="n">
        <f aca="false">-'R&amp;D'!Q45</f>
        <v>-0</v>
      </c>
      <c r="R43" s="46" t="n">
        <f aca="false">-'R&amp;D'!R45</f>
        <v>-0</v>
      </c>
      <c r="S43" s="46" t="n">
        <f aca="false">-'R&amp;D'!S45</f>
        <v>-0</v>
      </c>
      <c r="T43" s="46" t="n">
        <f aca="false">-'R&amp;D'!T45</f>
        <v>-0</v>
      </c>
      <c r="U43" s="46" t="n">
        <f aca="false">-'R&amp;D'!U45</f>
        <v>-0</v>
      </c>
      <c r="V43" s="46" t="n">
        <f aca="false">-'R&amp;D'!V45</f>
        <v>-0</v>
      </c>
      <c r="W43" s="46" t="n">
        <f aca="false">-'R&amp;D'!W45</f>
        <v>-0</v>
      </c>
      <c r="X43" s="46" t="n">
        <f aca="false">-'R&amp;D'!X45</f>
        <v>-0</v>
      </c>
      <c r="Y43" s="46" t="n">
        <f aca="false">-'R&amp;D'!Y45</f>
        <v>-0</v>
      </c>
      <c r="Z43" s="46" t="n">
        <f aca="false">-'R&amp;D'!Z45</f>
        <v>-0</v>
      </c>
      <c r="AA43" s="46" t="n">
        <f aca="false">-'R&amp;D'!AA45</f>
        <v>-0</v>
      </c>
      <c r="AB43" s="46" t="n">
        <f aca="false">-'R&amp;D'!AB45</f>
        <v>-0</v>
      </c>
      <c r="AC43" s="46" t="n">
        <f aca="false">-'R&amp;D'!AC45</f>
        <v>-0</v>
      </c>
      <c r="AD43" s="46" t="n">
        <f aca="false">-'R&amp;D'!AD45</f>
        <v>-0</v>
      </c>
      <c r="AE43" s="46" t="n">
        <f aca="false">-'R&amp;D'!AE45</f>
        <v>-0</v>
      </c>
      <c r="AF43" s="46" t="n">
        <f aca="false">-'R&amp;D'!AF45</f>
        <v>-0</v>
      </c>
      <c r="AG43" s="46" t="n">
        <f aca="false">-'R&amp;D'!AG45</f>
        <v>-0</v>
      </c>
      <c r="AH43" s="46" t="n">
        <f aca="false">-'R&amp;D'!AH45</f>
        <v>-0</v>
      </c>
      <c r="AI43" s="46" t="n">
        <f aca="false">-'R&amp;D'!AI45</f>
        <v>-0</v>
      </c>
      <c r="AJ43" s="46" t="n">
        <f aca="false">-'R&amp;D'!AJ45</f>
        <v>-0</v>
      </c>
      <c r="AK43" s="46" t="n">
        <f aca="false">-'R&amp;D'!AK45</f>
        <v>-0</v>
      </c>
      <c r="AL43" s="46" t="n">
        <f aca="false">-'R&amp;D'!AL45</f>
        <v>-0</v>
      </c>
      <c r="AM43" s="46" t="n">
        <f aca="false">-'R&amp;D'!AM45</f>
        <v>-0</v>
      </c>
      <c r="AN43" s="46" t="n">
        <f aca="false">SUM(D43:AM43)</f>
        <v>-34615</v>
      </c>
      <c r="AO43" s="46" t="n">
        <f aca="false">SUM(D43:O43)</f>
        <v>-34615</v>
      </c>
      <c r="AP43" s="46" t="n">
        <f aca="false">SUM(P43:AA43)</f>
        <v>0</v>
      </c>
      <c r="AQ43" s="46" t="n">
        <f aca="false">SUM(AB43:AM43)</f>
        <v>0</v>
      </c>
    </row>
    <row r="44" customFormat="false" ht="15" hidden="false" customHeight="false" outlineLevel="0" collapsed="false">
      <c r="A44" s="3" t="s">
        <v>883</v>
      </c>
      <c r="B44" s="17" t="s">
        <v>61</v>
      </c>
      <c r="D44" s="8" t="n">
        <f aca="false">D41+D42+D43</f>
        <v>0</v>
      </c>
      <c r="E44" s="8" t="n">
        <f aca="false">E41+E42+E43</f>
        <v>0</v>
      </c>
      <c r="F44" s="8" t="n">
        <f aca="false">F41+F42+F43</f>
        <v>0</v>
      </c>
      <c r="G44" s="8" t="n">
        <f aca="false">G41+G42+G43</f>
        <v>0</v>
      </c>
      <c r="H44" s="8" t="n">
        <f aca="false">H41+H42+H43</f>
        <v>0</v>
      </c>
      <c r="I44" s="8" t="n">
        <f aca="false">I41+I42+I43</f>
        <v>0</v>
      </c>
      <c r="J44" s="8" t="n">
        <f aca="false">J41+J42+J43</f>
        <v>-11538.3333333333</v>
      </c>
      <c r="K44" s="8" t="n">
        <f aca="false">K41+K42+K43</f>
        <v>-11538.3333333333</v>
      </c>
      <c r="L44" s="8" t="n">
        <f aca="false">L41+L42+L43</f>
        <v>-11538.3333333333</v>
      </c>
      <c r="M44" s="8" t="n">
        <f aca="false">M41+M42+M43</f>
        <v>0</v>
      </c>
      <c r="N44" s="8" t="n">
        <f aca="false">N41+N42+N43</f>
        <v>0</v>
      </c>
      <c r="O44" s="8" t="n">
        <f aca="false">O41+O42+O43</f>
        <v>0</v>
      </c>
      <c r="P44" s="8" t="n">
        <f aca="false">P41+P42+P43</f>
        <v>0</v>
      </c>
      <c r="Q44" s="8" t="n">
        <f aca="false">Q41+Q42+Q43</f>
        <v>0</v>
      </c>
      <c r="R44" s="8" t="n">
        <f aca="false">R41+R42+R43</f>
        <v>0</v>
      </c>
      <c r="S44" s="8" t="n">
        <f aca="false">S41+S42+S43</f>
        <v>0</v>
      </c>
      <c r="T44" s="8" t="n">
        <f aca="false">T41+T42+T43</f>
        <v>0</v>
      </c>
      <c r="U44" s="8" t="n">
        <f aca="false">U41+U42+U43</f>
        <v>0</v>
      </c>
      <c r="V44" s="8" t="n">
        <f aca="false">V41+V42+V43</f>
        <v>0</v>
      </c>
      <c r="W44" s="8" t="n">
        <f aca="false">W41+W42+W43</f>
        <v>0</v>
      </c>
      <c r="X44" s="8" t="n">
        <f aca="false">X41+X42+X43</f>
        <v>0</v>
      </c>
      <c r="Y44" s="8" t="n">
        <f aca="false">Y41+Y42+Y43</f>
        <v>0</v>
      </c>
      <c r="Z44" s="8" t="n">
        <f aca="false">Z41+Z42+Z43</f>
        <v>0</v>
      </c>
      <c r="AA44" s="8" t="n">
        <f aca="false">AA41+AA42+AA43</f>
        <v>0</v>
      </c>
      <c r="AB44" s="8" t="n">
        <f aca="false">AB41+AB42+AB43</f>
        <v>0</v>
      </c>
      <c r="AC44" s="8" t="n">
        <f aca="false">AC41+AC42+AC43</f>
        <v>0</v>
      </c>
      <c r="AD44" s="8" t="n">
        <f aca="false">AD41+AD42+AD43</f>
        <v>0</v>
      </c>
      <c r="AE44" s="8" t="n">
        <f aca="false">AE41+AE42+AE43</f>
        <v>0</v>
      </c>
      <c r="AF44" s="8" t="n">
        <f aca="false">AF41+AF42+AF43</f>
        <v>0</v>
      </c>
      <c r="AG44" s="8" t="n">
        <f aca="false">AG41+AG42+AG43</f>
        <v>0</v>
      </c>
      <c r="AH44" s="8" t="n">
        <f aca="false">AH41+AH42+AH43</f>
        <v>0</v>
      </c>
      <c r="AI44" s="8" t="n">
        <f aca="false">AI41+AI42+AI43</f>
        <v>0</v>
      </c>
      <c r="AJ44" s="8" t="n">
        <f aca="false">AJ41+AJ42+AJ43</f>
        <v>0</v>
      </c>
      <c r="AK44" s="8" t="n">
        <f aca="false">AK41+AK42+AK43</f>
        <v>0</v>
      </c>
      <c r="AL44" s="8" t="n">
        <f aca="false">AL41+AL42+AL43</f>
        <v>0</v>
      </c>
      <c r="AM44" s="8" t="n">
        <f aca="false">AM41+AM42+AM43</f>
        <v>0</v>
      </c>
      <c r="AN44" s="8" t="n">
        <f aca="false">SUM(D44:AM44)</f>
        <v>-34615</v>
      </c>
      <c r="AO44" s="8" t="n">
        <f aca="false">SUM(D44:O44)</f>
        <v>-34615</v>
      </c>
      <c r="AP44" s="8" t="n">
        <f aca="false">SUM(P44:AA44)</f>
        <v>0</v>
      </c>
      <c r="AQ44" s="8" t="n">
        <f aca="false">SUM(AB44:AM44)</f>
        <v>0</v>
      </c>
    </row>
    <row r="45" customFormat="false" ht="15" hidden="false" customHeight="false" outlineLevel="0" collapsed="false">
      <c r="A45" s="3" t="s">
        <v>884</v>
      </c>
      <c r="B45" s="17" t="s">
        <v>61</v>
      </c>
      <c r="D45" s="8" t="n">
        <f aca="false">D41-D30+D43</f>
        <v>0</v>
      </c>
      <c r="E45" s="8" t="n">
        <f aca="false">E41-E30+E43</f>
        <v>0</v>
      </c>
      <c r="F45" s="8" t="n">
        <f aca="false">F41-F30+F43</f>
        <v>0</v>
      </c>
      <c r="G45" s="8" t="n">
        <f aca="false">G41-G30+G43</f>
        <v>0</v>
      </c>
      <c r="H45" s="8" t="n">
        <f aca="false">H41-H30+H43</f>
        <v>0</v>
      </c>
      <c r="I45" s="8" t="n">
        <f aca="false">I41-I30+I43</f>
        <v>0</v>
      </c>
      <c r="J45" s="8" t="n">
        <f aca="false">J41-J30+J43</f>
        <v>-11538.3333333333</v>
      </c>
      <c r="K45" s="8" t="n">
        <f aca="false">K41-K30+K43</f>
        <v>-11538.3333333333</v>
      </c>
      <c r="L45" s="8" t="n">
        <f aca="false">L41-L30+L43</f>
        <v>-11538.3333333333</v>
      </c>
      <c r="M45" s="8" t="n">
        <f aca="false">M41-M30+M43</f>
        <v>0</v>
      </c>
      <c r="N45" s="8" t="n">
        <f aca="false">N41-N30+N43</f>
        <v>0</v>
      </c>
      <c r="O45" s="8" t="n">
        <f aca="false">O41-O30+O43</f>
        <v>0</v>
      </c>
      <c r="P45" s="8" t="n">
        <f aca="false">P41-P30+P43</f>
        <v>0</v>
      </c>
      <c r="Q45" s="8" t="n">
        <f aca="false">Q41-Q30+Q43</f>
        <v>0</v>
      </c>
      <c r="R45" s="8" t="n">
        <f aca="false">R41-R30+R43</f>
        <v>0</v>
      </c>
      <c r="S45" s="8" t="n">
        <f aca="false">S41-S30+S43</f>
        <v>0</v>
      </c>
      <c r="T45" s="8" t="n">
        <f aca="false">T41-T30+T43</f>
        <v>0</v>
      </c>
      <c r="U45" s="8" t="n">
        <f aca="false">U41-U30+U43</f>
        <v>0</v>
      </c>
      <c r="V45" s="8" t="n">
        <f aca="false">V41-V30+V43</f>
        <v>0</v>
      </c>
      <c r="W45" s="8" t="n">
        <f aca="false">W41-W30+W43</f>
        <v>0</v>
      </c>
      <c r="X45" s="8" t="n">
        <f aca="false">X41-X30+X43</f>
        <v>0</v>
      </c>
      <c r="Y45" s="8" t="n">
        <f aca="false">Y41-Y30+Y43</f>
        <v>0</v>
      </c>
      <c r="Z45" s="8" t="n">
        <f aca="false">Z41-Z30+Z43</f>
        <v>0</v>
      </c>
      <c r="AA45" s="8" t="n">
        <f aca="false">AA41-AA30+AA43</f>
        <v>0</v>
      </c>
      <c r="AB45" s="8" t="n">
        <f aca="false">AB41-AB30+AB43</f>
        <v>0</v>
      </c>
      <c r="AC45" s="8" t="n">
        <f aca="false">AC41-AC30+AC43</f>
        <v>0</v>
      </c>
      <c r="AD45" s="8" t="n">
        <f aca="false">AD41-AD30+AD43</f>
        <v>0</v>
      </c>
      <c r="AE45" s="8" t="n">
        <f aca="false">AE41-AE30+AE43</f>
        <v>0</v>
      </c>
      <c r="AF45" s="8" t="n">
        <f aca="false">AF41-AF30+AF43</f>
        <v>0</v>
      </c>
      <c r="AG45" s="8" t="n">
        <f aca="false">AG41-AG30+AG43</f>
        <v>0</v>
      </c>
      <c r="AH45" s="8" t="n">
        <f aca="false">AH41-AH30+AH43</f>
        <v>0</v>
      </c>
      <c r="AI45" s="8" t="n">
        <f aca="false">AI41-AI30+AI43</f>
        <v>0</v>
      </c>
      <c r="AJ45" s="8" t="n">
        <f aca="false">AJ41-AJ30+AJ43</f>
        <v>0</v>
      </c>
      <c r="AK45" s="8" t="n">
        <f aca="false">AK41-AK30+AK43</f>
        <v>0</v>
      </c>
      <c r="AL45" s="8" t="n">
        <f aca="false">AL41-AL30+AL43</f>
        <v>0</v>
      </c>
      <c r="AM45" s="8" t="n">
        <f aca="false">AM41-AM30+AM43</f>
        <v>0</v>
      </c>
      <c r="AN45" s="8" t="n">
        <f aca="false">SUM(D45:AM45)</f>
        <v>-34615</v>
      </c>
      <c r="AO45" s="8" t="n">
        <f aca="false">SUM(D45:O45)</f>
        <v>-34615</v>
      </c>
      <c r="AP45" s="8" t="n">
        <f aca="false">SUM(P45:AA45)</f>
        <v>0</v>
      </c>
      <c r="AQ45" s="8" t="n">
        <f aca="false">SUM(AB45:AM45)</f>
        <v>0</v>
      </c>
    </row>
    <row r="46" customFormat="false" ht="15" hidden="false" customHeight="false" outlineLevel="0" collapsed="false">
      <c r="A46" s="3" t="s">
        <v>885</v>
      </c>
      <c r="B46" s="17" t="s">
        <v>61</v>
      </c>
      <c r="D46" s="8" t="n">
        <f aca="false">D45</f>
        <v>0</v>
      </c>
      <c r="E46" s="8" t="n">
        <f aca="false">D46+E45</f>
        <v>0</v>
      </c>
      <c r="F46" s="8" t="n">
        <f aca="false">E46+F45</f>
        <v>0</v>
      </c>
      <c r="G46" s="8" t="n">
        <f aca="false">F46+G45</f>
        <v>0</v>
      </c>
      <c r="H46" s="8" t="n">
        <f aca="false">G46+H45</f>
        <v>0</v>
      </c>
      <c r="I46" s="8" t="n">
        <f aca="false">H46+I45</f>
        <v>0</v>
      </c>
      <c r="J46" s="8" t="n">
        <f aca="false">I46+J45</f>
        <v>-11538.3333333333</v>
      </c>
      <c r="K46" s="8" t="n">
        <f aca="false">J46+K45</f>
        <v>-23076.6666666667</v>
      </c>
      <c r="L46" s="8" t="n">
        <f aca="false">K46+L45</f>
        <v>-34615</v>
      </c>
      <c r="M46" s="8" t="n">
        <f aca="false">L46+M45</f>
        <v>-34615</v>
      </c>
      <c r="N46" s="8" t="n">
        <f aca="false">M46+N45</f>
        <v>-34615</v>
      </c>
      <c r="O46" s="8" t="n">
        <f aca="false">N46+O45</f>
        <v>-34615</v>
      </c>
      <c r="P46" s="8" t="n">
        <f aca="false">O46+P45</f>
        <v>-34615</v>
      </c>
      <c r="Q46" s="8" t="n">
        <f aca="false">P46+Q45</f>
        <v>-34615</v>
      </c>
      <c r="R46" s="8" t="n">
        <f aca="false">Q46+R45</f>
        <v>-34615</v>
      </c>
      <c r="S46" s="8" t="n">
        <f aca="false">R46+S45</f>
        <v>-34615</v>
      </c>
      <c r="T46" s="8" t="n">
        <f aca="false">S46+T45</f>
        <v>-34615</v>
      </c>
      <c r="U46" s="8" t="n">
        <f aca="false">T46+U45</f>
        <v>-34615</v>
      </c>
      <c r="V46" s="8" t="n">
        <f aca="false">U46+V45</f>
        <v>-34615</v>
      </c>
      <c r="W46" s="8" t="n">
        <f aca="false">V46+W45</f>
        <v>-34615</v>
      </c>
      <c r="X46" s="8" t="n">
        <f aca="false">W46+X45</f>
        <v>-34615</v>
      </c>
      <c r="Y46" s="8" t="n">
        <f aca="false">X46+Y45</f>
        <v>-34615</v>
      </c>
      <c r="Z46" s="8" t="n">
        <f aca="false">Y46+Z45</f>
        <v>-34615</v>
      </c>
      <c r="AA46" s="8" t="n">
        <f aca="false">Z46+AA45</f>
        <v>-34615</v>
      </c>
      <c r="AB46" s="8" t="n">
        <f aca="false">AA46+AB45</f>
        <v>-34615</v>
      </c>
      <c r="AC46" s="8" t="n">
        <f aca="false">AB46+AC45</f>
        <v>-34615</v>
      </c>
      <c r="AD46" s="8" t="n">
        <f aca="false">AC46+AD45</f>
        <v>-34615</v>
      </c>
      <c r="AE46" s="8" t="n">
        <f aca="false">AD46+AE45</f>
        <v>-34615</v>
      </c>
      <c r="AF46" s="8" t="n">
        <f aca="false">AE46+AF45</f>
        <v>-34615</v>
      </c>
      <c r="AG46" s="8" t="n">
        <f aca="false">AF46+AG45</f>
        <v>-34615</v>
      </c>
      <c r="AH46" s="8" t="n">
        <f aca="false">AG46+AH45</f>
        <v>-34615</v>
      </c>
      <c r="AI46" s="8" t="n">
        <f aca="false">AH46+AI45</f>
        <v>-34615</v>
      </c>
      <c r="AJ46" s="8" t="n">
        <f aca="false">AI46+AJ45</f>
        <v>-34615</v>
      </c>
      <c r="AK46" s="8" t="n">
        <f aca="false">AJ46+AK45</f>
        <v>-34615</v>
      </c>
      <c r="AL46" s="8" t="n">
        <f aca="false">AK46+AL45</f>
        <v>-34615</v>
      </c>
      <c r="AM46" s="8" t="n">
        <f aca="false">AL46+AM45</f>
        <v>-34615</v>
      </c>
    </row>
    <row r="47" customFormat="false" ht="15" hidden="false" customHeight="false" outlineLevel="0" collapsed="false">
      <c r="A47" s="17" t="s">
        <v>886</v>
      </c>
      <c r="B47" s="17" t="s">
        <v>562</v>
      </c>
      <c r="D47" s="49" t="str">
        <f aca="false">IF(AND(D46&gt;=0,MIN($D46:D46)&lt;0),D$5,"")</f>
        <v/>
      </c>
      <c r="E47" s="49" t="str">
        <f aca="false">IF(AND(E46&gt;=0,MIN($D46:E46)&lt;0),E$5,"")</f>
        <v/>
      </c>
      <c r="F47" s="49" t="str">
        <f aca="false">IF(AND(F46&gt;=0,MIN($D46:F46)&lt;0),F$5,"")</f>
        <v/>
      </c>
      <c r="G47" s="49" t="str">
        <f aca="false">IF(AND(G46&gt;=0,MIN($D46:G46)&lt;0),G$5,"")</f>
        <v/>
      </c>
      <c r="H47" s="49" t="str">
        <f aca="false">IF(AND(H46&gt;=0,MIN($D46:H46)&lt;0),H$5,"")</f>
        <v/>
      </c>
      <c r="I47" s="49" t="str">
        <f aca="false">IF(AND(I46&gt;=0,MIN($D46:I46)&lt;0),I$5,"")</f>
        <v/>
      </c>
      <c r="J47" s="49" t="str">
        <f aca="false">IF(AND(J46&gt;=0,MIN($D46:J46)&lt;0),J$5,"")</f>
        <v/>
      </c>
      <c r="K47" s="49" t="str">
        <f aca="false">IF(AND(K46&gt;=0,MIN($D46:K46)&lt;0),K$5,"")</f>
        <v/>
      </c>
      <c r="L47" s="49" t="str">
        <f aca="false">IF(AND(L46&gt;=0,MIN($D46:L46)&lt;0),L$5,"")</f>
        <v/>
      </c>
      <c r="M47" s="49" t="str">
        <f aca="false">IF(AND(M46&gt;=0,MIN($D46:M46)&lt;0),M$5,"")</f>
        <v/>
      </c>
      <c r="N47" s="49" t="str">
        <f aca="false">IF(AND(N46&gt;=0,MIN($D46:N46)&lt;0),N$5,"")</f>
        <v/>
      </c>
      <c r="O47" s="49" t="str">
        <f aca="false">IF(AND(O46&gt;=0,MIN($D46:O46)&lt;0),O$5,"")</f>
        <v/>
      </c>
      <c r="P47" s="49" t="str">
        <f aca="false">IF(AND(P46&gt;=0,MIN($D46:P46)&lt;0),P$5,"")</f>
        <v/>
      </c>
      <c r="Q47" s="49" t="str">
        <f aca="false">IF(AND(Q46&gt;=0,MIN($D46:Q46)&lt;0),Q$5,"")</f>
        <v/>
      </c>
      <c r="R47" s="49" t="str">
        <f aca="false">IF(AND(R46&gt;=0,MIN($D46:R46)&lt;0),R$5,"")</f>
        <v/>
      </c>
      <c r="S47" s="49" t="str">
        <f aca="false">IF(AND(S46&gt;=0,MIN($D46:S46)&lt;0),S$5,"")</f>
        <v/>
      </c>
      <c r="T47" s="49" t="str">
        <f aca="false">IF(AND(T46&gt;=0,MIN($D46:T46)&lt;0),T$5,"")</f>
        <v/>
      </c>
      <c r="U47" s="49" t="str">
        <f aca="false">IF(AND(U46&gt;=0,MIN($D46:U46)&lt;0),U$5,"")</f>
        <v/>
      </c>
      <c r="V47" s="49" t="str">
        <f aca="false">IF(AND(V46&gt;=0,MIN($D46:V46)&lt;0),V$5,"")</f>
        <v/>
      </c>
      <c r="W47" s="49" t="str">
        <f aca="false">IF(AND(W46&gt;=0,MIN($D46:W46)&lt;0),W$5,"")</f>
        <v/>
      </c>
      <c r="X47" s="49" t="str">
        <f aca="false">IF(AND(X46&gt;=0,MIN($D46:X46)&lt;0),X$5,"")</f>
        <v/>
      </c>
      <c r="Y47" s="49" t="str">
        <f aca="false">IF(AND(Y46&gt;=0,MIN($D46:Y46)&lt;0),Y$5,"")</f>
        <v/>
      </c>
      <c r="Z47" s="49" t="str">
        <f aca="false">IF(AND(Z46&gt;=0,MIN($D46:Z46)&lt;0),Z$5,"")</f>
        <v/>
      </c>
      <c r="AA47" s="49" t="str">
        <f aca="false">IF(AND(AA46&gt;=0,MIN($D46:AA46)&lt;0),AA$5,"")</f>
        <v/>
      </c>
      <c r="AB47" s="49" t="str">
        <f aca="false">IF(AND(AB46&gt;=0,MIN($D46:AB46)&lt;0),AB$5,"")</f>
        <v/>
      </c>
      <c r="AC47" s="49" t="str">
        <f aca="false">IF(AND(AC46&gt;=0,MIN($D46:AC46)&lt;0),AC$5,"")</f>
        <v/>
      </c>
      <c r="AD47" s="49" t="str">
        <f aca="false">IF(AND(AD46&gt;=0,MIN($D46:AD46)&lt;0),AD$5,"")</f>
        <v/>
      </c>
      <c r="AE47" s="49" t="str">
        <f aca="false">IF(AND(AE46&gt;=0,MIN($D46:AE46)&lt;0),AE$5,"")</f>
        <v/>
      </c>
      <c r="AF47" s="49" t="str">
        <f aca="false">IF(AND(AF46&gt;=0,MIN($D46:AF46)&lt;0),AF$5,"")</f>
        <v/>
      </c>
      <c r="AG47" s="49" t="str">
        <f aca="false">IF(AND(AG46&gt;=0,MIN($D46:AG46)&lt;0),AG$5,"")</f>
        <v/>
      </c>
      <c r="AH47" s="49" t="str">
        <f aca="false">IF(AND(AH46&gt;=0,MIN($D46:AH46)&lt;0),AH$5,"")</f>
        <v/>
      </c>
      <c r="AI47" s="49" t="str">
        <f aca="false">IF(AND(AI46&gt;=0,MIN($D46:AI46)&lt;0),AI$5,"")</f>
        <v/>
      </c>
      <c r="AJ47" s="49" t="str">
        <f aca="false">IF(AND(AJ46&gt;=0,MIN($D46:AJ46)&lt;0),AJ$5,"")</f>
        <v/>
      </c>
      <c r="AK47" s="49" t="str">
        <f aca="false">IF(AND(AK46&gt;=0,MIN($D46:AK46)&lt;0),AK$5,"")</f>
        <v/>
      </c>
      <c r="AL47" s="49" t="str">
        <f aca="false">IF(AND(AL46&gt;=0,MIN($D46:AL46)&lt;0),AL$5,"")</f>
        <v/>
      </c>
      <c r="AM47" s="49" t="str">
        <f aca="false">IF(AND(AM46&gt;=0,MIN($D46:AM46)&lt;0),AM$5,"")</f>
        <v/>
      </c>
    </row>
    <row r="49" customFormat="false" ht="15" hidden="false" customHeight="false" outlineLevel="0" collapsed="false">
      <c r="A49" s="23" t="s">
        <v>887</v>
      </c>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row>
    <row r="50" customFormat="false" ht="15" hidden="false" customHeight="false" outlineLevel="0" collapsed="false">
      <c r="A50" s="17" t="s">
        <v>888</v>
      </c>
      <c r="B50" s="50" t="n">
        <f aca="false">AM26</f>
        <v>0</v>
      </c>
    </row>
    <row r="51" customFormat="false" ht="15" hidden="false" customHeight="false" outlineLevel="0" collapsed="false">
      <c r="A51" s="17" t="s">
        <v>889</v>
      </c>
      <c r="B51" s="46" t="n">
        <f aca="false">AN30</f>
        <v>0</v>
      </c>
    </row>
    <row r="52" customFormat="false" ht="15" hidden="false" customHeight="false" outlineLevel="0" collapsed="false">
      <c r="A52" s="17" t="s">
        <v>890</v>
      </c>
      <c r="B52" s="46" t="n">
        <f aca="false">-AN43</f>
        <v>34615</v>
      </c>
    </row>
    <row r="53" customFormat="false" ht="15" hidden="false" customHeight="false" outlineLevel="0" collapsed="false">
      <c r="A53" s="17" t="s">
        <v>891</v>
      </c>
      <c r="B53" s="46" t="n">
        <f aca="false">AM41</f>
        <v>0</v>
      </c>
    </row>
    <row r="54" customFormat="false" ht="15" hidden="false" customHeight="false" outlineLevel="0" collapsed="false">
      <c r="A54" s="17" t="s">
        <v>892</v>
      </c>
      <c r="B54" s="46" t="n">
        <f aca="false">AM46</f>
        <v>-34615</v>
      </c>
    </row>
    <row r="55" customFormat="false" ht="15" hidden="false" customHeight="false" outlineLevel="0" collapsed="false">
      <c r="A55" s="17" t="s">
        <v>893</v>
      </c>
      <c r="B55" s="46" t="n">
        <f aca="false">MIN(D46:AM46)</f>
        <v>-34615</v>
      </c>
    </row>
    <row r="56" customFormat="false" ht="15" hidden="false" customHeight="false" outlineLevel="0" collapsed="false">
      <c r="A56" s="17" t="s">
        <v>894</v>
      </c>
      <c r="B56" s="49" t="str">
        <f aca="false">IF(COUNT(D47:AM47)=0,"Not within 36 mo",MIN(D47:AM47))</f>
        <v>Not within 36 mo</v>
      </c>
    </row>
    <row r="57" customFormat="false" ht="15" hidden="false" customHeight="false" outlineLevel="0" collapsed="false">
      <c r="A57" s="17" t="s">
        <v>816</v>
      </c>
      <c r="B57" s="46" t="n">
        <f aca="false">AN44</f>
        <v>-34615</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A1:AQ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4296875" defaultRowHeight="15" customHeight="false" zeroHeight="false" outlineLevelRow="0" outlineLevelCol="0"/>
  <cols>
    <col collapsed="false" customWidth="true" hidden="false" outlineLevel="0" max="1" min="1" style="1" width="56"/>
    <col collapsed="false" customWidth="true" hidden="false" outlineLevel="0" max="2" min="2" style="1" width="10"/>
    <col collapsed="false" customWidth="true" hidden="false" outlineLevel="0" max="3" min="3" style="1" width="15"/>
    <col collapsed="false" customWidth="true" hidden="false" outlineLevel="0" max="43" min="4" style="1" width="11"/>
  </cols>
  <sheetData>
    <row r="1" customFormat="false" ht="17.35" hidden="false" customHeight="false" outlineLevel="0" collapsed="false">
      <c r="A1" s="2" t="s">
        <v>895</v>
      </c>
    </row>
    <row r="2" customFormat="false" ht="15" hidden="false" customHeight="false" outlineLevel="0" collapsed="false">
      <c r="A2" s="60" t="s">
        <v>896</v>
      </c>
    </row>
    <row r="4" customFormat="false" ht="15" hidden="false" customHeight="false" outlineLevel="0" collapsed="false">
      <c r="A4" s="15" t="s">
        <v>726</v>
      </c>
      <c r="B4" s="15" t="s">
        <v>51</v>
      </c>
      <c r="C4" s="15" t="s">
        <v>844</v>
      </c>
      <c r="D4" s="61" t="s">
        <v>728</v>
      </c>
      <c r="E4" s="61" t="s">
        <v>729</v>
      </c>
      <c r="F4" s="61" t="s">
        <v>730</v>
      </c>
      <c r="G4" s="61" t="s">
        <v>731</v>
      </c>
      <c r="H4" s="61" t="s">
        <v>732</v>
      </c>
      <c r="I4" s="61" t="s">
        <v>733</v>
      </c>
      <c r="J4" s="61" t="s">
        <v>734</v>
      </c>
      <c r="K4" s="61" t="s">
        <v>735</v>
      </c>
      <c r="L4" s="61" t="s">
        <v>736</v>
      </c>
      <c r="M4" s="61" t="s">
        <v>737</v>
      </c>
      <c r="N4" s="61" t="s">
        <v>738</v>
      </c>
      <c r="O4" s="61" t="s">
        <v>739</v>
      </c>
      <c r="P4" s="61" t="s">
        <v>740</v>
      </c>
      <c r="Q4" s="61" t="s">
        <v>741</v>
      </c>
      <c r="R4" s="61" t="s">
        <v>742</v>
      </c>
      <c r="S4" s="61" t="s">
        <v>743</v>
      </c>
      <c r="T4" s="61" t="s">
        <v>744</v>
      </c>
      <c r="U4" s="61" t="s">
        <v>745</v>
      </c>
      <c r="V4" s="61" t="s">
        <v>746</v>
      </c>
      <c r="W4" s="61" t="s">
        <v>747</v>
      </c>
      <c r="X4" s="61" t="s">
        <v>748</v>
      </c>
      <c r="Y4" s="61" t="s">
        <v>749</v>
      </c>
      <c r="Z4" s="61" t="s">
        <v>750</v>
      </c>
      <c r="AA4" s="61" t="s">
        <v>751</v>
      </c>
      <c r="AB4" s="61" t="s">
        <v>752</v>
      </c>
      <c r="AC4" s="61" t="s">
        <v>753</v>
      </c>
      <c r="AD4" s="61" t="s">
        <v>754</v>
      </c>
      <c r="AE4" s="61" t="s">
        <v>755</v>
      </c>
      <c r="AF4" s="61" t="s">
        <v>756</v>
      </c>
      <c r="AG4" s="61" t="s">
        <v>757</v>
      </c>
      <c r="AH4" s="61" t="s">
        <v>758</v>
      </c>
      <c r="AI4" s="61" t="s">
        <v>759</v>
      </c>
      <c r="AJ4" s="61" t="s">
        <v>760</v>
      </c>
      <c r="AK4" s="61" t="s">
        <v>761</v>
      </c>
      <c r="AL4" s="61" t="s">
        <v>762</v>
      </c>
      <c r="AM4" s="61" t="s">
        <v>763</v>
      </c>
      <c r="AN4" s="61" t="s">
        <v>764</v>
      </c>
      <c r="AO4" s="61" t="s">
        <v>17</v>
      </c>
      <c r="AP4" s="61" t="s">
        <v>18</v>
      </c>
      <c r="AQ4" s="61" t="s">
        <v>19</v>
      </c>
    </row>
    <row r="5" customFormat="false" ht="15" hidden="false" customHeight="false" outlineLevel="0" collapsed="false">
      <c r="A5" s="1" t="s">
        <v>765</v>
      </c>
      <c r="B5" s="1" t="s">
        <v>766</v>
      </c>
      <c r="D5" s="11" t="n">
        <f aca="false">Forecast!D6</f>
        <v>1</v>
      </c>
      <c r="E5" s="11" t="n">
        <f aca="false">Forecast!E6</f>
        <v>2</v>
      </c>
      <c r="F5" s="11" t="n">
        <f aca="false">Forecast!F6</f>
        <v>3</v>
      </c>
      <c r="G5" s="11" t="n">
        <f aca="false">Forecast!G6</f>
        <v>4</v>
      </c>
      <c r="H5" s="11" t="n">
        <f aca="false">Forecast!H6</f>
        <v>5</v>
      </c>
      <c r="I5" s="11" t="n">
        <f aca="false">Forecast!I6</f>
        <v>6</v>
      </c>
      <c r="J5" s="11" t="n">
        <f aca="false">Forecast!J6</f>
        <v>7</v>
      </c>
      <c r="K5" s="11" t="n">
        <f aca="false">Forecast!K6</f>
        <v>8</v>
      </c>
      <c r="L5" s="11" t="n">
        <f aca="false">Forecast!L6</f>
        <v>9</v>
      </c>
      <c r="M5" s="11" t="n">
        <f aca="false">Forecast!M6</f>
        <v>10</v>
      </c>
      <c r="N5" s="11" t="n">
        <f aca="false">Forecast!N6</f>
        <v>11</v>
      </c>
      <c r="O5" s="11" t="n">
        <f aca="false">Forecast!O6</f>
        <v>12</v>
      </c>
      <c r="P5" s="11" t="n">
        <f aca="false">Forecast!P6</f>
        <v>13</v>
      </c>
      <c r="Q5" s="11" t="n">
        <f aca="false">Forecast!Q6</f>
        <v>14</v>
      </c>
      <c r="R5" s="11" t="n">
        <f aca="false">Forecast!R6</f>
        <v>15</v>
      </c>
      <c r="S5" s="11" t="n">
        <f aca="false">Forecast!S6</f>
        <v>16</v>
      </c>
      <c r="T5" s="11" t="n">
        <f aca="false">Forecast!T6</f>
        <v>17</v>
      </c>
      <c r="U5" s="11" t="n">
        <f aca="false">Forecast!U6</f>
        <v>18</v>
      </c>
      <c r="V5" s="11" t="n">
        <f aca="false">Forecast!V6</f>
        <v>19</v>
      </c>
      <c r="W5" s="11" t="n">
        <f aca="false">Forecast!W6</f>
        <v>20</v>
      </c>
      <c r="X5" s="11" t="n">
        <f aca="false">Forecast!X6</f>
        <v>21</v>
      </c>
      <c r="Y5" s="11" t="n">
        <f aca="false">Forecast!Y6</f>
        <v>22</v>
      </c>
      <c r="Z5" s="11" t="n">
        <f aca="false">Forecast!Z6</f>
        <v>23</v>
      </c>
      <c r="AA5" s="11" t="n">
        <f aca="false">Forecast!AA6</f>
        <v>24</v>
      </c>
      <c r="AB5" s="11" t="n">
        <f aca="false">Forecast!AB6</f>
        <v>25</v>
      </c>
      <c r="AC5" s="11" t="n">
        <f aca="false">Forecast!AC6</f>
        <v>26</v>
      </c>
      <c r="AD5" s="11" t="n">
        <f aca="false">Forecast!AD6</f>
        <v>27</v>
      </c>
      <c r="AE5" s="11" t="n">
        <f aca="false">Forecast!AE6</f>
        <v>28</v>
      </c>
      <c r="AF5" s="11" t="n">
        <f aca="false">Forecast!AF6</f>
        <v>29</v>
      </c>
      <c r="AG5" s="11" t="n">
        <f aca="false">Forecast!AG6</f>
        <v>30</v>
      </c>
      <c r="AH5" s="11" t="n">
        <f aca="false">Forecast!AH6</f>
        <v>31</v>
      </c>
      <c r="AI5" s="11" t="n">
        <f aca="false">Forecast!AI6</f>
        <v>32</v>
      </c>
      <c r="AJ5" s="11" t="n">
        <f aca="false">Forecast!AJ6</f>
        <v>33</v>
      </c>
      <c r="AK5" s="11" t="n">
        <f aca="false">Forecast!AK6</f>
        <v>34</v>
      </c>
      <c r="AL5" s="11" t="n">
        <f aca="false">Forecast!AL6</f>
        <v>35</v>
      </c>
      <c r="AM5" s="11" t="n">
        <f aca="false">Forecast!AM6</f>
        <v>36</v>
      </c>
    </row>
    <row r="6" customFormat="false" ht="15" hidden="false" customHeight="false" outlineLevel="0" collapsed="false">
      <c r="A6" s="23" t="s">
        <v>897</v>
      </c>
      <c r="B6" s="24"/>
      <c r="C6" s="24"/>
      <c r="D6" s="24"/>
      <c r="E6" s="24"/>
      <c r="F6" s="24"/>
      <c r="G6" s="24"/>
      <c r="H6" s="24"/>
      <c r="I6" s="24"/>
      <c r="J6" s="24"/>
      <c r="K6" s="24"/>
      <c r="L6" s="24"/>
      <c r="M6" s="24"/>
      <c r="N6" s="24"/>
      <c r="O6" s="24"/>
      <c r="P6" s="24"/>
      <c r="Q6" s="24"/>
      <c r="R6" s="24"/>
      <c r="S6" s="24"/>
      <c r="T6" s="24"/>
      <c r="U6" s="24"/>
      <c r="V6" s="24"/>
      <c r="W6" s="24"/>
      <c r="X6" s="24"/>
      <c r="Y6" s="24"/>
      <c r="Z6" s="24"/>
      <c r="AA6" s="24"/>
      <c r="AB6" s="24"/>
      <c r="AC6" s="24"/>
      <c r="AD6" s="24"/>
      <c r="AE6" s="24"/>
      <c r="AF6" s="24"/>
      <c r="AG6" s="24"/>
      <c r="AH6" s="24"/>
      <c r="AI6" s="24"/>
      <c r="AJ6" s="24"/>
      <c r="AK6" s="24"/>
      <c r="AL6" s="24"/>
      <c r="AM6" s="24"/>
      <c r="AN6" s="24"/>
      <c r="AO6" s="24"/>
      <c r="AP6" s="24"/>
      <c r="AQ6" s="24"/>
    </row>
    <row r="7" customFormat="false" ht="15" hidden="false" customHeight="false" outlineLevel="0" collapsed="false">
      <c r="A7" s="17" t="s">
        <v>898</v>
      </c>
      <c r="B7" s="40" t="n">
        <f aca="false">'Unit Economics'!$D$6</f>
        <v>10.681</v>
      </c>
    </row>
    <row r="8" customFormat="false" ht="15" hidden="false" customHeight="false" outlineLevel="0" collapsed="false">
      <c r="A8" s="17" t="s">
        <v>899</v>
      </c>
      <c r="B8" s="40" t="n">
        <f aca="false">Inputs!$E$48+Inputs!$F$48*Inputs!$D$48*Inputs!$B$43-B7</f>
        <v>0</v>
      </c>
    </row>
    <row r="9" customFormat="false" ht="15" hidden="false" customHeight="false" outlineLevel="0" collapsed="false">
      <c r="A9" s="17" t="s">
        <v>900</v>
      </c>
      <c r="B9" s="40" t="n">
        <f aca="false">Inputs!$H$269-B8*(1-Inputs!$B$36-Inputs!$B$40)</f>
        <v>3.3</v>
      </c>
    </row>
    <row r="10" customFormat="false" ht="15" hidden="false" customHeight="false" outlineLevel="0" collapsed="false">
      <c r="A10" s="17" t="s">
        <v>901</v>
      </c>
      <c r="B10" s="40" t="n">
        <f aca="false">'Unit Economics'!$N$6-0.3</f>
        <v>4.1452865</v>
      </c>
    </row>
    <row r="11" customFormat="false" ht="15" hidden="false" customHeight="false" outlineLevel="0" collapsed="false">
      <c r="A11" s="17" t="s">
        <v>902</v>
      </c>
      <c r="B11" s="40" t="n">
        <f aca="false">IF(Inputs!$B$286=1,Scenarios!$B$31,Scenarios!$B$32)</f>
        <v>39.574459580821</v>
      </c>
    </row>
    <row r="12" customFormat="false" ht="15" hidden="false" customHeight="false" outlineLevel="0" collapsed="false">
      <c r="A12" s="17" t="s">
        <v>903</v>
      </c>
      <c r="B12" s="47" t="n">
        <f aca="false">Inputs!$B$284*Inputs!$B$285</f>
        <v>0.25</v>
      </c>
    </row>
    <row r="13" customFormat="false" ht="15" hidden="false" customHeight="false" outlineLevel="0" collapsed="false">
      <c r="A13" s="17" t="s">
        <v>904</v>
      </c>
      <c r="B13" s="64" t="n">
        <f aca="false">1-Inputs!$H$267^(1/12)</f>
        <v>0.041675471372852</v>
      </c>
    </row>
    <row r="14" customFormat="false" ht="15" hidden="false" customHeight="false" outlineLevel="0" collapsed="false">
      <c r="A14" s="17" t="s">
        <v>905</v>
      </c>
      <c r="B14" s="46" t="n">
        <f aca="false">Inputs!$H$270+Inputs!$H$271+Inputs!$H$272+Inputs!$H$273+Inputs!$H$274+Inputs!$H$275</f>
        <v>300</v>
      </c>
    </row>
    <row r="16" customFormat="false" ht="15" hidden="false" customHeight="false" outlineLevel="0" collapsed="false">
      <c r="A16" s="23" t="s">
        <v>906</v>
      </c>
      <c r="B16" s="24"/>
      <c r="C16" s="24"/>
      <c r="D16" s="24"/>
      <c r="E16" s="24"/>
      <c r="F16" s="24"/>
      <c r="G16" s="24"/>
      <c r="H16" s="24"/>
      <c r="I16" s="24"/>
      <c r="J16" s="24"/>
      <c r="K16" s="24"/>
      <c r="L16" s="24"/>
      <c r="M16" s="24"/>
      <c r="N16" s="24"/>
      <c r="O16" s="24"/>
      <c r="P16" s="24"/>
      <c r="Q16" s="24"/>
      <c r="R16" s="24"/>
      <c r="S16" s="24"/>
      <c r="T16" s="24"/>
      <c r="U16" s="24"/>
      <c r="V16" s="24"/>
      <c r="W16" s="24"/>
      <c r="X16" s="24"/>
      <c r="Y16" s="24"/>
      <c r="Z16" s="24"/>
      <c r="AA16" s="24"/>
      <c r="AB16" s="24"/>
      <c r="AC16" s="24"/>
      <c r="AD16" s="24"/>
      <c r="AE16" s="24"/>
      <c r="AF16" s="24"/>
      <c r="AG16" s="24"/>
      <c r="AH16" s="24"/>
      <c r="AI16" s="24"/>
      <c r="AJ16" s="24"/>
      <c r="AK16" s="24"/>
      <c r="AL16" s="24"/>
      <c r="AM16" s="24"/>
      <c r="AN16" s="24"/>
      <c r="AO16" s="24"/>
      <c r="AP16" s="24"/>
      <c r="AQ16" s="24"/>
    </row>
    <row r="17" customFormat="false" ht="15" hidden="false" customHeight="false" outlineLevel="0" collapsed="false">
      <c r="A17" s="17" t="s">
        <v>907</v>
      </c>
      <c r="B17" s="17" t="s">
        <v>908</v>
      </c>
      <c r="D17" s="49" t="n">
        <f aca="false">IF(D$5&gt;=Inputs!$B$276,1,0)*'R&amp;D'!$C$19</f>
        <v>0</v>
      </c>
      <c r="E17" s="49" t="n">
        <f aca="false">IF(E$5&gt;=Inputs!$B$276,1,0)*'R&amp;D'!$C$19</f>
        <v>0</v>
      </c>
      <c r="F17" s="49" t="n">
        <f aca="false">IF(F$5&gt;=Inputs!$B$276,1,0)*'R&amp;D'!$C$19</f>
        <v>0</v>
      </c>
      <c r="G17" s="49" t="n">
        <f aca="false">IF(G$5&gt;=Inputs!$B$276,1,0)*'R&amp;D'!$C$19</f>
        <v>0</v>
      </c>
      <c r="H17" s="49" t="n">
        <f aca="false">IF(H$5&gt;=Inputs!$B$276,1,0)*'R&amp;D'!$C$19</f>
        <v>0</v>
      </c>
      <c r="I17" s="49" t="n">
        <f aca="false">IF(I$5&gt;=Inputs!$B$276,1,0)*'R&amp;D'!$C$19</f>
        <v>0</v>
      </c>
      <c r="J17" s="49" t="n">
        <f aca="false">IF(J$5&gt;=Inputs!$B$276,1,0)*'R&amp;D'!$C$19</f>
        <v>0</v>
      </c>
      <c r="K17" s="49" t="n">
        <f aca="false">IF(K$5&gt;=Inputs!$B$276,1,0)*'R&amp;D'!$C$19</f>
        <v>1</v>
      </c>
      <c r="L17" s="49" t="n">
        <f aca="false">IF(L$5&gt;=Inputs!$B$276,1,0)*'R&amp;D'!$C$19</f>
        <v>1</v>
      </c>
      <c r="M17" s="49" t="n">
        <f aca="false">IF(M$5&gt;=Inputs!$B$276,1,0)*'R&amp;D'!$C$19</f>
        <v>1</v>
      </c>
      <c r="N17" s="49" t="n">
        <f aca="false">IF(N$5&gt;=Inputs!$B$276,1,0)*'R&amp;D'!$C$19</f>
        <v>1</v>
      </c>
      <c r="O17" s="49" t="n">
        <f aca="false">IF(O$5&gt;=Inputs!$B$276,1,0)*'R&amp;D'!$C$19</f>
        <v>1</v>
      </c>
      <c r="P17" s="49" t="n">
        <f aca="false">IF(P$5&gt;=Inputs!$B$276,1,0)*'R&amp;D'!$C$19</f>
        <v>1</v>
      </c>
      <c r="Q17" s="49" t="n">
        <f aca="false">IF(Q$5&gt;=Inputs!$B$276,1,0)*'R&amp;D'!$C$19</f>
        <v>1</v>
      </c>
      <c r="R17" s="49" t="n">
        <f aca="false">IF(R$5&gt;=Inputs!$B$276,1,0)*'R&amp;D'!$C$19</f>
        <v>1</v>
      </c>
      <c r="S17" s="49" t="n">
        <f aca="false">IF(S$5&gt;=Inputs!$B$276,1,0)*'R&amp;D'!$C$19</f>
        <v>1</v>
      </c>
      <c r="T17" s="49" t="n">
        <f aca="false">IF(T$5&gt;=Inputs!$B$276,1,0)*'R&amp;D'!$C$19</f>
        <v>1</v>
      </c>
      <c r="U17" s="49" t="n">
        <f aca="false">IF(U$5&gt;=Inputs!$B$276,1,0)*'R&amp;D'!$C$19</f>
        <v>1</v>
      </c>
      <c r="V17" s="49" t="n">
        <f aca="false">IF(V$5&gt;=Inputs!$B$276,1,0)*'R&amp;D'!$C$19</f>
        <v>1</v>
      </c>
      <c r="W17" s="49" t="n">
        <f aca="false">IF(W$5&gt;=Inputs!$B$276,1,0)*'R&amp;D'!$C$19</f>
        <v>1</v>
      </c>
      <c r="X17" s="49" t="n">
        <f aca="false">IF(X$5&gt;=Inputs!$B$276,1,0)*'R&amp;D'!$C$19</f>
        <v>1</v>
      </c>
      <c r="Y17" s="49" t="n">
        <f aca="false">IF(Y$5&gt;=Inputs!$B$276,1,0)*'R&amp;D'!$C$19</f>
        <v>1</v>
      </c>
      <c r="Z17" s="49" t="n">
        <f aca="false">IF(Z$5&gt;=Inputs!$B$276,1,0)*'R&amp;D'!$C$19</f>
        <v>1</v>
      </c>
      <c r="AA17" s="49" t="n">
        <f aca="false">IF(AA$5&gt;=Inputs!$B$276,1,0)*'R&amp;D'!$C$19</f>
        <v>1</v>
      </c>
      <c r="AB17" s="49" t="n">
        <f aca="false">IF(AB$5&gt;=Inputs!$B$276,1,0)*'R&amp;D'!$C$19</f>
        <v>1</v>
      </c>
      <c r="AC17" s="49" t="n">
        <f aca="false">IF(AC$5&gt;=Inputs!$B$276,1,0)*'R&amp;D'!$C$19</f>
        <v>1</v>
      </c>
      <c r="AD17" s="49" t="n">
        <f aca="false">IF(AD$5&gt;=Inputs!$B$276,1,0)*'R&amp;D'!$C$19</f>
        <v>1</v>
      </c>
      <c r="AE17" s="49" t="n">
        <f aca="false">IF(AE$5&gt;=Inputs!$B$276,1,0)*'R&amp;D'!$C$19</f>
        <v>1</v>
      </c>
      <c r="AF17" s="49" t="n">
        <f aca="false">IF(AF$5&gt;=Inputs!$B$276,1,0)*'R&amp;D'!$C$19</f>
        <v>1</v>
      </c>
      <c r="AG17" s="49" t="n">
        <f aca="false">IF(AG$5&gt;=Inputs!$B$276,1,0)*'R&amp;D'!$C$19</f>
        <v>1</v>
      </c>
      <c r="AH17" s="49" t="n">
        <f aca="false">IF(AH$5&gt;=Inputs!$B$276,1,0)*'R&amp;D'!$C$19</f>
        <v>1</v>
      </c>
      <c r="AI17" s="49" t="n">
        <f aca="false">IF(AI$5&gt;=Inputs!$B$276,1,0)*'R&amp;D'!$C$19</f>
        <v>1</v>
      </c>
      <c r="AJ17" s="49" t="n">
        <f aca="false">IF(AJ$5&gt;=Inputs!$B$276,1,0)*'R&amp;D'!$C$19</f>
        <v>1</v>
      </c>
      <c r="AK17" s="49" t="n">
        <f aca="false">IF(AK$5&gt;=Inputs!$B$276,1,0)*'R&amp;D'!$C$19</f>
        <v>1</v>
      </c>
      <c r="AL17" s="49" t="n">
        <f aca="false">IF(AL$5&gt;=Inputs!$B$276,1,0)*'R&amp;D'!$C$19</f>
        <v>1</v>
      </c>
      <c r="AM17" s="49" t="n">
        <f aca="false">IF(AM$5&gt;=Inputs!$B$276,1,0)*'R&amp;D'!$C$19</f>
        <v>1</v>
      </c>
    </row>
    <row r="18" customFormat="false" ht="15" hidden="false" customHeight="false" outlineLevel="0" collapsed="false">
      <c r="A18" s="17" t="s">
        <v>909</v>
      </c>
      <c r="B18" s="17" t="s">
        <v>607</v>
      </c>
      <c r="D18" s="43" t="n">
        <f aca="false">D17*Inputs!$H$265/12*IF(D$5&lt;Inputs!$B$276+12,1,Inputs!$B$277)</f>
        <v>0</v>
      </c>
      <c r="E18" s="43" t="n">
        <f aca="false">E17*Inputs!$H$265/12*IF(E$5&lt;Inputs!$B$276+12,1,Inputs!$B$277)</f>
        <v>0</v>
      </c>
      <c r="F18" s="43" t="n">
        <f aca="false">F17*Inputs!$H$265/12*IF(F$5&lt;Inputs!$B$276+12,1,Inputs!$B$277)</f>
        <v>0</v>
      </c>
      <c r="G18" s="43" t="n">
        <f aca="false">G17*Inputs!$H$265/12*IF(G$5&lt;Inputs!$B$276+12,1,Inputs!$B$277)</f>
        <v>0</v>
      </c>
      <c r="H18" s="43" t="n">
        <f aca="false">H17*Inputs!$H$265/12*IF(H$5&lt;Inputs!$B$276+12,1,Inputs!$B$277)</f>
        <v>0</v>
      </c>
      <c r="I18" s="43" t="n">
        <f aca="false">I17*Inputs!$H$265/12*IF(I$5&lt;Inputs!$B$276+12,1,Inputs!$B$277)</f>
        <v>0</v>
      </c>
      <c r="J18" s="43" t="n">
        <f aca="false">J17*Inputs!$H$265/12*IF(J$5&lt;Inputs!$B$276+12,1,Inputs!$B$277)</f>
        <v>0</v>
      </c>
      <c r="K18" s="43" t="n">
        <f aca="false">K17*Inputs!$H$265/12*IF(K$5&lt;Inputs!$B$276+12,1,Inputs!$B$277)</f>
        <v>12.5</v>
      </c>
      <c r="L18" s="43" t="n">
        <f aca="false">L17*Inputs!$H$265/12*IF(L$5&lt;Inputs!$B$276+12,1,Inputs!$B$277)</f>
        <v>12.5</v>
      </c>
      <c r="M18" s="43" t="n">
        <f aca="false">M17*Inputs!$H$265/12*IF(M$5&lt;Inputs!$B$276+12,1,Inputs!$B$277)</f>
        <v>12.5</v>
      </c>
      <c r="N18" s="43" t="n">
        <f aca="false">N17*Inputs!$H$265/12*IF(N$5&lt;Inputs!$B$276+12,1,Inputs!$B$277)</f>
        <v>12.5</v>
      </c>
      <c r="O18" s="43" t="n">
        <f aca="false">O17*Inputs!$H$265/12*IF(O$5&lt;Inputs!$B$276+12,1,Inputs!$B$277)</f>
        <v>12.5</v>
      </c>
      <c r="P18" s="43" t="n">
        <f aca="false">P17*Inputs!$H$265/12*IF(P$5&lt;Inputs!$B$276+12,1,Inputs!$B$277)</f>
        <v>12.5</v>
      </c>
      <c r="Q18" s="43" t="n">
        <f aca="false">Q17*Inputs!$H$265/12*IF(Q$5&lt;Inputs!$B$276+12,1,Inputs!$B$277)</f>
        <v>12.5</v>
      </c>
      <c r="R18" s="43" t="n">
        <f aca="false">R17*Inputs!$H$265/12*IF(R$5&lt;Inputs!$B$276+12,1,Inputs!$B$277)</f>
        <v>12.5</v>
      </c>
      <c r="S18" s="43" t="n">
        <f aca="false">S17*Inputs!$H$265/12*IF(S$5&lt;Inputs!$B$276+12,1,Inputs!$B$277)</f>
        <v>12.5</v>
      </c>
      <c r="T18" s="43" t="n">
        <f aca="false">T17*Inputs!$H$265/12*IF(T$5&lt;Inputs!$B$276+12,1,Inputs!$B$277)</f>
        <v>12.5</v>
      </c>
      <c r="U18" s="43" t="n">
        <f aca="false">U17*Inputs!$H$265/12*IF(U$5&lt;Inputs!$B$276+12,1,Inputs!$B$277)</f>
        <v>12.5</v>
      </c>
      <c r="V18" s="43" t="n">
        <f aca="false">V17*Inputs!$H$265/12*IF(V$5&lt;Inputs!$B$276+12,1,Inputs!$B$277)</f>
        <v>12.5</v>
      </c>
      <c r="W18" s="43" t="n">
        <f aca="false">W17*Inputs!$H$265/12*IF(W$5&lt;Inputs!$B$276+12,1,Inputs!$B$277)</f>
        <v>12.5</v>
      </c>
      <c r="X18" s="43" t="n">
        <f aca="false">X17*Inputs!$H$265/12*IF(X$5&lt;Inputs!$B$276+12,1,Inputs!$B$277)</f>
        <v>12.5</v>
      </c>
      <c r="Y18" s="43" t="n">
        <f aca="false">Y17*Inputs!$H$265/12*IF(Y$5&lt;Inputs!$B$276+12,1,Inputs!$B$277)</f>
        <v>12.5</v>
      </c>
      <c r="Z18" s="43" t="n">
        <f aca="false">Z17*Inputs!$H$265/12*IF(Z$5&lt;Inputs!$B$276+12,1,Inputs!$B$277)</f>
        <v>12.5</v>
      </c>
      <c r="AA18" s="43" t="n">
        <f aca="false">AA17*Inputs!$H$265/12*IF(AA$5&lt;Inputs!$B$276+12,1,Inputs!$B$277)</f>
        <v>12.5</v>
      </c>
      <c r="AB18" s="43" t="n">
        <f aca="false">AB17*Inputs!$H$265/12*IF(AB$5&lt;Inputs!$B$276+12,1,Inputs!$B$277)</f>
        <v>12.5</v>
      </c>
      <c r="AC18" s="43" t="n">
        <f aca="false">AC17*Inputs!$H$265/12*IF(AC$5&lt;Inputs!$B$276+12,1,Inputs!$B$277)</f>
        <v>12.5</v>
      </c>
      <c r="AD18" s="43" t="n">
        <f aca="false">AD17*Inputs!$H$265/12*IF(AD$5&lt;Inputs!$B$276+12,1,Inputs!$B$277)</f>
        <v>12.5</v>
      </c>
      <c r="AE18" s="43" t="n">
        <f aca="false">AE17*Inputs!$H$265/12*IF(AE$5&lt;Inputs!$B$276+12,1,Inputs!$B$277)</f>
        <v>12.5</v>
      </c>
      <c r="AF18" s="43" t="n">
        <f aca="false">AF17*Inputs!$H$265/12*IF(AF$5&lt;Inputs!$B$276+12,1,Inputs!$B$277)</f>
        <v>12.5</v>
      </c>
      <c r="AG18" s="43" t="n">
        <f aca="false">AG17*Inputs!$H$265/12*IF(AG$5&lt;Inputs!$B$276+12,1,Inputs!$B$277)</f>
        <v>12.5</v>
      </c>
      <c r="AH18" s="43" t="n">
        <f aca="false">AH17*Inputs!$H$265/12*IF(AH$5&lt;Inputs!$B$276+12,1,Inputs!$B$277)</f>
        <v>12.5</v>
      </c>
      <c r="AI18" s="43" t="n">
        <f aca="false">AI17*Inputs!$H$265/12*IF(AI$5&lt;Inputs!$B$276+12,1,Inputs!$B$277)</f>
        <v>12.5</v>
      </c>
      <c r="AJ18" s="43" t="n">
        <f aca="false">AJ17*Inputs!$H$265/12*IF(AJ$5&lt;Inputs!$B$276+12,1,Inputs!$B$277)</f>
        <v>12.5</v>
      </c>
      <c r="AK18" s="43" t="n">
        <f aca="false">AK17*Inputs!$H$265/12*IF(AK$5&lt;Inputs!$B$276+12,1,Inputs!$B$277)</f>
        <v>12.5</v>
      </c>
      <c r="AL18" s="43" t="n">
        <f aca="false">AL17*Inputs!$H$265/12*IF(AL$5&lt;Inputs!$B$276+12,1,Inputs!$B$277)</f>
        <v>12.5</v>
      </c>
      <c r="AM18" s="43" t="n">
        <f aca="false">AM17*Inputs!$H$265/12*IF(AM$5&lt;Inputs!$B$276+12,1,Inputs!$B$277)</f>
        <v>12.5</v>
      </c>
      <c r="AN18" s="43" t="n">
        <f aca="false">SUM(D18:AM18)</f>
        <v>362.5</v>
      </c>
      <c r="AO18" s="43" t="n">
        <f aca="false">SUM(D18:O18)</f>
        <v>62.5</v>
      </c>
      <c r="AP18" s="43" t="n">
        <f aca="false">SUM(P18:AA18)</f>
        <v>150</v>
      </c>
      <c r="AQ18" s="43" t="n">
        <f aca="false">SUM(AB18:AM18)</f>
        <v>150</v>
      </c>
    </row>
    <row r="19" customFormat="false" ht="15" hidden="false" customHeight="false" outlineLevel="0" collapsed="false">
      <c r="A19" s="3" t="s">
        <v>910</v>
      </c>
      <c r="B19" s="17" t="s">
        <v>607</v>
      </c>
      <c r="C19" s="43" t="n">
        <v>0</v>
      </c>
      <c r="D19" s="65" t="n">
        <f aca="false">D18</f>
        <v>0</v>
      </c>
      <c r="E19" s="65" t="n">
        <f aca="false">D19*(1-$B$13)+E18</f>
        <v>0</v>
      </c>
      <c r="F19" s="65" t="n">
        <f aca="false">E19*(1-$B$13)+F18</f>
        <v>0</v>
      </c>
      <c r="G19" s="65" t="n">
        <f aca="false">F19*(1-$B$13)+G18</f>
        <v>0</v>
      </c>
      <c r="H19" s="65" t="n">
        <f aca="false">G19*(1-$B$13)+H18</f>
        <v>0</v>
      </c>
      <c r="I19" s="65" t="n">
        <f aca="false">H19*(1-$B$13)+I18</f>
        <v>0</v>
      </c>
      <c r="J19" s="65" t="n">
        <f aca="false">I19*(1-$B$13)+J18</f>
        <v>0</v>
      </c>
      <c r="K19" s="65" t="n">
        <f aca="false">J19*(1-$B$13)+K18</f>
        <v>12.5</v>
      </c>
      <c r="L19" s="65" t="n">
        <f aca="false">K19*(1-$B$13)+L18</f>
        <v>24.4790566078394</v>
      </c>
      <c r="M19" s="65" t="n">
        <f aca="false">L19*(1-$B$13)+M18</f>
        <v>35.9588803849449</v>
      </c>
      <c r="N19" s="65" t="n">
        <f aca="false">M19*(1-$B$13)+N18</f>
        <v>46.9602770948623</v>
      </c>
      <c r="O19" s="65" t="n">
        <f aca="false">N19*(1-$B$13)+O18</f>
        <v>57.5031854111342</v>
      </c>
      <c r="P19" s="65" t="n">
        <f aca="false">O19*(1-$B$13)+P18</f>
        <v>67.6067130536847</v>
      </c>
      <c r="Q19" s="65" t="n">
        <f aca="false">P19*(1-$B$13)+Q18</f>
        <v>77.2891714192032</v>
      </c>
      <c r="R19" s="65" t="n">
        <f aca="false">Q19*(1-$B$13)+R18</f>
        <v>86.5681087682908</v>
      </c>
      <c r="S19" s="65" t="n">
        <f aca="false">R19*(1-$B$13)+S18</f>
        <v>95.4603420295159</v>
      </c>
      <c r="T19" s="65" t="n">
        <f aca="false">S19*(1-$B$13)+T18</f>
        <v>103.981987278022</v>
      </c>
      <c r="U19" s="65" t="n">
        <f aca="false">T19*(1-$B$13)+U18</f>
        <v>112.148488943925</v>
      </c>
      <c r="V19" s="65" t="n">
        <f aca="false">U19*(1-$B$13)+V18</f>
        <v>119.974647803434</v>
      </c>
      <c r="W19" s="65" t="n">
        <f aca="false">V19*(1-$B$13)+W18</f>
        <v>127.474647803434</v>
      </c>
      <c r="X19" s="65" t="n">
        <f aca="false">W19*(1-$B$13)+X18</f>
        <v>134.662081768137</v>
      </c>
      <c r="Y19" s="65" t="n">
        <f aca="false">X19*(1-$B$13)+Y18</f>
        <v>141.549976034401</v>
      </c>
      <c r="Z19" s="65" t="n">
        <f aca="false">Y19*(1-$B$13)+Z18</f>
        <v>148.150814060351</v>
      </c>
      <c r="AA19" s="65" t="n">
        <f aca="false">Z19*(1-$B$13)+AA18</f>
        <v>154.476559050114</v>
      </c>
      <c r="AB19" s="65" t="n">
        <f aca="false">AA19*(1-$B$13)+AB18</f>
        <v>160.538675635644</v>
      </c>
      <c r="AC19" s="65" t="n">
        <f aca="false">AB19*(1-$B$13)+AC18</f>
        <v>166.348150654956</v>
      </c>
      <c r="AD19" s="65" t="n">
        <f aca="false">AC19*(1-$B$13)+AD18</f>
        <v>171.915513064408</v>
      </c>
      <c r="AE19" s="65" t="n">
        <f aca="false">AD19*(1-$B$13)+AE18</f>
        <v>177.250853021143</v>
      </c>
      <c r="AF19" s="65" t="n">
        <f aca="false">AE19*(1-$B$13)+AF18</f>
        <v>182.363840170247</v>
      </c>
      <c r="AG19" s="65" t="n">
        <f aca="false">AF19*(1-$B$13)+AG18</f>
        <v>187.263741169788</v>
      </c>
      <c r="AH19" s="65" t="n">
        <f aca="false">AG19*(1-$B$13)+AH18</f>
        <v>191.959436485494</v>
      </c>
      <c r="AI19" s="65" t="n">
        <f aca="false">AH19*(1-$B$13)+AI18</f>
        <v>196.459436485494</v>
      </c>
      <c r="AJ19" s="65" t="n">
        <f aca="false">AI19*(1-$B$13)+AJ18</f>
        <v>200.771896864316</v>
      </c>
      <c r="AK19" s="65" t="n">
        <f aca="false">AJ19*(1-$B$13)+AK18</f>
        <v>204.904633424074</v>
      </c>
      <c r="AL19" s="65" t="n">
        <f aca="false">AK19*(1-$B$13)+AL18</f>
        <v>208.865136239644</v>
      </c>
      <c r="AM19" s="65" t="n">
        <f aca="false">AL19*(1-$B$13)+AM18</f>
        <v>212.660583233502</v>
      </c>
    </row>
    <row r="20" customFormat="false" ht="15" hidden="false" customHeight="false" outlineLevel="0" collapsed="false">
      <c r="A20" s="17" t="s">
        <v>911</v>
      </c>
      <c r="B20" s="17" t="s">
        <v>607</v>
      </c>
      <c r="D20" s="43" t="n">
        <f aca="false">D19/Inputs!$B$278</f>
        <v>0</v>
      </c>
      <c r="E20" s="43" t="n">
        <f aca="false">E19/Inputs!$B$278</f>
        <v>0</v>
      </c>
      <c r="F20" s="43" t="n">
        <f aca="false">F19/Inputs!$B$278</f>
        <v>0</v>
      </c>
      <c r="G20" s="43" t="n">
        <f aca="false">G19/Inputs!$B$278</f>
        <v>0</v>
      </c>
      <c r="H20" s="43" t="n">
        <f aca="false">H19/Inputs!$B$278</f>
        <v>0</v>
      </c>
      <c r="I20" s="43" t="n">
        <f aca="false">I19/Inputs!$B$278</f>
        <v>0</v>
      </c>
      <c r="J20" s="43" t="n">
        <f aca="false">J19/Inputs!$B$278</f>
        <v>0</v>
      </c>
      <c r="K20" s="43" t="n">
        <f aca="false">K19/Inputs!$B$278</f>
        <v>31.25</v>
      </c>
      <c r="L20" s="43" t="n">
        <f aca="false">L19/Inputs!$B$278</f>
        <v>61.1976415195984</v>
      </c>
      <c r="M20" s="43" t="n">
        <f aca="false">M19/Inputs!$B$278</f>
        <v>89.8972009623623</v>
      </c>
      <c r="N20" s="43" t="n">
        <f aca="false">N19/Inputs!$B$278</f>
        <v>117.400692737156</v>
      </c>
      <c r="O20" s="43" t="n">
        <f aca="false">O19/Inputs!$B$278</f>
        <v>143.757963527836</v>
      </c>
      <c r="P20" s="43" t="n">
        <f aca="false">P19/Inputs!$B$278</f>
        <v>169.016782634212</v>
      </c>
      <c r="Q20" s="43" t="n">
        <f aca="false">Q19/Inputs!$B$278</f>
        <v>193.222928548008</v>
      </c>
      <c r="R20" s="43" t="n">
        <f aca="false">R19/Inputs!$B$278</f>
        <v>216.420271920727</v>
      </c>
      <c r="S20" s="43" t="n">
        <f aca="false">S19/Inputs!$B$278</f>
        <v>238.65085507379</v>
      </c>
      <c r="T20" s="43" t="n">
        <f aca="false">T19/Inputs!$B$278</f>
        <v>259.954968195055</v>
      </c>
      <c r="U20" s="43" t="n">
        <f aca="false">U19/Inputs!$B$278</f>
        <v>280.371222359812</v>
      </c>
      <c r="V20" s="43" t="n">
        <f aca="false">V19/Inputs!$B$278</f>
        <v>299.936619508584</v>
      </c>
      <c r="W20" s="43" t="n">
        <f aca="false">W19/Inputs!$B$278</f>
        <v>318.686619508584</v>
      </c>
      <c r="X20" s="43" t="n">
        <f aca="false">X19/Inputs!$B$278</f>
        <v>336.655204420343</v>
      </c>
      <c r="Y20" s="43" t="n">
        <f aca="false">Y19/Inputs!$B$278</f>
        <v>353.874940086001</v>
      </c>
      <c r="Z20" s="43" t="n">
        <f aca="false">Z19/Inputs!$B$278</f>
        <v>370.377035150877</v>
      </c>
      <c r="AA20" s="43" t="n">
        <f aca="false">AA19/Inputs!$B$278</f>
        <v>386.191397625285</v>
      </c>
      <c r="AB20" s="43" t="n">
        <f aca="false">AB19/Inputs!$B$278</f>
        <v>401.346689089111</v>
      </c>
      <c r="AC20" s="43" t="n">
        <f aca="false">AC19/Inputs!$B$278</f>
        <v>415.870376637389</v>
      </c>
      <c r="AD20" s="43" t="n">
        <f aca="false">AD19/Inputs!$B$278</f>
        <v>429.78878266102</v>
      </c>
      <c r="AE20" s="43" t="n">
        <f aca="false">AE19/Inputs!$B$278</f>
        <v>443.127132552858</v>
      </c>
      <c r="AF20" s="43" t="n">
        <f aca="false">AF19/Inputs!$B$278</f>
        <v>455.909600425617</v>
      </c>
      <c r="AG20" s="43" t="n">
        <f aca="false">AG19/Inputs!$B$278</f>
        <v>468.159352924471</v>
      </c>
      <c r="AH20" s="43" t="n">
        <f aca="false">AH19/Inputs!$B$278</f>
        <v>479.898591213734</v>
      </c>
      <c r="AI20" s="43" t="n">
        <f aca="false">AI19/Inputs!$B$278</f>
        <v>491.148591213734</v>
      </c>
      <c r="AJ20" s="43" t="n">
        <f aca="false">AJ19/Inputs!$B$278</f>
        <v>501.92974216079</v>
      </c>
      <c r="AK20" s="43" t="n">
        <f aca="false">AK19/Inputs!$B$278</f>
        <v>512.261583560185</v>
      </c>
      <c r="AL20" s="43" t="n">
        <f aca="false">AL19/Inputs!$B$278</f>
        <v>522.16284059911</v>
      </c>
      <c r="AM20" s="43" t="n">
        <f aca="false">AM19/Inputs!$B$278</f>
        <v>531.651458083755</v>
      </c>
    </row>
    <row r="21" customFormat="false" ht="15" hidden="false" customHeight="false" outlineLevel="0" collapsed="false">
      <c r="A21" s="17" t="s">
        <v>912</v>
      </c>
      <c r="B21" s="17" t="s">
        <v>913</v>
      </c>
      <c r="D21" s="43" t="n">
        <f aca="false">D20*Inputs!$B$279</f>
        <v>0</v>
      </c>
      <c r="E21" s="43" t="n">
        <f aca="false">E20*Inputs!$B$279</f>
        <v>0</v>
      </c>
      <c r="F21" s="43" t="n">
        <f aca="false">F20*Inputs!$B$279</f>
        <v>0</v>
      </c>
      <c r="G21" s="43" t="n">
        <f aca="false">G20*Inputs!$B$279</f>
        <v>0</v>
      </c>
      <c r="H21" s="43" t="n">
        <f aca="false">H20*Inputs!$B$279</f>
        <v>0</v>
      </c>
      <c r="I21" s="43" t="n">
        <f aca="false">I20*Inputs!$B$279</f>
        <v>0</v>
      </c>
      <c r="J21" s="43" t="n">
        <f aca="false">J20*Inputs!$B$279</f>
        <v>0</v>
      </c>
      <c r="K21" s="43" t="n">
        <f aca="false">K20*Inputs!$B$279</f>
        <v>15.625</v>
      </c>
      <c r="L21" s="43" t="n">
        <f aca="false">L20*Inputs!$B$279</f>
        <v>30.5988207597992</v>
      </c>
      <c r="M21" s="43" t="n">
        <f aca="false">M20*Inputs!$B$279</f>
        <v>44.9486004811811</v>
      </c>
      <c r="N21" s="43" t="n">
        <f aca="false">N20*Inputs!$B$279</f>
        <v>58.7003463685779</v>
      </c>
      <c r="O21" s="43" t="n">
        <f aca="false">O20*Inputs!$B$279</f>
        <v>71.8789817639178</v>
      </c>
      <c r="P21" s="43" t="n">
        <f aca="false">P20*Inputs!$B$279</f>
        <v>84.5083913171059</v>
      </c>
      <c r="Q21" s="43" t="n">
        <f aca="false">Q20*Inputs!$B$279</f>
        <v>96.611464274004</v>
      </c>
      <c r="R21" s="43" t="n">
        <f aca="false">R20*Inputs!$B$279</f>
        <v>108.210135960363</v>
      </c>
      <c r="S21" s="43" t="n">
        <f aca="false">S20*Inputs!$B$279</f>
        <v>119.325427536895</v>
      </c>
      <c r="T21" s="43" t="n">
        <f aca="false">T20*Inputs!$B$279</f>
        <v>129.977484097528</v>
      </c>
      <c r="U21" s="43" t="n">
        <f aca="false">U20*Inputs!$B$279</f>
        <v>140.185611179906</v>
      </c>
      <c r="V21" s="43" t="n">
        <f aca="false">V20*Inputs!$B$279</f>
        <v>149.968309754292</v>
      </c>
      <c r="W21" s="43" t="n">
        <f aca="false">W20*Inputs!$B$279</f>
        <v>159.343309754292</v>
      </c>
      <c r="X21" s="43" t="n">
        <f aca="false">X20*Inputs!$B$279</f>
        <v>168.327602210171</v>
      </c>
      <c r="Y21" s="43" t="n">
        <f aca="false">Y20*Inputs!$B$279</f>
        <v>176.937470043001</v>
      </c>
      <c r="Z21" s="43" t="n">
        <f aca="false">Z20*Inputs!$B$279</f>
        <v>185.188517575439</v>
      </c>
      <c r="AA21" s="43" t="n">
        <f aca="false">AA20*Inputs!$B$279</f>
        <v>193.095698812643</v>
      </c>
      <c r="AB21" s="43" t="n">
        <f aca="false">AB20*Inputs!$B$279</f>
        <v>200.673344544555</v>
      </c>
      <c r="AC21" s="43" t="n">
        <f aca="false">AC20*Inputs!$B$279</f>
        <v>207.935188318694</v>
      </c>
      <c r="AD21" s="43" t="n">
        <f aca="false">AD20*Inputs!$B$279</f>
        <v>214.89439133051</v>
      </c>
      <c r="AE21" s="43" t="n">
        <f aca="false">AE20*Inputs!$B$279</f>
        <v>221.563566276429</v>
      </c>
      <c r="AF21" s="43" t="n">
        <f aca="false">AF20*Inputs!$B$279</f>
        <v>227.954800212809</v>
      </c>
      <c r="AG21" s="43" t="n">
        <f aca="false">AG20*Inputs!$B$279</f>
        <v>234.079676462236</v>
      </c>
      <c r="AH21" s="43" t="n">
        <f aca="false">AH20*Inputs!$B$279</f>
        <v>239.949295606867</v>
      </c>
      <c r="AI21" s="43" t="n">
        <f aca="false">AI20*Inputs!$B$279</f>
        <v>245.574295606867</v>
      </c>
      <c r="AJ21" s="43" t="n">
        <f aca="false">AJ20*Inputs!$B$279</f>
        <v>250.964871080395</v>
      </c>
      <c r="AK21" s="43" t="n">
        <f aca="false">AK20*Inputs!$B$279</f>
        <v>256.130791780092</v>
      </c>
      <c r="AL21" s="43" t="n">
        <f aca="false">AL20*Inputs!$B$279</f>
        <v>261.081420299555</v>
      </c>
      <c r="AM21" s="43" t="n">
        <f aca="false">AM20*Inputs!$B$279</f>
        <v>265.825729041878</v>
      </c>
    </row>
    <row r="22" customFormat="false" ht="15" hidden="false" customHeight="false" outlineLevel="0" collapsed="false">
      <c r="A22" s="17" t="s">
        <v>914</v>
      </c>
      <c r="B22" s="17" t="s">
        <v>872</v>
      </c>
      <c r="D22" s="66" t="n">
        <f aca="false">Inputs!$H$266/12*IF(AND(D17=1,D$5&gt;=Inputs!$B$276+12),1+Inputs!$B$283,1)</f>
        <v>0.416666666666667</v>
      </c>
      <c r="E22" s="66" t="n">
        <f aca="false">Inputs!$H$266/12*IF(AND(E17=1,E$5&gt;=Inputs!$B$276+12),1+Inputs!$B$283,1)</f>
        <v>0.416666666666667</v>
      </c>
      <c r="F22" s="66" t="n">
        <f aca="false">Inputs!$H$266/12*IF(AND(F17=1,F$5&gt;=Inputs!$B$276+12),1+Inputs!$B$283,1)</f>
        <v>0.416666666666667</v>
      </c>
      <c r="G22" s="66" t="n">
        <f aca="false">Inputs!$H$266/12*IF(AND(G17=1,G$5&gt;=Inputs!$B$276+12),1+Inputs!$B$283,1)</f>
        <v>0.416666666666667</v>
      </c>
      <c r="H22" s="66" t="n">
        <f aca="false">Inputs!$H$266/12*IF(AND(H17=1,H$5&gt;=Inputs!$B$276+12),1+Inputs!$B$283,1)</f>
        <v>0.416666666666667</v>
      </c>
      <c r="I22" s="66" t="n">
        <f aca="false">Inputs!$H$266/12*IF(AND(I17=1,I$5&gt;=Inputs!$B$276+12),1+Inputs!$B$283,1)</f>
        <v>0.416666666666667</v>
      </c>
      <c r="J22" s="66" t="n">
        <f aca="false">Inputs!$H$266/12*IF(AND(J17=1,J$5&gt;=Inputs!$B$276+12),1+Inputs!$B$283,1)</f>
        <v>0.416666666666667</v>
      </c>
      <c r="K22" s="66" t="n">
        <f aca="false">Inputs!$H$266/12*IF(AND(K17=1,K$5&gt;=Inputs!$B$276+12),1+Inputs!$B$283,1)</f>
        <v>0.416666666666667</v>
      </c>
      <c r="L22" s="66" t="n">
        <f aca="false">Inputs!$H$266/12*IF(AND(L17=1,L$5&gt;=Inputs!$B$276+12),1+Inputs!$B$283,1)</f>
        <v>0.416666666666667</v>
      </c>
      <c r="M22" s="66" t="n">
        <f aca="false">Inputs!$H$266/12*IF(AND(M17=1,M$5&gt;=Inputs!$B$276+12),1+Inputs!$B$283,1)</f>
        <v>0.416666666666667</v>
      </c>
      <c r="N22" s="66" t="n">
        <f aca="false">Inputs!$H$266/12*IF(AND(N17=1,N$5&gt;=Inputs!$B$276+12),1+Inputs!$B$283,1)</f>
        <v>0.416666666666667</v>
      </c>
      <c r="O22" s="66" t="n">
        <f aca="false">Inputs!$H$266/12*IF(AND(O17=1,O$5&gt;=Inputs!$B$276+12),1+Inputs!$B$283,1)</f>
        <v>0.416666666666667</v>
      </c>
      <c r="P22" s="66" t="n">
        <f aca="false">Inputs!$H$266/12*IF(AND(P17=1,P$5&gt;=Inputs!$B$276+12),1+Inputs!$B$283,1)</f>
        <v>0.416666666666667</v>
      </c>
      <c r="Q22" s="66" t="n">
        <f aca="false">Inputs!$H$266/12*IF(AND(Q17=1,Q$5&gt;=Inputs!$B$276+12),1+Inputs!$B$283,1)</f>
        <v>0.416666666666667</v>
      </c>
      <c r="R22" s="66" t="n">
        <f aca="false">Inputs!$H$266/12*IF(AND(R17=1,R$5&gt;=Inputs!$B$276+12),1+Inputs!$B$283,1)</f>
        <v>0.416666666666667</v>
      </c>
      <c r="S22" s="66" t="n">
        <f aca="false">Inputs!$H$266/12*IF(AND(S17=1,S$5&gt;=Inputs!$B$276+12),1+Inputs!$B$283,1)</f>
        <v>0.416666666666667</v>
      </c>
      <c r="T22" s="66" t="n">
        <f aca="false">Inputs!$H$266/12*IF(AND(T17=1,T$5&gt;=Inputs!$B$276+12),1+Inputs!$B$283,1)</f>
        <v>0.416666666666667</v>
      </c>
      <c r="U22" s="66" t="n">
        <f aca="false">Inputs!$H$266/12*IF(AND(U17=1,U$5&gt;=Inputs!$B$276+12),1+Inputs!$B$283,1)</f>
        <v>0.416666666666667</v>
      </c>
      <c r="V22" s="66" t="n">
        <f aca="false">Inputs!$H$266/12*IF(AND(V17=1,V$5&gt;=Inputs!$B$276+12),1+Inputs!$B$283,1)</f>
        <v>0.416666666666667</v>
      </c>
      <c r="W22" s="66" t="n">
        <f aca="false">Inputs!$H$266/12*IF(AND(W17=1,W$5&gt;=Inputs!$B$276+12),1+Inputs!$B$283,1)</f>
        <v>0.5</v>
      </c>
      <c r="X22" s="66" t="n">
        <f aca="false">Inputs!$H$266/12*IF(AND(X17=1,X$5&gt;=Inputs!$B$276+12),1+Inputs!$B$283,1)</f>
        <v>0.5</v>
      </c>
      <c r="Y22" s="66" t="n">
        <f aca="false">Inputs!$H$266/12*IF(AND(Y17=1,Y$5&gt;=Inputs!$B$276+12),1+Inputs!$B$283,1)</f>
        <v>0.5</v>
      </c>
      <c r="Z22" s="66" t="n">
        <f aca="false">Inputs!$H$266/12*IF(AND(Z17=1,Z$5&gt;=Inputs!$B$276+12),1+Inputs!$B$283,1)</f>
        <v>0.5</v>
      </c>
      <c r="AA22" s="66" t="n">
        <f aca="false">Inputs!$H$266/12*IF(AND(AA17=1,AA$5&gt;=Inputs!$B$276+12),1+Inputs!$B$283,1)</f>
        <v>0.5</v>
      </c>
      <c r="AB22" s="66" t="n">
        <f aca="false">Inputs!$H$266/12*IF(AND(AB17=1,AB$5&gt;=Inputs!$B$276+12),1+Inputs!$B$283,1)</f>
        <v>0.5</v>
      </c>
      <c r="AC22" s="66" t="n">
        <f aca="false">Inputs!$H$266/12*IF(AND(AC17=1,AC$5&gt;=Inputs!$B$276+12),1+Inputs!$B$283,1)</f>
        <v>0.5</v>
      </c>
      <c r="AD22" s="66" t="n">
        <f aca="false">Inputs!$H$266/12*IF(AND(AD17=1,AD$5&gt;=Inputs!$B$276+12),1+Inputs!$B$283,1)</f>
        <v>0.5</v>
      </c>
      <c r="AE22" s="66" t="n">
        <f aca="false">Inputs!$H$266/12*IF(AND(AE17=1,AE$5&gt;=Inputs!$B$276+12),1+Inputs!$B$283,1)</f>
        <v>0.5</v>
      </c>
      <c r="AF22" s="66" t="n">
        <f aca="false">Inputs!$H$266/12*IF(AND(AF17=1,AF$5&gt;=Inputs!$B$276+12),1+Inputs!$B$283,1)</f>
        <v>0.5</v>
      </c>
      <c r="AG22" s="66" t="n">
        <f aca="false">Inputs!$H$266/12*IF(AND(AG17=1,AG$5&gt;=Inputs!$B$276+12),1+Inputs!$B$283,1)</f>
        <v>0.5</v>
      </c>
      <c r="AH22" s="66" t="n">
        <f aca="false">Inputs!$H$266/12*IF(AND(AH17=1,AH$5&gt;=Inputs!$B$276+12),1+Inputs!$B$283,1)</f>
        <v>0.5</v>
      </c>
      <c r="AI22" s="66" t="n">
        <f aca="false">Inputs!$H$266/12*IF(AND(AI17=1,AI$5&gt;=Inputs!$B$276+12),1+Inputs!$B$283,1)</f>
        <v>0.5</v>
      </c>
      <c r="AJ22" s="66" t="n">
        <f aca="false">Inputs!$H$266/12*IF(AND(AJ17=1,AJ$5&gt;=Inputs!$B$276+12),1+Inputs!$B$283,1)</f>
        <v>0.5</v>
      </c>
      <c r="AK22" s="66" t="n">
        <f aca="false">Inputs!$H$266/12*IF(AND(AK17=1,AK$5&gt;=Inputs!$B$276+12),1+Inputs!$B$283,1)</f>
        <v>0.5</v>
      </c>
      <c r="AL22" s="66" t="n">
        <f aca="false">Inputs!$H$266/12*IF(AND(AL17=1,AL$5&gt;=Inputs!$B$276+12),1+Inputs!$B$283,1)</f>
        <v>0.5</v>
      </c>
      <c r="AM22" s="66" t="n">
        <f aca="false">Inputs!$H$266/12*IF(AND(AM17=1,AM$5&gt;=Inputs!$B$276+12),1+Inputs!$B$283,1)</f>
        <v>0.5</v>
      </c>
    </row>
    <row r="23" customFormat="false" ht="15" hidden="false" customHeight="false" outlineLevel="0" collapsed="false">
      <c r="A23" s="3" t="s">
        <v>915</v>
      </c>
      <c r="B23" s="17" t="s">
        <v>872</v>
      </c>
      <c r="D23" s="65" t="n">
        <f aca="false">D19*D22</f>
        <v>0</v>
      </c>
      <c r="E23" s="65" t="n">
        <f aca="false">E19*E22</f>
        <v>0</v>
      </c>
      <c r="F23" s="65" t="n">
        <f aca="false">F19*F22</f>
        <v>0</v>
      </c>
      <c r="G23" s="65" t="n">
        <f aca="false">G19*G22</f>
        <v>0</v>
      </c>
      <c r="H23" s="65" t="n">
        <f aca="false">H19*H22</f>
        <v>0</v>
      </c>
      <c r="I23" s="65" t="n">
        <f aca="false">I19*I22</f>
        <v>0</v>
      </c>
      <c r="J23" s="65" t="n">
        <f aca="false">J19*J22</f>
        <v>0</v>
      </c>
      <c r="K23" s="65" t="n">
        <f aca="false">K19*K22</f>
        <v>5.20833333333333</v>
      </c>
      <c r="L23" s="65" t="n">
        <f aca="false">L19*L22</f>
        <v>10.1996069199331</v>
      </c>
      <c r="M23" s="65" t="n">
        <f aca="false">M19*M22</f>
        <v>14.9828668270604</v>
      </c>
      <c r="N23" s="65" t="n">
        <f aca="false">N19*N22</f>
        <v>19.5667821228593</v>
      </c>
      <c r="O23" s="65" t="n">
        <f aca="false">O19*O22</f>
        <v>23.9596605879726</v>
      </c>
      <c r="P23" s="65" t="n">
        <f aca="false">P19*P22</f>
        <v>28.1694637723686</v>
      </c>
      <c r="Q23" s="65" t="n">
        <f aca="false">Q19*Q22</f>
        <v>32.203821424668</v>
      </c>
      <c r="R23" s="65" t="n">
        <f aca="false">R19*R22</f>
        <v>36.0700453201212</v>
      </c>
      <c r="S23" s="65" t="n">
        <f aca="false">S19*S22</f>
        <v>39.7751425122983</v>
      </c>
      <c r="T23" s="65" t="n">
        <f aca="false">T19*T22</f>
        <v>43.3258280325092</v>
      </c>
      <c r="U23" s="65" t="n">
        <f aca="false">U19*U22</f>
        <v>46.7285370599686</v>
      </c>
      <c r="V23" s="65" t="n">
        <f aca="false">V19*V22</f>
        <v>49.989436584764</v>
      </c>
      <c r="W23" s="65" t="n">
        <f aca="false">W19*W22</f>
        <v>63.7373239017168</v>
      </c>
      <c r="X23" s="65" t="n">
        <f aca="false">X19*X22</f>
        <v>67.3310408840686</v>
      </c>
      <c r="Y23" s="65" t="n">
        <f aca="false">Y19*Y22</f>
        <v>70.7749880172003</v>
      </c>
      <c r="Z23" s="65" t="n">
        <f aca="false">Z19*Z22</f>
        <v>74.0754070301755</v>
      </c>
      <c r="AA23" s="65" t="n">
        <f aca="false">AA19*AA22</f>
        <v>77.2382795250571</v>
      </c>
      <c r="AB23" s="65" t="n">
        <f aca="false">AB19*AB22</f>
        <v>80.2693378178222</v>
      </c>
      <c r="AC23" s="65" t="n">
        <f aca="false">AC19*AC22</f>
        <v>83.1740753274778</v>
      </c>
      <c r="AD23" s="65" t="n">
        <f aca="false">AD19*AD22</f>
        <v>85.957756532204</v>
      </c>
      <c r="AE23" s="65" t="n">
        <f aca="false">AE19*AE22</f>
        <v>88.6254265105716</v>
      </c>
      <c r="AF23" s="65" t="n">
        <f aca="false">AF19*AF22</f>
        <v>91.1819200851235</v>
      </c>
      <c r="AG23" s="65" t="n">
        <f aca="false">AG19*AG22</f>
        <v>93.6318705848942</v>
      </c>
      <c r="AH23" s="65" t="n">
        <f aca="false">AH19*AH22</f>
        <v>95.9797182427469</v>
      </c>
      <c r="AI23" s="65" t="n">
        <f aca="false">AI19*AI22</f>
        <v>98.2297182427469</v>
      </c>
      <c r="AJ23" s="65" t="n">
        <f aca="false">AJ19*AJ22</f>
        <v>100.385948432158</v>
      </c>
      <c r="AK23" s="65" t="n">
        <f aca="false">AK19*AK22</f>
        <v>102.452316712037</v>
      </c>
      <c r="AL23" s="65" t="n">
        <f aca="false">AL19*AL22</f>
        <v>104.432568119822</v>
      </c>
      <c r="AM23" s="65" t="n">
        <f aca="false">AM19*AM22</f>
        <v>106.330291616751</v>
      </c>
      <c r="AN23" s="65" t="n">
        <f aca="false">SUM(D23:AM23)</f>
        <v>1833.98751208043</v>
      </c>
      <c r="AO23" s="65" t="n">
        <f aca="false">SUM(D23:O23)</f>
        <v>73.9172497911587</v>
      </c>
      <c r="AP23" s="65" t="n">
        <f aca="false">SUM(P23:AA23)</f>
        <v>629.419314064916</v>
      </c>
      <c r="AQ23" s="65" t="n">
        <f aca="false">SUM(AB23:AM23)</f>
        <v>1130.65094822436</v>
      </c>
    </row>
    <row r="24" customFormat="false" ht="15" hidden="false" customHeight="false" outlineLevel="0" collapsed="false">
      <c r="A24" s="23" t="s">
        <v>916</v>
      </c>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row>
    <row r="25" customFormat="false" ht="15" hidden="false" customHeight="false" outlineLevel="0" collapsed="false">
      <c r="A25" s="17" t="s">
        <v>917</v>
      </c>
      <c r="B25" s="17" t="s">
        <v>61</v>
      </c>
      <c r="D25" s="46" t="n">
        <f aca="false">D23*$B$7</f>
        <v>0</v>
      </c>
      <c r="E25" s="46" t="n">
        <f aca="false">E23*$B$7</f>
        <v>0</v>
      </c>
      <c r="F25" s="46" t="n">
        <f aca="false">F23*$B$7</f>
        <v>0</v>
      </c>
      <c r="G25" s="46" t="n">
        <f aca="false">G23*$B$7</f>
        <v>0</v>
      </c>
      <c r="H25" s="46" t="n">
        <f aca="false">H23*$B$7</f>
        <v>0</v>
      </c>
      <c r="I25" s="46" t="n">
        <f aca="false">I23*$B$7</f>
        <v>0</v>
      </c>
      <c r="J25" s="46" t="n">
        <f aca="false">J23*$B$7</f>
        <v>0</v>
      </c>
      <c r="K25" s="46" t="n">
        <f aca="false">K23*$B$7</f>
        <v>55.6302083333333</v>
      </c>
      <c r="L25" s="46" t="n">
        <f aca="false">L23*$B$7</f>
        <v>108.942001511805</v>
      </c>
      <c r="M25" s="46" t="n">
        <f aca="false">M23*$B$7</f>
        <v>160.032000579832</v>
      </c>
      <c r="N25" s="46" t="n">
        <f aca="false">N23*$B$7</f>
        <v>208.99279985426</v>
      </c>
      <c r="O25" s="46" t="n">
        <f aca="false">O23*$B$7</f>
        <v>255.913134740135</v>
      </c>
      <c r="P25" s="46" t="n">
        <f aca="false">P23*$B$7</f>
        <v>300.878042552669</v>
      </c>
      <c r="Q25" s="46" t="n">
        <f aca="false">Q23*$B$7</f>
        <v>343.969016636879</v>
      </c>
      <c r="R25" s="46" t="n">
        <f aca="false">R23*$B$7</f>
        <v>385.264154064214</v>
      </c>
      <c r="S25" s="46" t="n">
        <f aca="false">S23*$B$7</f>
        <v>424.838297173858</v>
      </c>
      <c r="T25" s="46" t="n">
        <f aca="false">T23*$B$7</f>
        <v>462.763169215231</v>
      </c>
      <c r="U25" s="46" t="n">
        <f aca="false">U23*$B$7</f>
        <v>499.107504337525</v>
      </c>
      <c r="V25" s="46" t="n">
        <f aca="false">V23*$B$7</f>
        <v>533.937172161864</v>
      </c>
      <c r="W25" s="46" t="n">
        <f aca="false">W23*$B$7</f>
        <v>680.778356594237</v>
      </c>
      <c r="X25" s="46" t="n">
        <f aca="false">X23*$B$7</f>
        <v>719.162847682737</v>
      </c>
      <c r="Y25" s="46" t="n">
        <f aca="false">Y23*$B$7</f>
        <v>755.947647011716</v>
      </c>
      <c r="Z25" s="46" t="n">
        <f aca="false">Z23*$B$7</f>
        <v>791.199422489304</v>
      </c>
      <c r="AA25" s="46" t="n">
        <f aca="false">AA23*$B$7</f>
        <v>824.982063607135</v>
      </c>
      <c r="AB25" s="46" t="n">
        <f aca="false">AB23*$B$7</f>
        <v>857.356797232159</v>
      </c>
      <c r="AC25" s="46" t="n">
        <f aca="false">AC23*$B$7</f>
        <v>888.38229857279</v>
      </c>
      <c r="AD25" s="46" t="n">
        <f aca="false">AD23*$B$7</f>
        <v>918.114797520471</v>
      </c>
      <c r="AE25" s="46" t="n">
        <f aca="false">AE23*$B$7</f>
        <v>946.608180559415</v>
      </c>
      <c r="AF25" s="46" t="n">
        <f aca="false">AF23*$B$7</f>
        <v>973.914088429204</v>
      </c>
      <c r="AG25" s="46" t="n">
        <f aca="false">AG23*$B$7</f>
        <v>1000.08200971726</v>
      </c>
      <c r="AH25" s="46" t="n">
        <f aca="false">AH23*$B$7</f>
        <v>1025.15937055078</v>
      </c>
      <c r="AI25" s="46" t="n">
        <f aca="false">AI23*$B$7</f>
        <v>1049.19162055078</v>
      </c>
      <c r="AJ25" s="46" t="n">
        <f aca="false">AJ23*$B$7</f>
        <v>1072.22231520388</v>
      </c>
      <c r="AK25" s="46" t="n">
        <f aca="false">AK23*$B$7</f>
        <v>1094.29319480127</v>
      </c>
      <c r="AL25" s="46" t="n">
        <f aca="false">AL23*$B$7</f>
        <v>1115.44426008782</v>
      </c>
      <c r="AM25" s="46" t="n">
        <f aca="false">AM23*$B$7</f>
        <v>1135.71384475852</v>
      </c>
      <c r="AN25" s="46" t="n">
        <f aca="false">SUM(D25:AM25)</f>
        <v>19588.8206165311</v>
      </c>
      <c r="AO25" s="46" t="n">
        <f aca="false">SUM(D25:O25)</f>
        <v>789.510145019366</v>
      </c>
      <c r="AP25" s="46" t="n">
        <f aca="false">SUM(P25:AA25)</f>
        <v>6722.82769352737</v>
      </c>
      <c r="AQ25" s="46" t="n">
        <f aca="false">SUM(AB25:AM25)</f>
        <v>12076.4827779843</v>
      </c>
    </row>
    <row r="26" customFormat="false" ht="15" hidden="false" customHeight="false" outlineLevel="0" collapsed="false">
      <c r="A26" s="17" t="s">
        <v>918</v>
      </c>
      <c r="B26" s="17" t="s">
        <v>61</v>
      </c>
      <c r="D26" s="46" t="n">
        <f aca="false">D23*$B$9</f>
        <v>0</v>
      </c>
      <c r="E26" s="46" t="n">
        <f aca="false">E23*$B$9</f>
        <v>0</v>
      </c>
      <c r="F26" s="46" t="n">
        <f aca="false">F23*$B$9</f>
        <v>0</v>
      </c>
      <c r="G26" s="46" t="n">
        <f aca="false">G23*$B$9</f>
        <v>0</v>
      </c>
      <c r="H26" s="46" t="n">
        <f aca="false">H23*$B$9</f>
        <v>0</v>
      </c>
      <c r="I26" s="46" t="n">
        <f aca="false">I23*$B$9</f>
        <v>0</v>
      </c>
      <c r="J26" s="46" t="n">
        <f aca="false">J23*$B$9</f>
        <v>0</v>
      </c>
      <c r="K26" s="46" t="n">
        <f aca="false">K23*$B$9</f>
        <v>17.1875</v>
      </c>
      <c r="L26" s="46" t="n">
        <f aca="false">L23*$B$9</f>
        <v>33.6587028357791</v>
      </c>
      <c r="M26" s="46" t="n">
        <f aca="false">M23*$B$9</f>
        <v>49.4434605292993</v>
      </c>
      <c r="N26" s="46" t="n">
        <f aca="false">N23*$B$9</f>
        <v>64.5703810054357</v>
      </c>
      <c r="O26" s="46" t="n">
        <f aca="false">O23*$B$9</f>
        <v>79.0668799403095</v>
      </c>
      <c r="P26" s="46" t="n">
        <f aca="false">P23*$B$9</f>
        <v>92.9592304488164</v>
      </c>
      <c r="Q26" s="46" t="n">
        <f aca="false">Q23*$B$9</f>
        <v>106.272610701404</v>
      </c>
      <c r="R26" s="46" t="n">
        <f aca="false">R23*$B$9</f>
        <v>119.0311495564</v>
      </c>
      <c r="S26" s="46" t="n">
        <f aca="false">S23*$B$9</f>
        <v>131.257970290584</v>
      </c>
      <c r="T26" s="46" t="n">
        <f aca="false">T23*$B$9</f>
        <v>142.97523250728</v>
      </c>
      <c r="U26" s="46" t="n">
        <f aca="false">U23*$B$9</f>
        <v>154.204172297896</v>
      </c>
      <c r="V26" s="46" t="n">
        <f aca="false">V23*$B$9</f>
        <v>164.965140729721</v>
      </c>
      <c r="W26" s="46" t="n">
        <f aca="false">W23*$B$9</f>
        <v>210.333168875665</v>
      </c>
      <c r="X26" s="46" t="n">
        <f aca="false">X23*$B$9</f>
        <v>222.192434917426</v>
      </c>
      <c r="Y26" s="46" t="n">
        <f aca="false">Y23*$B$9</f>
        <v>233.557460456761</v>
      </c>
      <c r="Z26" s="46" t="n">
        <f aca="false">Z23*$B$9</f>
        <v>244.448843199579</v>
      </c>
      <c r="AA26" s="46" t="n">
        <f aca="false">AA23*$B$9</f>
        <v>254.886322432688</v>
      </c>
      <c r="AB26" s="46" t="n">
        <f aca="false">AB23*$B$9</f>
        <v>264.888814798813</v>
      </c>
      <c r="AC26" s="46" t="n">
        <f aca="false">AC23*$B$9</f>
        <v>274.474448580677</v>
      </c>
      <c r="AD26" s="46" t="n">
        <f aca="false">AD23*$B$9</f>
        <v>283.660596556273</v>
      </c>
      <c r="AE26" s="46" t="n">
        <f aca="false">AE23*$B$9</f>
        <v>292.463907484886</v>
      </c>
      <c r="AF26" s="46" t="n">
        <f aca="false">AF23*$B$9</f>
        <v>300.900336280907</v>
      </c>
      <c r="AG26" s="46" t="n">
        <f aca="false">AG23*$B$9</f>
        <v>308.985172930151</v>
      </c>
      <c r="AH26" s="46" t="n">
        <f aca="false">AH23*$B$9</f>
        <v>316.733070201065</v>
      </c>
      <c r="AI26" s="46" t="n">
        <f aca="false">AI23*$B$9</f>
        <v>324.158070201065</v>
      </c>
      <c r="AJ26" s="46" t="n">
        <f aca="false">AJ23*$B$9</f>
        <v>331.273629826121</v>
      </c>
      <c r="AK26" s="46" t="n">
        <f aca="false">AK23*$B$9</f>
        <v>338.092645149722</v>
      </c>
      <c r="AL26" s="46" t="n">
        <f aca="false">AL23*$B$9</f>
        <v>344.627474795413</v>
      </c>
      <c r="AM26" s="46" t="n">
        <f aca="false">AM23*$B$9</f>
        <v>350.889962335278</v>
      </c>
      <c r="AN26" s="46" t="n">
        <f aca="false">SUM(D26:AM26)</f>
        <v>6052.15878986542</v>
      </c>
      <c r="AO26" s="46" t="n">
        <f aca="false">SUM(D26:O26)</f>
        <v>243.926924310824</v>
      </c>
      <c r="AP26" s="46" t="n">
        <f aca="false">SUM(P26:AA26)</f>
        <v>2077.08373641422</v>
      </c>
      <c r="AQ26" s="46" t="n">
        <f aca="false">SUM(AB26:AM26)</f>
        <v>3731.14812914037</v>
      </c>
    </row>
    <row r="27" customFormat="false" ht="15" hidden="false" customHeight="false" outlineLevel="0" collapsed="false">
      <c r="A27" s="17" t="s">
        <v>919</v>
      </c>
      <c r="B27" s="17" t="s">
        <v>61</v>
      </c>
      <c r="D27" s="46" t="n">
        <f aca="false">D25*Inputs!$H$268</f>
        <v>0</v>
      </c>
      <c r="E27" s="46" t="n">
        <f aca="false">E25*Inputs!$H$268</f>
        <v>0</v>
      </c>
      <c r="F27" s="46" t="n">
        <f aca="false">F25*Inputs!$H$268</f>
        <v>0</v>
      </c>
      <c r="G27" s="46" t="n">
        <f aca="false">G25*Inputs!$H$268</f>
        <v>0</v>
      </c>
      <c r="H27" s="46" t="n">
        <f aca="false">H25*Inputs!$H$268</f>
        <v>0</v>
      </c>
      <c r="I27" s="46" t="n">
        <f aca="false">I25*Inputs!$H$268</f>
        <v>0</v>
      </c>
      <c r="J27" s="46" t="n">
        <f aca="false">J25*Inputs!$H$268</f>
        <v>0</v>
      </c>
      <c r="K27" s="46" t="n">
        <f aca="false">K25*Inputs!$H$268</f>
        <v>33.378125</v>
      </c>
      <c r="L27" s="46" t="n">
        <f aca="false">L25*Inputs!$H$268</f>
        <v>65.365200907083</v>
      </c>
      <c r="M27" s="46" t="n">
        <f aca="false">M25*Inputs!$H$268</f>
        <v>96.0192003478992</v>
      </c>
      <c r="N27" s="46" t="n">
        <f aca="false">N25*Inputs!$H$268</f>
        <v>125.395679912556</v>
      </c>
      <c r="O27" s="46" t="n">
        <f aca="false">O25*Inputs!$H$268</f>
        <v>153.547880844081</v>
      </c>
      <c r="P27" s="46" t="n">
        <f aca="false">P25*Inputs!$H$268</f>
        <v>180.526825531602</v>
      </c>
      <c r="Q27" s="46" t="n">
        <f aca="false">Q25*Inputs!$H$268</f>
        <v>206.381409982127</v>
      </c>
      <c r="R27" s="46" t="n">
        <f aca="false">R25*Inputs!$H$268</f>
        <v>231.158492438528</v>
      </c>
      <c r="S27" s="46" t="n">
        <f aca="false">S25*Inputs!$H$268</f>
        <v>254.902978304315</v>
      </c>
      <c r="T27" s="46" t="n">
        <f aca="false">T25*Inputs!$H$268</f>
        <v>277.657901529139</v>
      </c>
      <c r="U27" s="46" t="n">
        <f aca="false">U25*Inputs!$H$268</f>
        <v>299.464502602515</v>
      </c>
      <c r="V27" s="46" t="n">
        <f aca="false">V25*Inputs!$H$268</f>
        <v>320.362303297119</v>
      </c>
      <c r="W27" s="46" t="n">
        <f aca="false">W25*Inputs!$H$268</f>
        <v>408.467013956542</v>
      </c>
      <c r="X27" s="46" t="n">
        <f aca="false">X25*Inputs!$H$268</f>
        <v>431.497708609642</v>
      </c>
      <c r="Y27" s="46" t="n">
        <f aca="false">Y25*Inputs!$H$268</f>
        <v>453.56858820703</v>
      </c>
      <c r="Z27" s="46" t="n">
        <f aca="false">Z25*Inputs!$H$268</f>
        <v>474.719653493583</v>
      </c>
      <c r="AA27" s="46" t="n">
        <f aca="false">AA25*Inputs!$H$268</f>
        <v>494.989238164281</v>
      </c>
      <c r="AB27" s="46" t="n">
        <f aca="false">AB25*Inputs!$H$268</f>
        <v>514.414078339295</v>
      </c>
      <c r="AC27" s="46" t="n">
        <f aca="false">AC25*Inputs!$H$268</f>
        <v>533.029379143674</v>
      </c>
      <c r="AD27" s="46" t="n">
        <f aca="false">AD25*Inputs!$H$268</f>
        <v>550.868878512283</v>
      </c>
      <c r="AE27" s="46" t="n">
        <f aca="false">AE25*Inputs!$H$268</f>
        <v>567.964908335649</v>
      </c>
      <c r="AF27" s="46" t="n">
        <f aca="false">AF25*Inputs!$H$268</f>
        <v>584.348453057522</v>
      </c>
      <c r="AG27" s="46" t="n">
        <f aca="false">AG25*Inputs!$H$268</f>
        <v>600.049205830353</v>
      </c>
      <c r="AH27" s="46" t="n">
        <f aca="false">AH25*Inputs!$H$268</f>
        <v>615.095622330468</v>
      </c>
      <c r="AI27" s="46" t="n">
        <f aca="false">AI25*Inputs!$H$268</f>
        <v>629.514972330468</v>
      </c>
      <c r="AJ27" s="46" t="n">
        <f aca="false">AJ25*Inputs!$H$268</f>
        <v>643.333389122328</v>
      </c>
      <c r="AK27" s="46" t="n">
        <f aca="false">AK25*Inputs!$H$268</f>
        <v>656.57591688076</v>
      </c>
      <c r="AL27" s="46" t="n">
        <f aca="false">AL25*Inputs!$H$268</f>
        <v>669.266556052692</v>
      </c>
      <c r="AM27" s="46" t="n">
        <f aca="false">AM25*Inputs!$H$268</f>
        <v>681.428306855111</v>
      </c>
      <c r="AN27" s="46" t="n">
        <f aca="false">SUM(D27:AM27)</f>
        <v>11753.2923699186</v>
      </c>
      <c r="AO27" s="46" t="n">
        <f aca="false">SUM(D27:O27)</f>
        <v>473.70608701162</v>
      </c>
      <c r="AP27" s="46" t="n">
        <f aca="false">SUM(P27:AA27)</f>
        <v>4033.69661611642</v>
      </c>
      <c r="AQ27" s="46" t="n">
        <f aca="false">SUM(AB27:AM27)</f>
        <v>7245.8896667906</v>
      </c>
    </row>
    <row r="28" customFormat="false" ht="15" hidden="false" customHeight="false" outlineLevel="0" collapsed="false">
      <c r="A28" s="17" t="s">
        <v>920</v>
      </c>
      <c r="B28" s="17" t="s">
        <v>61</v>
      </c>
      <c r="D28" s="46" t="n">
        <f aca="false">D26*Inputs!$H$268</f>
        <v>0</v>
      </c>
      <c r="E28" s="46" t="n">
        <f aca="false">E26*Inputs!$H$268</f>
        <v>0</v>
      </c>
      <c r="F28" s="46" t="n">
        <f aca="false">F26*Inputs!$H$268</f>
        <v>0</v>
      </c>
      <c r="G28" s="46" t="n">
        <f aca="false">G26*Inputs!$H$268</f>
        <v>0</v>
      </c>
      <c r="H28" s="46" t="n">
        <f aca="false">H26*Inputs!$H$268</f>
        <v>0</v>
      </c>
      <c r="I28" s="46" t="n">
        <f aca="false">I26*Inputs!$H$268</f>
        <v>0</v>
      </c>
      <c r="J28" s="46" t="n">
        <f aca="false">J26*Inputs!$H$268</f>
        <v>0</v>
      </c>
      <c r="K28" s="46" t="n">
        <f aca="false">K26*Inputs!$H$268</f>
        <v>10.3125</v>
      </c>
      <c r="L28" s="46" t="n">
        <f aca="false">L26*Inputs!$H$268</f>
        <v>20.1952217014675</v>
      </c>
      <c r="M28" s="46" t="n">
        <f aca="false">M26*Inputs!$H$268</f>
        <v>29.6660763175796</v>
      </c>
      <c r="N28" s="46" t="n">
        <f aca="false">N26*Inputs!$H$268</f>
        <v>38.7422286032614</v>
      </c>
      <c r="O28" s="46" t="n">
        <f aca="false">O26*Inputs!$H$268</f>
        <v>47.4401279641857</v>
      </c>
      <c r="P28" s="46" t="n">
        <f aca="false">P26*Inputs!$H$268</f>
        <v>55.7755382692899</v>
      </c>
      <c r="Q28" s="46" t="n">
        <f aca="false">Q26*Inputs!$H$268</f>
        <v>63.7635664208427</v>
      </c>
      <c r="R28" s="46" t="n">
        <f aca="false">R26*Inputs!$H$268</f>
        <v>71.4186897338399</v>
      </c>
      <c r="S28" s="46" t="n">
        <f aca="false">S26*Inputs!$H$268</f>
        <v>78.7547821743506</v>
      </c>
      <c r="T28" s="46" t="n">
        <f aca="false">T26*Inputs!$H$268</f>
        <v>85.7851395043683</v>
      </c>
      <c r="U28" s="46" t="n">
        <f aca="false">U26*Inputs!$H$268</f>
        <v>92.5225033787379</v>
      </c>
      <c r="V28" s="46" t="n">
        <f aca="false">V26*Inputs!$H$268</f>
        <v>98.9790844378327</v>
      </c>
      <c r="W28" s="46" t="n">
        <f aca="false">W26*Inputs!$H$268</f>
        <v>126.199901325399</v>
      </c>
      <c r="X28" s="46" t="n">
        <f aca="false">X26*Inputs!$H$268</f>
        <v>133.315460950456</v>
      </c>
      <c r="Y28" s="46" t="n">
        <f aca="false">Y26*Inputs!$H$268</f>
        <v>140.134476274057</v>
      </c>
      <c r="Z28" s="46" t="n">
        <f aca="false">Z26*Inputs!$H$268</f>
        <v>146.669305919747</v>
      </c>
      <c r="AA28" s="46" t="n">
        <f aca="false">AA26*Inputs!$H$268</f>
        <v>152.931793459613</v>
      </c>
      <c r="AB28" s="46" t="n">
        <f aca="false">AB26*Inputs!$H$268</f>
        <v>158.933288879288</v>
      </c>
      <c r="AC28" s="46" t="n">
        <f aca="false">AC26*Inputs!$H$268</f>
        <v>164.684669148406</v>
      </c>
      <c r="AD28" s="46" t="n">
        <f aca="false">AD26*Inputs!$H$268</f>
        <v>170.196357933764</v>
      </c>
      <c r="AE28" s="46" t="n">
        <f aca="false">AE26*Inputs!$H$268</f>
        <v>175.478344490932</v>
      </c>
      <c r="AF28" s="46" t="n">
        <f aca="false">AF26*Inputs!$H$268</f>
        <v>180.540201768544</v>
      </c>
      <c r="AG28" s="46" t="n">
        <f aca="false">AG26*Inputs!$H$268</f>
        <v>185.391103758091</v>
      </c>
      <c r="AH28" s="46" t="n">
        <f aca="false">AH26*Inputs!$H$268</f>
        <v>190.039842120639</v>
      </c>
      <c r="AI28" s="46" t="n">
        <f aca="false">AI26*Inputs!$H$268</f>
        <v>194.494842120639</v>
      </c>
      <c r="AJ28" s="46" t="n">
        <f aca="false">AJ26*Inputs!$H$268</f>
        <v>198.764177895673</v>
      </c>
      <c r="AK28" s="46" t="n">
        <f aca="false">AK26*Inputs!$H$268</f>
        <v>202.855587089833</v>
      </c>
      <c r="AL28" s="46" t="n">
        <f aca="false">AL26*Inputs!$H$268</f>
        <v>206.776484877248</v>
      </c>
      <c r="AM28" s="46" t="n">
        <f aca="false">AM26*Inputs!$H$268</f>
        <v>210.533977401167</v>
      </c>
      <c r="AN28" s="46" t="n">
        <f aca="false">SUM(D28:AM28)</f>
        <v>3631.29527391925</v>
      </c>
      <c r="AO28" s="46" t="n">
        <f aca="false">SUM(D28:O28)</f>
        <v>146.356154586494</v>
      </c>
      <c r="AP28" s="46" t="n">
        <f aca="false">SUM(P28:AA28)</f>
        <v>1246.25024184853</v>
      </c>
      <c r="AQ28" s="46" t="n">
        <f aca="false">SUM(AB28:AM28)</f>
        <v>2238.68887748422</v>
      </c>
    </row>
    <row r="29" customFormat="false" ht="15" hidden="false" customHeight="false" outlineLevel="0" collapsed="false">
      <c r="A29" s="3" t="s">
        <v>921</v>
      </c>
      <c r="B29" s="17" t="s">
        <v>61</v>
      </c>
      <c r="D29" s="8" t="n">
        <f aca="false">D27*(1-$B$12)</f>
        <v>0</v>
      </c>
      <c r="E29" s="8" t="n">
        <f aca="false">E27*(1-$B$12)</f>
        <v>0</v>
      </c>
      <c r="F29" s="8" t="n">
        <f aca="false">F27*(1-$B$12)</f>
        <v>0</v>
      </c>
      <c r="G29" s="8" t="n">
        <f aca="false">G27*(1-$B$12)</f>
        <v>0</v>
      </c>
      <c r="H29" s="8" t="n">
        <f aca="false">H27*(1-$B$12)</f>
        <v>0</v>
      </c>
      <c r="I29" s="8" t="n">
        <f aca="false">I27*(1-$B$12)</f>
        <v>0</v>
      </c>
      <c r="J29" s="8" t="n">
        <f aca="false">J27*(1-$B$12)</f>
        <v>0</v>
      </c>
      <c r="K29" s="8" t="n">
        <f aca="false">K27*(1-$B$12)</f>
        <v>25.03359375</v>
      </c>
      <c r="L29" s="8" t="n">
        <f aca="false">L27*(1-$B$12)</f>
        <v>49.0239006803123</v>
      </c>
      <c r="M29" s="8" t="n">
        <f aca="false">M27*(1-$B$12)</f>
        <v>72.0144002609244</v>
      </c>
      <c r="N29" s="8" t="n">
        <f aca="false">N27*(1-$B$12)</f>
        <v>94.0467599344171</v>
      </c>
      <c r="O29" s="8" t="n">
        <f aca="false">O27*(1-$B$12)</f>
        <v>115.160910633061</v>
      </c>
      <c r="P29" s="8" t="n">
        <f aca="false">P27*(1-$B$12)</f>
        <v>135.395119148701</v>
      </c>
      <c r="Q29" s="8" t="n">
        <f aca="false">Q27*(1-$B$12)</f>
        <v>154.786057486596</v>
      </c>
      <c r="R29" s="8" t="n">
        <f aca="false">R27*(1-$B$12)</f>
        <v>173.368869328896</v>
      </c>
      <c r="S29" s="8" t="n">
        <f aca="false">S27*(1-$B$12)</f>
        <v>191.177233728236</v>
      </c>
      <c r="T29" s="8" t="n">
        <f aca="false">T27*(1-$B$12)</f>
        <v>208.243426146854</v>
      </c>
      <c r="U29" s="8" t="n">
        <f aca="false">U27*(1-$B$12)</f>
        <v>224.598376951886</v>
      </c>
      <c r="V29" s="8" t="n">
        <f aca="false">V27*(1-$B$12)</f>
        <v>240.271727472839</v>
      </c>
      <c r="W29" s="8" t="n">
        <f aca="false">W27*(1-$B$12)</f>
        <v>306.350260467407</v>
      </c>
      <c r="X29" s="8" t="n">
        <f aca="false">X27*(1-$B$12)</f>
        <v>323.623281457232</v>
      </c>
      <c r="Y29" s="8" t="n">
        <f aca="false">Y27*(1-$B$12)</f>
        <v>340.176441155272</v>
      </c>
      <c r="Z29" s="8" t="n">
        <f aca="false">Z27*(1-$B$12)</f>
        <v>356.039740120187</v>
      </c>
      <c r="AA29" s="8" t="n">
        <f aca="false">AA27*(1-$B$12)</f>
        <v>371.24192862321</v>
      </c>
      <c r="AB29" s="8" t="n">
        <f aca="false">AB27*(1-$B$12)</f>
        <v>385.810558754471</v>
      </c>
      <c r="AC29" s="8" t="n">
        <f aca="false">AC27*(1-$B$12)</f>
        <v>399.772034357756</v>
      </c>
      <c r="AD29" s="8" t="n">
        <f aca="false">AD27*(1-$B$12)</f>
        <v>413.151658884212</v>
      </c>
      <c r="AE29" s="8" t="n">
        <f aca="false">AE27*(1-$B$12)</f>
        <v>425.973681251737</v>
      </c>
      <c r="AF29" s="8" t="n">
        <f aca="false">AF27*(1-$B$12)</f>
        <v>438.261339793142</v>
      </c>
      <c r="AG29" s="8" t="n">
        <f aca="false">AG27*(1-$B$12)</f>
        <v>450.036904372765</v>
      </c>
      <c r="AH29" s="8" t="n">
        <f aca="false">AH27*(1-$B$12)</f>
        <v>461.321716747851</v>
      </c>
      <c r="AI29" s="8" t="n">
        <f aca="false">AI27*(1-$B$12)</f>
        <v>472.136229247851</v>
      </c>
      <c r="AJ29" s="8" t="n">
        <f aca="false">AJ27*(1-$B$12)</f>
        <v>482.500041841746</v>
      </c>
      <c r="AK29" s="8" t="n">
        <f aca="false">AK27*(1-$B$12)</f>
        <v>492.43193766057</v>
      </c>
      <c r="AL29" s="8" t="n">
        <f aca="false">AL27*(1-$B$12)</f>
        <v>501.949917039519</v>
      </c>
      <c r="AM29" s="8" t="n">
        <f aca="false">AM27*(1-$B$12)</f>
        <v>511.071230141333</v>
      </c>
      <c r="AN29" s="8" t="n">
        <f aca="false">SUM(D29:AM29)</f>
        <v>8814.96927743898</v>
      </c>
      <c r="AO29" s="8" t="n">
        <f aca="false">SUM(D29:O29)</f>
        <v>355.279565258715</v>
      </c>
      <c r="AP29" s="8" t="n">
        <f aca="false">SUM(P29:AA29)</f>
        <v>3025.27246208732</v>
      </c>
      <c r="AQ29" s="8" t="n">
        <f aca="false">SUM(AB29:AM29)</f>
        <v>5434.41725009295</v>
      </c>
    </row>
    <row r="30" customFormat="false" ht="15" hidden="false" customHeight="false" outlineLevel="0" collapsed="false">
      <c r="A30" s="3" t="s">
        <v>922</v>
      </c>
      <c r="B30" s="17" t="s">
        <v>61</v>
      </c>
      <c r="D30" s="8" t="n">
        <f aca="false">D28*(1-$B$12)</f>
        <v>0</v>
      </c>
      <c r="E30" s="8" t="n">
        <f aca="false">E28*(1-$B$12)</f>
        <v>0</v>
      </c>
      <c r="F30" s="8" t="n">
        <f aca="false">F28*(1-$B$12)</f>
        <v>0</v>
      </c>
      <c r="G30" s="8" t="n">
        <f aca="false">G28*(1-$B$12)</f>
        <v>0</v>
      </c>
      <c r="H30" s="8" t="n">
        <f aca="false">H28*(1-$B$12)</f>
        <v>0</v>
      </c>
      <c r="I30" s="8" t="n">
        <f aca="false">I28*(1-$B$12)</f>
        <v>0</v>
      </c>
      <c r="J30" s="8" t="n">
        <f aca="false">J28*(1-$B$12)</f>
        <v>0</v>
      </c>
      <c r="K30" s="8" t="n">
        <f aca="false">K28*(1-$B$12)</f>
        <v>7.734375</v>
      </c>
      <c r="L30" s="8" t="n">
        <f aca="false">L28*(1-$B$12)</f>
        <v>15.1464162761006</v>
      </c>
      <c r="M30" s="8" t="n">
        <f aca="false">M28*(1-$B$12)</f>
        <v>22.2495572381847</v>
      </c>
      <c r="N30" s="8" t="n">
        <f aca="false">N28*(1-$B$12)</f>
        <v>29.0566714524461</v>
      </c>
      <c r="O30" s="8" t="n">
        <f aca="false">O28*(1-$B$12)</f>
        <v>35.5800959731393</v>
      </c>
      <c r="P30" s="8" t="n">
        <f aca="false">P28*(1-$B$12)</f>
        <v>41.8316537019674</v>
      </c>
      <c r="Q30" s="8" t="n">
        <f aca="false">Q28*(1-$B$12)</f>
        <v>47.822674815632</v>
      </c>
      <c r="R30" s="8" t="n">
        <f aca="false">R28*(1-$B$12)</f>
        <v>53.5640173003799</v>
      </c>
      <c r="S30" s="8" t="n">
        <f aca="false">S28*(1-$B$12)</f>
        <v>59.066086630763</v>
      </c>
      <c r="T30" s="8" t="n">
        <f aca="false">T28*(1-$B$12)</f>
        <v>64.3388546282762</v>
      </c>
      <c r="U30" s="8" t="n">
        <f aca="false">U28*(1-$B$12)</f>
        <v>69.3918775340534</v>
      </c>
      <c r="V30" s="8" t="n">
        <f aca="false">V28*(1-$B$12)</f>
        <v>74.2343133283745</v>
      </c>
      <c r="W30" s="8" t="n">
        <f aca="false">W28*(1-$B$12)</f>
        <v>94.6499259940494</v>
      </c>
      <c r="X30" s="8" t="n">
        <f aca="false">X28*(1-$B$12)</f>
        <v>99.9865957128419</v>
      </c>
      <c r="Y30" s="8" t="n">
        <f aca="false">Y28*(1-$B$12)</f>
        <v>105.100857205542</v>
      </c>
      <c r="Z30" s="8" t="n">
        <f aca="false">Z28*(1-$B$12)</f>
        <v>110.001979439811</v>
      </c>
      <c r="AA30" s="8" t="n">
        <f aca="false">AA28*(1-$B$12)</f>
        <v>114.69884509471</v>
      </c>
      <c r="AB30" s="8" t="n">
        <f aca="false">AB28*(1-$B$12)</f>
        <v>119.199966659466</v>
      </c>
      <c r="AC30" s="8" t="n">
        <f aca="false">AC28*(1-$B$12)</f>
        <v>123.513501861304</v>
      </c>
      <c r="AD30" s="8" t="n">
        <f aca="false">AD28*(1-$B$12)</f>
        <v>127.647268450323</v>
      </c>
      <c r="AE30" s="8" t="n">
        <f aca="false">AE28*(1-$B$12)</f>
        <v>131.608758368199</v>
      </c>
      <c r="AF30" s="8" t="n">
        <f aca="false">AF28*(1-$B$12)</f>
        <v>135.405151326408</v>
      </c>
      <c r="AG30" s="8" t="n">
        <f aca="false">AG28*(1-$B$12)</f>
        <v>139.043327818568</v>
      </c>
      <c r="AH30" s="8" t="n">
        <f aca="false">AH28*(1-$B$12)</f>
        <v>142.529881590479</v>
      </c>
      <c r="AI30" s="8" t="n">
        <f aca="false">AI28*(1-$B$12)</f>
        <v>145.871131590479</v>
      </c>
      <c r="AJ30" s="8" t="n">
        <f aca="false">AJ28*(1-$B$12)</f>
        <v>149.073133421755</v>
      </c>
      <c r="AK30" s="8" t="n">
        <f aca="false">AK28*(1-$B$12)</f>
        <v>152.141690317375</v>
      </c>
      <c r="AL30" s="8" t="n">
        <f aca="false">AL28*(1-$B$12)</f>
        <v>155.082363657936</v>
      </c>
      <c r="AM30" s="8" t="n">
        <f aca="false">AM28*(1-$B$12)</f>
        <v>157.900483050875</v>
      </c>
      <c r="AN30" s="8" t="n">
        <f aca="false">SUM(D30:AM30)</f>
        <v>2723.47145543944</v>
      </c>
      <c r="AO30" s="8" t="n">
        <f aca="false">SUM(D30:O30)</f>
        <v>109.767115939871</v>
      </c>
      <c r="AP30" s="8" t="n">
        <f aca="false">SUM(P30:AA30)</f>
        <v>934.6876813864</v>
      </c>
      <c r="AQ30" s="8" t="n">
        <f aca="false">SUM(AB30:AM30)</f>
        <v>1679.01665811317</v>
      </c>
    </row>
    <row r="31" customFormat="false" ht="15" hidden="false" customHeight="false" outlineLevel="0" collapsed="false">
      <c r="A31" s="17" t="s">
        <v>923</v>
      </c>
      <c r="B31" s="17" t="s">
        <v>61</v>
      </c>
      <c r="D31" s="46" t="n">
        <f aca="false">D18*Inputs!$H$268*$B$11*Inputs!$B$287*(1-$B$12)</f>
        <v>0</v>
      </c>
      <c r="E31" s="46" t="n">
        <f aca="false">E18*Inputs!$H$268*$B$11*Inputs!$B$287*(1-$B$12)</f>
        <v>0</v>
      </c>
      <c r="F31" s="46" t="n">
        <f aca="false">F18*Inputs!$H$268*$B$11*Inputs!$B$287*(1-$B$12)</f>
        <v>0</v>
      </c>
      <c r="G31" s="46" t="n">
        <f aca="false">G18*Inputs!$H$268*$B$11*Inputs!$B$287*(1-$B$12)</f>
        <v>0</v>
      </c>
      <c r="H31" s="46" t="n">
        <f aca="false">H18*Inputs!$H$268*$B$11*Inputs!$B$287*(1-$B$12)</f>
        <v>0</v>
      </c>
      <c r="I31" s="46" t="n">
        <f aca="false">I18*Inputs!$H$268*$B$11*Inputs!$B$287*(1-$B$12)</f>
        <v>0</v>
      </c>
      <c r="J31" s="46" t="n">
        <f aca="false">J18*Inputs!$H$268*$B$11*Inputs!$B$287*(1-$B$12)</f>
        <v>0</v>
      </c>
      <c r="K31" s="46" t="n">
        <f aca="false">K18*Inputs!$H$268*$B$11*Inputs!$B$287*(1-$B$12)</f>
        <v>111.303167571059</v>
      </c>
      <c r="L31" s="46" t="n">
        <f aca="false">L18*Inputs!$H$268*$B$11*Inputs!$B$287*(1-$B$12)</f>
        <v>111.303167571059</v>
      </c>
      <c r="M31" s="46" t="n">
        <f aca="false">M18*Inputs!$H$268*$B$11*Inputs!$B$287*(1-$B$12)</f>
        <v>111.303167571059</v>
      </c>
      <c r="N31" s="46" t="n">
        <f aca="false">N18*Inputs!$H$268*$B$11*Inputs!$B$287*(1-$B$12)</f>
        <v>111.303167571059</v>
      </c>
      <c r="O31" s="46" t="n">
        <f aca="false">O18*Inputs!$H$268*$B$11*Inputs!$B$287*(1-$B$12)</f>
        <v>111.303167571059</v>
      </c>
      <c r="P31" s="46" t="n">
        <f aca="false">P18*Inputs!$H$268*$B$11*Inputs!$B$287*(1-$B$12)</f>
        <v>111.303167571059</v>
      </c>
      <c r="Q31" s="46" t="n">
        <f aca="false">Q18*Inputs!$H$268*$B$11*Inputs!$B$287*(1-$B$12)</f>
        <v>111.303167571059</v>
      </c>
      <c r="R31" s="46" t="n">
        <f aca="false">R18*Inputs!$H$268*$B$11*Inputs!$B$287*(1-$B$12)</f>
        <v>111.303167571059</v>
      </c>
      <c r="S31" s="46" t="n">
        <f aca="false">S18*Inputs!$H$268*$B$11*Inputs!$B$287*(1-$B$12)</f>
        <v>111.303167571059</v>
      </c>
      <c r="T31" s="46" t="n">
        <f aca="false">T18*Inputs!$H$268*$B$11*Inputs!$B$287*(1-$B$12)</f>
        <v>111.303167571059</v>
      </c>
      <c r="U31" s="46" t="n">
        <f aca="false">U18*Inputs!$H$268*$B$11*Inputs!$B$287*(1-$B$12)</f>
        <v>111.303167571059</v>
      </c>
      <c r="V31" s="46" t="n">
        <f aca="false">V18*Inputs!$H$268*$B$11*Inputs!$B$287*(1-$B$12)</f>
        <v>111.303167571059</v>
      </c>
      <c r="W31" s="46" t="n">
        <f aca="false">W18*Inputs!$H$268*$B$11*Inputs!$B$287*(1-$B$12)</f>
        <v>111.303167571059</v>
      </c>
      <c r="X31" s="46" t="n">
        <f aca="false">X18*Inputs!$H$268*$B$11*Inputs!$B$287*(1-$B$12)</f>
        <v>111.303167571059</v>
      </c>
      <c r="Y31" s="46" t="n">
        <f aca="false">Y18*Inputs!$H$268*$B$11*Inputs!$B$287*(1-$B$12)</f>
        <v>111.303167571059</v>
      </c>
      <c r="Z31" s="46" t="n">
        <f aca="false">Z18*Inputs!$H$268*$B$11*Inputs!$B$287*(1-$B$12)</f>
        <v>111.303167571059</v>
      </c>
      <c r="AA31" s="46" t="n">
        <f aca="false">AA18*Inputs!$H$268*$B$11*Inputs!$B$287*(1-$B$12)</f>
        <v>111.303167571059</v>
      </c>
      <c r="AB31" s="46" t="n">
        <f aca="false">AB18*Inputs!$H$268*$B$11*Inputs!$B$287*(1-$B$12)</f>
        <v>111.303167571059</v>
      </c>
      <c r="AC31" s="46" t="n">
        <f aca="false">AC18*Inputs!$H$268*$B$11*Inputs!$B$287*(1-$B$12)</f>
        <v>111.303167571059</v>
      </c>
      <c r="AD31" s="46" t="n">
        <f aca="false">AD18*Inputs!$H$268*$B$11*Inputs!$B$287*(1-$B$12)</f>
        <v>111.303167571059</v>
      </c>
      <c r="AE31" s="46" t="n">
        <f aca="false">AE18*Inputs!$H$268*$B$11*Inputs!$B$287*(1-$B$12)</f>
        <v>111.303167571059</v>
      </c>
      <c r="AF31" s="46" t="n">
        <f aca="false">AF18*Inputs!$H$268*$B$11*Inputs!$B$287*(1-$B$12)</f>
        <v>111.303167571059</v>
      </c>
      <c r="AG31" s="46" t="n">
        <f aca="false">AG18*Inputs!$H$268*$B$11*Inputs!$B$287*(1-$B$12)</f>
        <v>111.303167571059</v>
      </c>
      <c r="AH31" s="46" t="n">
        <f aca="false">AH18*Inputs!$H$268*$B$11*Inputs!$B$287*(1-$B$12)</f>
        <v>111.303167571059</v>
      </c>
      <c r="AI31" s="46" t="n">
        <f aca="false">AI18*Inputs!$H$268*$B$11*Inputs!$B$287*(1-$B$12)</f>
        <v>111.303167571059</v>
      </c>
      <c r="AJ31" s="46" t="n">
        <f aca="false">AJ18*Inputs!$H$268*$B$11*Inputs!$B$287*(1-$B$12)</f>
        <v>111.303167571059</v>
      </c>
      <c r="AK31" s="46" t="n">
        <f aca="false">AK18*Inputs!$H$268*$B$11*Inputs!$B$287*(1-$B$12)</f>
        <v>111.303167571059</v>
      </c>
      <c r="AL31" s="46" t="n">
        <f aca="false">AL18*Inputs!$H$268*$B$11*Inputs!$B$287*(1-$B$12)</f>
        <v>111.303167571059</v>
      </c>
      <c r="AM31" s="46" t="n">
        <f aca="false">AM18*Inputs!$H$268*$B$11*Inputs!$B$287*(1-$B$12)</f>
        <v>111.303167571059</v>
      </c>
      <c r="AN31" s="46" t="n">
        <f aca="false">SUM(D31:AM31)</f>
        <v>3227.79185956072</v>
      </c>
      <c r="AO31" s="46" t="n">
        <f aca="false">SUM(D31:O31)</f>
        <v>556.515837855296</v>
      </c>
      <c r="AP31" s="46" t="n">
        <f aca="false">SUM(P31:AA31)</f>
        <v>1335.63801085271</v>
      </c>
      <c r="AQ31" s="46" t="n">
        <f aca="false">SUM(AB31:AM31)</f>
        <v>1335.63801085271</v>
      </c>
    </row>
    <row r="32" customFormat="false" ht="15" hidden="false" customHeight="false" outlineLevel="0" collapsed="false">
      <c r="A32" s="23" t="s">
        <v>924</v>
      </c>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row>
    <row r="33" customFormat="false" ht="15" hidden="false" customHeight="false" outlineLevel="0" collapsed="false">
      <c r="A33" s="17" t="s">
        <v>925</v>
      </c>
      <c r="B33" s="17" t="s">
        <v>61</v>
      </c>
      <c r="D33" s="46" t="n">
        <f aca="false">-D17*$B$14</f>
        <v>-0</v>
      </c>
      <c r="E33" s="46" t="n">
        <f aca="false">-E17*$B$14</f>
        <v>-0</v>
      </c>
      <c r="F33" s="46" t="n">
        <f aca="false">-F17*$B$14</f>
        <v>-0</v>
      </c>
      <c r="G33" s="46" t="n">
        <f aca="false">-G17*$B$14</f>
        <v>-0</v>
      </c>
      <c r="H33" s="46" t="n">
        <f aca="false">-H17*$B$14</f>
        <v>-0</v>
      </c>
      <c r="I33" s="46" t="n">
        <f aca="false">-I17*$B$14</f>
        <v>-0</v>
      </c>
      <c r="J33" s="46" t="n">
        <f aca="false">-J17*$B$14</f>
        <v>-0</v>
      </c>
      <c r="K33" s="46" t="n">
        <f aca="false">-K17*$B$14</f>
        <v>-300</v>
      </c>
      <c r="L33" s="46" t="n">
        <f aca="false">-L17*$B$14</f>
        <v>-300</v>
      </c>
      <c r="M33" s="46" t="n">
        <f aca="false">-M17*$B$14</f>
        <v>-300</v>
      </c>
      <c r="N33" s="46" t="n">
        <f aca="false">-N17*$B$14</f>
        <v>-300</v>
      </c>
      <c r="O33" s="46" t="n">
        <f aca="false">-O17*$B$14</f>
        <v>-300</v>
      </c>
      <c r="P33" s="46" t="n">
        <f aca="false">-P17*$B$14</f>
        <v>-300</v>
      </c>
      <c r="Q33" s="46" t="n">
        <f aca="false">-Q17*$B$14</f>
        <v>-300</v>
      </c>
      <c r="R33" s="46" t="n">
        <f aca="false">-R17*$B$14</f>
        <v>-300</v>
      </c>
      <c r="S33" s="46" t="n">
        <f aca="false">-S17*$B$14</f>
        <v>-300</v>
      </c>
      <c r="T33" s="46" t="n">
        <f aca="false">-T17*$B$14</f>
        <v>-300</v>
      </c>
      <c r="U33" s="46" t="n">
        <f aca="false">-U17*$B$14</f>
        <v>-300</v>
      </c>
      <c r="V33" s="46" t="n">
        <f aca="false">-V17*$B$14</f>
        <v>-300</v>
      </c>
      <c r="W33" s="46" t="n">
        <f aca="false">-W17*$B$14</f>
        <v>-300</v>
      </c>
      <c r="X33" s="46" t="n">
        <f aca="false">-X17*$B$14</f>
        <v>-300</v>
      </c>
      <c r="Y33" s="46" t="n">
        <f aca="false">-Y17*$B$14</f>
        <v>-300</v>
      </c>
      <c r="Z33" s="46" t="n">
        <f aca="false">-Z17*$B$14</f>
        <v>-300</v>
      </c>
      <c r="AA33" s="46" t="n">
        <f aca="false">-AA17*$B$14</f>
        <v>-300</v>
      </c>
      <c r="AB33" s="46" t="n">
        <f aca="false">-AB17*$B$14</f>
        <v>-300</v>
      </c>
      <c r="AC33" s="46" t="n">
        <f aca="false">-AC17*$B$14</f>
        <v>-300</v>
      </c>
      <c r="AD33" s="46" t="n">
        <f aca="false">-AD17*$B$14</f>
        <v>-300</v>
      </c>
      <c r="AE33" s="46" t="n">
        <f aca="false">-AE17*$B$14</f>
        <v>-300</v>
      </c>
      <c r="AF33" s="46" t="n">
        <f aca="false">-AF17*$B$14</f>
        <v>-300</v>
      </c>
      <c r="AG33" s="46" t="n">
        <f aca="false">-AG17*$B$14</f>
        <v>-300</v>
      </c>
      <c r="AH33" s="46" t="n">
        <f aca="false">-AH17*$B$14</f>
        <v>-300</v>
      </c>
      <c r="AI33" s="46" t="n">
        <f aca="false">-AI17*$B$14</f>
        <v>-300</v>
      </c>
      <c r="AJ33" s="46" t="n">
        <f aca="false">-AJ17*$B$14</f>
        <v>-300</v>
      </c>
      <c r="AK33" s="46" t="n">
        <f aca="false">-AK17*$B$14</f>
        <v>-300</v>
      </c>
      <c r="AL33" s="46" t="n">
        <f aca="false">-AL17*$B$14</f>
        <v>-300</v>
      </c>
      <c r="AM33" s="46" t="n">
        <f aca="false">-AM17*$B$14</f>
        <v>-300</v>
      </c>
      <c r="AN33" s="46" t="n">
        <f aca="false">SUM(D33:AM33)</f>
        <v>-8700</v>
      </c>
      <c r="AO33" s="46" t="n">
        <f aca="false">SUM(D33:O33)</f>
        <v>-1500</v>
      </c>
      <c r="AP33" s="46" t="n">
        <f aca="false">SUM(P33:AA33)</f>
        <v>-3600</v>
      </c>
      <c r="AQ33" s="46" t="n">
        <f aca="false">SUM(AB33:AM33)</f>
        <v>-3600</v>
      </c>
    </row>
    <row r="34" customFormat="false" ht="15" hidden="false" customHeight="false" outlineLevel="0" collapsed="false">
      <c r="A34" s="17" t="s">
        <v>926</v>
      </c>
      <c r="B34" s="17" t="s">
        <v>61</v>
      </c>
      <c r="D34" s="46" t="n">
        <f aca="false">-D17*MIN(Inputs!$B$282*Inputs!$B$209,MAX(0,D21-D19)*Inputs!$B$280*Inputs!$B$281)</f>
        <v>-0</v>
      </c>
      <c r="E34" s="46" t="n">
        <f aca="false">-E17*MIN(Inputs!$B$282*Inputs!$B$209,MAX(0,E21-E19)*Inputs!$B$280*Inputs!$B$281)</f>
        <v>-0</v>
      </c>
      <c r="F34" s="46" t="n">
        <f aca="false">-F17*MIN(Inputs!$B$282*Inputs!$B$209,MAX(0,F21-F19)*Inputs!$B$280*Inputs!$B$281)</f>
        <v>-0</v>
      </c>
      <c r="G34" s="46" t="n">
        <f aca="false">-G17*MIN(Inputs!$B$282*Inputs!$B$209,MAX(0,G21-G19)*Inputs!$B$280*Inputs!$B$281)</f>
        <v>-0</v>
      </c>
      <c r="H34" s="46" t="n">
        <f aca="false">-H17*MIN(Inputs!$B$282*Inputs!$B$209,MAX(0,H21-H19)*Inputs!$B$280*Inputs!$B$281)</f>
        <v>-0</v>
      </c>
      <c r="I34" s="46" t="n">
        <f aca="false">-I17*MIN(Inputs!$B$282*Inputs!$B$209,MAX(0,I21-I19)*Inputs!$B$280*Inputs!$B$281)</f>
        <v>-0</v>
      </c>
      <c r="J34" s="46" t="n">
        <f aca="false">-J17*MIN(Inputs!$B$282*Inputs!$B$209,MAX(0,J21-J19)*Inputs!$B$280*Inputs!$B$281)</f>
        <v>-0</v>
      </c>
      <c r="K34" s="46" t="n">
        <f aca="false">-K17*MIN(Inputs!$B$282*Inputs!$B$209,MAX(0,K21-K19)*Inputs!$B$280*Inputs!$B$281)</f>
        <v>-1.6875</v>
      </c>
      <c r="L34" s="46" t="n">
        <f aca="false">-L17*MIN(Inputs!$B$282*Inputs!$B$209,MAX(0,L21-L19)*Inputs!$B$280*Inputs!$B$281)</f>
        <v>-3.30467264205831</v>
      </c>
      <c r="M34" s="46" t="n">
        <f aca="false">-M17*MIN(Inputs!$B$282*Inputs!$B$209,MAX(0,M21-M19)*Inputs!$B$280*Inputs!$B$281)</f>
        <v>-4.85444885196756</v>
      </c>
      <c r="N34" s="46" t="n">
        <f aca="false">-N17*MIN(Inputs!$B$282*Inputs!$B$209,MAX(0,N21-N19)*Inputs!$B$280*Inputs!$B$281)</f>
        <v>-6.33963740780642</v>
      </c>
      <c r="O34" s="46" t="n">
        <f aca="false">-O17*MIN(Inputs!$B$282*Inputs!$B$209,MAX(0,O21-O19)*Inputs!$B$280*Inputs!$B$281)</f>
        <v>-7.76293003050312</v>
      </c>
      <c r="P34" s="46" t="n">
        <f aca="false">-P17*MIN(Inputs!$B$282*Inputs!$B$209,MAX(0,P21-P19)*Inputs!$B$280*Inputs!$B$281)</f>
        <v>-9.12690626224743</v>
      </c>
      <c r="Q34" s="46" t="n">
        <f aca="false">-Q17*MIN(Inputs!$B$282*Inputs!$B$209,MAX(0,Q21-Q19)*Inputs!$B$280*Inputs!$B$281)</f>
        <v>-10.4340381415924</v>
      </c>
      <c r="R34" s="46" t="n">
        <f aca="false">-R17*MIN(Inputs!$B$282*Inputs!$B$209,MAX(0,R21-R19)*Inputs!$B$280*Inputs!$B$281)</f>
        <v>-11.6866946837193</v>
      </c>
      <c r="S34" s="46" t="n">
        <f aca="false">-S17*MIN(Inputs!$B$282*Inputs!$B$209,MAX(0,S21-S19)*Inputs!$B$280*Inputs!$B$281)</f>
        <v>-12.8871461739846</v>
      </c>
      <c r="T34" s="46" t="n">
        <f aca="false">-T17*MIN(Inputs!$B$282*Inputs!$B$209,MAX(0,T21-T19)*Inputs!$B$280*Inputs!$B$281)</f>
        <v>-14.037568282533</v>
      </c>
      <c r="U34" s="46" t="n">
        <f aca="false">-U17*MIN(Inputs!$B$282*Inputs!$B$209,MAX(0,U21-U19)*Inputs!$B$280*Inputs!$B$281)</f>
        <v>-15.1400460074298</v>
      </c>
      <c r="V34" s="46" t="n">
        <f aca="false">-V17*MIN(Inputs!$B$282*Inputs!$B$209,MAX(0,V21-V19)*Inputs!$B$280*Inputs!$B$281)</f>
        <v>-16.1965774534635</v>
      </c>
      <c r="W34" s="46" t="n">
        <f aca="false">-W17*MIN(Inputs!$B$282*Inputs!$B$209,MAX(0,W21-W19)*Inputs!$B$280*Inputs!$B$281)</f>
        <v>-17.2090774534635</v>
      </c>
      <c r="X34" s="46" t="n">
        <f aca="false">-X17*MIN(Inputs!$B$282*Inputs!$B$209,MAX(0,X21-X19)*Inputs!$B$280*Inputs!$B$281)</f>
        <v>-18.1793810386985</v>
      </c>
      <c r="Y34" s="46" t="n">
        <f aca="false">-Y17*MIN(Inputs!$B$282*Inputs!$B$209,MAX(0,Y21-Y19)*Inputs!$B$280*Inputs!$B$281)</f>
        <v>-19.1092467646441</v>
      </c>
      <c r="Z34" s="46" t="n">
        <f aca="false">-Z17*MIN(Inputs!$B$282*Inputs!$B$209,MAX(0,Z21-Z19)*Inputs!$B$280*Inputs!$B$281)</f>
        <v>-20.0003598981474</v>
      </c>
      <c r="AA34" s="46" t="n">
        <f aca="false">-AA17*MIN(Inputs!$B$282*Inputs!$B$209,MAX(0,AA21-AA19)*Inputs!$B$280*Inputs!$B$281)</f>
        <v>-20.8543354717654</v>
      </c>
      <c r="AB34" s="46" t="n">
        <f aca="false">-AB17*MIN(Inputs!$B$282*Inputs!$B$209,MAX(0,AB21-AB19)*Inputs!$B$280*Inputs!$B$281)</f>
        <v>-21.672721210812</v>
      </c>
      <c r="AC34" s="46" t="n">
        <f aca="false">-AC17*MIN(Inputs!$B$282*Inputs!$B$209,MAX(0,AC21-AC19)*Inputs!$B$280*Inputs!$B$281)</f>
        <v>-22.457000338419</v>
      </c>
      <c r="AD34" s="46" t="n">
        <f aca="false">-AD17*MIN(Inputs!$B$282*Inputs!$B$209,MAX(0,AD21-AD19)*Inputs!$B$280*Inputs!$B$281)</f>
        <v>-23.2085942636951</v>
      </c>
      <c r="AE34" s="46" t="n">
        <f aca="false">-AE17*MIN(Inputs!$B$282*Inputs!$B$209,MAX(0,AE21-AE19)*Inputs!$B$280*Inputs!$B$281)</f>
        <v>-23.9288651578543</v>
      </c>
      <c r="AF34" s="46" t="n">
        <f aca="false">-AF17*MIN(Inputs!$B$282*Inputs!$B$209,MAX(0,AF21-AF19)*Inputs!$B$280*Inputs!$B$281)</f>
        <v>-24.6191184229833</v>
      </c>
      <c r="AG34" s="46" t="n">
        <f aca="false">-AG17*MIN(Inputs!$B$282*Inputs!$B$209,MAX(0,AG21-AG19)*Inputs!$B$280*Inputs!$B$281)</f>
        <v>-25.2806050579214</v>
      </c>
      <c r="AH34" s="46" t="n">
        <f aca="false">-AH17*MIN(Inputs!$B$282*Inputs!$B$209,MAX(0,AH21-AH19)*Inputs!$B$280*Inputs!$B$281)</f>
        <v>-25.9145239255417</v>
      </c>
      <c r="AI34" s="46" t="n">
        <f aca="false">-AI17*MIN(Inputs!$B$282*Inputs!$B$209,MAX(0,AI21-AI19)*Inputs!$B$280*Inputs!$B$281)</f>
        <v>-26.5220239255417</v>
      </c>
      <c r="AJ34" s="46" t="n">
        <f aca="false">-AJ17*MIN(Inputs!$B$282*Inputs!$B$209,MAX(0,AJ21-AJ19)*Inputs!$B$280*Inputs!$B$281)</f>
        <v>-27.1042060766826</v>
      </c>
      <c r="AK34" s="46" t="n">
        <f aca="false">-AK17*MIN(Inputs!$B$282*Inputs!$B$209,MAX(0,AK21-AK19)*Inputs!$B$280*Inputs!$B$281)</f>
        <v>-27.66212551225</v>
      </c>
      <c r="AL34" s="46" t="n">
        <f aca="false">-AL17*MIN(Inputs!$B$282*Inputs!$B$209,MAX(0,AL21-AL19)*Inputs!$B$280*Inputs!$B$281)</f>
        <v>-28.1967933923519</v>
      </c>
      <c r="AM34" s="46" t="n">
        <f aca="false">-AM17*MIN(Inputs!$B$282*Inputs!$B$209,MAX(0,AM21-AM19)*Inputs!$B$280*Inputs!$B$281)</f>
        <v>-28.7091787365228</v>
      </c>
      <c r="AN34" s="46" t="n">
        <f aca="false">SUM(D34:AM34)</f>
        <v>-514.0863225846</v>
      </c>
      <c r="AO34" s="46" t="n">
        <f aca="false">SUM(D34:O34)</f>
        <v>-23.9491889323354</v>
      </c>
      <c r="AP34" s="46" t="n">
        <f aca="false">SUM(P34:AA34)</f>
        <v>-184.861377631689</v>
      </c>
      <c r="AQ34" s="46" t="n">
        <f aca="false">SUM(AB34:AM34)</f>
        <v>-305.275756020576</v>
      </c>
    </row>
    <row r="35" customFormat="false" ht="15" hidden="false" customHeight="false" outlineLevel="0" collapsed="false">
      <c r="A35" s="17" t="s">
        <v>927</v>
      </c>
      <c r="B35" s="17" t="s">
        <v>61</v>
      </c>
      <c r="D35" s="46" t="n">
        <f aca="false">Scenarios!$B$47*D31</f>
        <v>0</v>
      </c>
      <c r="E35" s="46" t="n">
        <f aca="false">Scenarios!$B$47*E31</f>
        <v>0</v>
      </c>
      <c r="F35" s="46" t="n">
        <f aca="false">Scenarios!$B$47*F31</f>
        <v>0</v>
      </c>
      <c r="G35" s="46" t="n">
        <f aca="false">Scenarios!$B$47*G31</f>
        <v>0</v>
      </c>
      <c r="H35" s="46" t="n">
        <f aca="false">Scenarios!$B$47*H31</f>
        <v>0</v>
      </c>
      <c r="I35" s="46" t="n">
        <f aca="false">Scenarios!$B$47*I31</f>
        <v>0</v>
      </c>
      <c r="J35" s="46" t="n">
        <f aca="false">Scenarios!$B$47*J31</f>
        <v>0</v>
      </c>
      <c r="K35" s="46" t="n">
        <f aca="false">Scenarios!$B$47*K31</f>
        <v>0</v>
      </c>
      <c r="L35" s="46" t="n">
        <f aca="false">Scenarios!$B$47*L31</f>
        <v>0</v>
      </c>
      <c r="M35" s="46" t="n">
        <f aca="false">Scenarios!$B$47*M31</f>
        <v>0</v>
      </c>
      <c r="N35" s="46" t="n">
        <f aca="false">Scenarios!$B$47*N31</f>
        <v>0</v>
      </c>
      <c r="O35" s="46" t="n">
        <f aca="false">Scenarios!$B$47*O31</f>
        <v>0</v>
      </c>
      <c r="P35" s="46" t="n">
        <f aca="false">Scenarios!$B$47*P31</f>
        <v>0</v>
      </c>
      <c r="Q35" s="46" t="n">
        <f aca="false">Scenarios!$B$47*Q31</f>
        <v>0</v>
      </c>
      <c r="R35" s="46" t="n">
        <f aca="false">Scenarios!$B$47*R31</f>
        <v>0</v>
      </c>
      <c r="S35" s="46" t="n">
        <f aca="false">Scenarios!$B$47*S31</f>
        <v>0</v>
      </c>
      <c r="T35" s="46" t="n">
        <f aca="false">Scenarios!$B$47*T31</f>
        <v>0</v>
      </c>
      <c r="U35" s="46" t="n">
        <f aca="false">Scenarios!$B$47*U31</f>
        <v>0</v>
      </c>
      <c r="V35" s="46" t="n">
        <f aca="false">Scenarios!$B$47*V31</f>
        <v>0</v>
      </c>
      <c r="W35" s="46" t="n">
        <f aca="false">Scenarios!$B$47*W31</f>
        <v>0</v>
      </c>
      <c r="X35" s="46" t="n">
        <f aca="false">Scenarios!$B$47*X31</f>
        <v>0</v>
      </c>
      <c r="Y35" s="46" t="n">
        <f aca="false">Scenarios!$B$47*Y31</f>
        <v>0</v>
      </c>
      <c r="Z35" s="46" t="n">
        <f aca="false">Scenarios!$B$47*Z31</f>
        <v>0</v>
      </c>
      <c r="AA35" s="46" t="n">
        <f aca="false">Scenarios!$B$47*AA31</f>
        <v>0</v>
      </c>
      <c r="AB35" s="46" t="n">
        <f aca="false">Scenarios!$B$47*AB31</f>
        <v>0</v>
      </c>
      <c r="AC35" s="46" t="n">
        <f aca="false">Scenarios!$B$47*AC31</f>
        <v>0</v>
      </c>
      <c r="AD35" s="46" t="n">
        <f aca="false">Scenarios!$B$47*AD31</f>
        <v>0</v>
      </c>
      <c r="AE35" s="46" t="n">
        <f aca="false">Scenarios!$B$47*AE31</f>
        <v>0</v>
      </c>
      <c r="AF35" s="46" t="n">
        <f aca="false">Scenarios!$B$47*AF31</f>
        <v>0</v>
      </c>
      <c r="AG35" s="46" t="n">
        <f aca="false">Scenarios!$B$47*AG31</f>
        <v>0</v>
      </c>
      <c r="AH35" s="46" t="n">
        <f aca="false">Scenarios!$B$47*AH31</f>
        <v>0</v>
      </c>
      <c r="AI35" s="46" t="n">
        <f aca="false">Scenarios!$B$47*AI31</f>
        <v>0</v>
      </c>
      <c r="AJ35" s="46" t="n">
        <f aca="false">Scenarios!$B$47*AJ31</f>
        <v>0</v>
      </c>
      <c r="AK35" s="46" t="n">
        <f aca="false">Scenarios!$B$47*AK31</f>
        <v>0</v>
      </c>
      <c r="AL35" s="46" t="n">
        <f aca="false">Scenarios!$B$47*AL31</f>
        <v>0</v>
      </c>
      <c r="AM35" s="46" t="n">
        <f aca="false">Scenarios!$B$47*AM31</f>
        <v>0</v>
      </c>
      <c r="AN35" s="46" t="n">
        <f aca="false">SUM(D35:AM35)</f>
        <v>0</v>
      </c>
      <c r="AO35" s="46" t="n">
        <f aca="false">SUM(D35:O35)</f>
        <v>0</v>
      </c>
      <c r="AP35" s="46" t="n">
        <f aca="false">SUM(P35:AA35)</f>
        <v>0</v>
      </c>
      <c r="AQ35" s="46" t="n">
        <f aca="false">SUM(AB35:AM35)</f>
        <v>0</v>
      </c>
    </row>
    <row r="36" customFormat="false" ht="15" hidden="false" customHeight="false" outlineLevel="0" collapsed="false">
      <c r="A36" s="3" t="s">
        <v>928</v>
      </c>
      <c r="B36" s="17" t="s">
        <v>61</v>
      </c>
      <c r="D36" s="8" t="n">
        <f aca="false">D30+D33+D34+D35</f>
        <v>0</v>
      </c>
      <c r="E36" s="8" t="n">
        <f aca="false">E30+E33+E34+E35</f>
        <v>0</v>
      </c>
      <c r="F36" s="8" t="n">
        <f aca="false">F30+F33+F34+F35</f>
        <v>0</v>
      </c>
      <c r="G36" s="8" t="n">
        <f aca="false">G30+G33+G34+G35</f>
        <v>0</v>
      </c>
      <c r="H36" s="8" t="n">
        <f aca="false">H30+H33+H34+H35</f>
        <v>0</v>
      </c>
      <c r="I36" s="8" t="n">
        <f aca="false">I30+I33+I34+I35</f>
        <v>0</v>
      </c>
      <c r="J36" s="8" t="n">
        <f aca="false">J30+J33+J34+J35</f>
        <v>0</v>
      </c>
      <c r="K36" s="8" t="n">
        <f aca="false">K30+K33+K34+K35</f>
        <v>-293.953125</v>
      </c>
      <c r="L36" s="8" t="n">
        <f aca="false">L30+L33+L34+L35</f>
        <v>-288.158256365958</v>
      </c>
      <c r="M36" s="8" t="n">
        <f aca="false">M30+M33+M34+M35</f>
        <v>-282.604891613783</v>
      </c>
      <c r="N36" s="8" t="n">
        <f aca="false">N30+N33+N34+N35</f>
        <v>-277.28296595536</v>
      </c>
      <c r="O36" s="8" t="n">
        <f aca="false">O30+O33+O34+O35</f>
        <v>-272.182834057364</v>
      </c>
      <c r="P36" s="8" t="n">
        <f aca="false">P30+P33+P34+P35</f>
        <v>-267.29525256028</v>
      </c>
      <c r="Q36" s="8" t="n">
        <f aca="false">Q30+Q33+Q34+Q35</f>
        <v>-262.61136332596</v>
      </c>
      <c r="R36" s="8" t="n">
        <f aca="false">R30+R33+R34+R35</f>
        <v>-258.122677383339</v>
      </c>
      <c r="S36" s="8" t="n">
        <f aca="false">S30+S33+S34+S35</f>
        <v>-253.821059543222</v>
      </c>
      <c r="T36" s="8" t="n">
        <f aca="false">T30+T33+T34+T35</f>
        <v>-249.698713654257</v>
      </c>
      <c r="U36" s="8" t="n">
        <f aca="false">U30+U33+U34+U35</f>
        <v>-245.748168473376</v>
      </c>
      <c r="V36" s="8" t="n">
        <f aca="false">V30+V33+V34+V35</f>
        <v>-241.962264125089</v>
      </c>
      <c r="W36" s="8" t="n">
        <f aca="false">W30+W33+W34+W35</f>
        <v>-222.559151459414</v>
      </c>
      <c r="X36" s="8" t="n">
        <f aca="false">X30+X33+X34+X35</f>
        <v>-218.192785325857</v>
      </c>
      <c r="Y36" s="8" t="n">
        <f aca="false">Y30+Y33+Y34+Y35</f>
        <v>-214.008389559102</v>
      </c>
      <c r="Z36" s="8" t="n">
        <f aca="false">Z30+Z33+Z34+Z35</f>
        <v>-209.998380458337</v>
      </c>
      <c r="AA36" s="8" t="n">
        <f aca="false">AA30+AA33+AA34+AA35</f>
        <v>-206.155490377056</v>
      </c>
      <c r="AB36" s="8" t="n">
        <f aca="false">AB30+AB33+AB34+AB35</f>
        <v>-202.472754551346</v>
      </c>
      <c r="AC36" s="8" t="n">
        <f aca="false">AC30+AC33+AC34+AC35</f>
        <v>-198.943498477115</v>
      </c>
      <c r="AD36" s="8" t="n">
        <f aca="false">AD30+AD33+AD34+AD35</f>
        <v>-195.561325813372</v>
      </c>
      <c r="AE36" s="8" t="n">
        <f aca="false">AE30+AE33+AE34+AE35</f>
        <v>-192.320106789656</v>
      </c>
      <c r="AF36" s="8" t="n">
        <f aca="false">AF30+AF33+AF34+AF35</f>
        <v>-189.213967096575</v>
      </c>
      <c r="AG36" s="8" t="n">
        <f aca="false">AG30+AG33+AG34+AG35</f>
        <v>-186.237277239354</v>
      </c>
      <c r="AH36" s="8" t="n">
        <f aca="false">AH30+AH33+AH34+AH35</f>
        <v>-183.384642335063</v>
      </c>
      <c r="AI36" s="8" t="n">
        <f aca="false">AI30+AI33+AI34+AI35</f>
        <v>-180.650892335063</v>
      </c>
      <c r="AJ36" s="8" t="n">
        <f aca="false">AJ30+AJ33+AJ34+AJ35</f>
        <v>-178.031072654928</v>
      </c>
      <c r="AK36" s="8" t="n">
        <f aca="false">AK30+AK33+AK34+AK35</f>
        <v>-175.520435194875</v>
      </c>
      <c r="AL36" s="8" t="n">
        <f aca="false">AL30+AL33+AL34+AL35</f>
        <v>-173.114429734416</v>
      </c>
      <c r="AM36" s="8" t="n">
        <f aca="false">AM30+AM33+AM34+AM35</f>
        <v>-170.808695685648</v>
      </c>
      <c r="AN36" s="8" t="n">
        <f aca="false">SUM(D36:AM36)</f>
        <v>-6490.61486714516</v>
      </c>
      <c r="AO36" s="8" t="n">
        <f aca="false">SUM(D36:O36)</f>
        <v>-1414.18207299246</v>
      </c>
      <c r="AP36" s="8" t="n">
        <f aca="false">SUM(P36:AA36)</f>
        <v>-2850.17369624529</v>
      </c>
      <c r="AQ36" s="8" t="n">
        <f aca="false">SUM(AB36:AM36)</f>
        <v>-2226.25909790741</v>
      </c>
    </row>
    <row r="37" customFormat="false" ht="15" hidden="false" customHeight="false" outlineLevel="0" collapsed="false">
      <c r="A37" s="17" t="s">
        <v>929</v>
      </c>
      <c r="B37" s="17" t="s">
        <v>61</v>
      </c>
      <c r="D37" s="46" t="n">
        <f aca="false">-'R&amp;D'!D28</f>
        <v>-18000</v>
      </c>
      <c r="E37" s="46" t="n">
        <f aca="false">-'R&amp;D'!E28</f>
        <v>-11250</v>
      </c>
      <c r="F37" s="46" t="n">
        <f aca="false">-'R&amp;D'!F28</f>
        <v>-11250</v>
      </c>
      <c r="G37" s="46" t="n">
        <f aca="false">-'R&amp;D'!G28</f>
        <v>-8700</v>
      </c>
      <c r="H37" s="46" t="n">
        <f aca="false">-'R&amp;D'!H28</f>
        <v>-8700</v>
      </c>
      <c r="I37" s="46" t="n">
        <f aca="false">-'R&amp;D'!I28</f>
        <v>-0</v>
      </c>
      <c r="J37" s="46" t="n">
        <f aca="false">-'R&amp;D'!J28</f>
        <v>-0</v>
      </c>
      <c r="K37" s="46" t="n">
        <f aca="false">-'R&amp;D'!K28</f>
        <v>-0</v>
      </c>
      <c r="L37" s="46" t="n">
        <f aca="false">-'R&amp;D'!L28</f>
        <v>-5700</v>
      </c>
      <c r="M37" s="46" t="n">
        <f aca="false">-'R&amp;D'!M28</f>
        <v>-5700</v>
      </c>
      <c r="N37" s="46" t="n">
        <f aca="false">-'R&amp;D'!N28</f>
        <v>-0</v>
      </c>
      <c r="O37" s="46" t="n">
        <f aca="false">-'R&amp;D'!O28</f>
        <v>-4800</v>
      </c>
      <c r="P37" s="46" t="n">
        <f aca="false">-'R&amp;D'!P28</f>
        <v>-4800</v>
      </c>
      <c r="Q37" s="46" t="n">
        <f aca="false">-'R&amp;D'!Q28</f>
        <v>-4800</v>
      </c>
      <c r="R37" s="46" t="n">
        <f aca="false">-'R&amp;D'!R28</f>
        <v>-0</v>
      </c>
      <c r="S37" s="46" t="n">
        <f aca="false">-'R&amp;D'!S28</f>
        <v>-0</v>
      </c>
      <c r="T37" s="46" t="n">
        <f aca="false">-'R&amp;D'!T28</f>
        <v>-0</v>
      </c>
      <c r="U37" s="46" t="n">
        <f aca="false">-'R&amp;D'!U28</f>
        <v>-0</v>
      </c>
      <c r="V37" s="46" t="n">
        <f aca="false">-'R&amp;D'!V28</f>
        <v>-0</v>
      </c>
      <c r="W37" s="46" t="n">
        <f aca="false">-'R&amp;D'!W28</f>
        <v>-0</v>
      </c>
      <c r="X37" s="46" t="n">
        <f aca="false">-'R&amp;D'!X28</f>
        <v>-0</v>
      </c>
      <c r="Y37" s="46" t="n">
        <f aca="false">-'R&amp;D'!Y28</f>
        <v>-0</v>
      </c>
      <c r="Z37" s="46" t="n">
        <f aca="false">-'R&amp;D'!Z28</f>
        <v>-0</v>
      </c>
      <c r="AA37" s="46" t="n">
        <f aca="false">-'R&amp;D'!AA28</f>
        <v>-0</v>
      </c>
      <c r="AB37" s="46" t="n">
        <f aca="false">-'R&amp;D'!AB28</f>
        <v>-0</v>
      </c>
      <c r="AC37" s="46" t="n">
        <f aca="false">-'R&amp;D'!AC28</f>
        <v>-0</v>
      </c>
      <c r="AD37" s="46" t="n">
        <f aca="false">-'R&amp;D'!AD28</f>
        <v>-0</v>
      </c>
      <c r="AE37" s="46" t="n">
        <f aca="false">-'R&amp;D'!AE28</f>
        <v>-0</v>
      </c>
      <c r="AF37" s="46" t="n">
        <f aca="false">-'R&amp;D'!AF28</f>
        <v>-0</v>
      </c>
      <c r="AG37" s="46" t="n">
        <f aca="false">-'R&amp;D'!AG28</f>
        <v>-0</v>
      </c>
      <c r="AH37" s="46" t="n">
        <f aca="false">-'R&amp;D'!AH28</f>
        <v>-0</v>
      </c>
      <c r="AI37" s="46" t="n">
        <f aca="false">-'R&amp;D'!AI28</f>
        <v>-0</v>
      </c>
      <c r="AJ37" s="46" t="n">
        <f aca="false">-'R&amp;D'!AJ28</f>
        <v>-0</v>
      </c>
      <c r="AK37" s="46" t="n">
        <f aca="false">-'R&amp;D'!AK28</f>
        <v>-0</v>
      </c>
      <c r="AL37" s="46" t="n">
        <f aca="false">-'R&amp;D'!AL28</f>
        <v>-0</v>
      </c>
      <c r="AM37" s="46" t="n">
        <f aca="false">-'R&amp;D'!AM28</f>
        <v>-0</v>
      </c>
      <c r="AN37" s="46" t="n">
        <f aca="false">SUM(D37:AM37)</f>
        <v>-83700</v>
      </c>
      <c r="AO37" s="46" t="n">
        <f aca="false">SUM(D37:O37)</f>
        <v>-74100</v>
      </c>
      <c r="AP37" s="46" t="n">
        <f aca="false">SUM(P37:AA37)</f>
        <v>-9600</v>
      </c>
      <c r="AQ37" s="46" t="n">
        <f aca="false">SUM(AB37:AM37)</f>
        <v>0</v>
      </c>
    </row>
    <row r="38" customFormat="false" ht="15" hidden="false" customHeight="false" outlineLevel="0" collapsed="false">
      <c r="A38" s="3" t="s">
        <v>930</v>
      </c>
      <c r="B38" s="17" t="s">
        <v>61</v>
      </c>
      <c r="D38" s="8" t="n">
        <f aca="false">D36+D37</f>
        <v>-18000</v>
      </c>
      <c r="E38" s="8" t="n">
        <f aca="false">E36+E37</f>
        <v>-11250</v>
      </c>
      <c r="F38" s="8" t="n">
        <f aca="false">F36+F37</f>
        <v>-11250</v>
      </c>
      <c r="G38" s="8" t="n">
        <f aca="false">G36+G37</f>
        <v>-8700</v>
      </c>
      <c r="H38" s="8" t="n">
        <f aca="false">H36+H37</f>
        <v>-8700</v>
      </c>
      <c r="I38" s="8" t="n">
        <f aca="false">I36+I37</f>
        <v>0</v>
      </c>
      <c r="J38" s="8" t="n">
        <f aca="false">J36+J37</f>
        <v>0</v>
      </c>
      <c r="K38" s="8" t="n">
        <f aca="false">K36+K37</f>
        <v>-293.953125</v>
      </c>
      <c r="L38" s="8" t="n">
        <f aca="false">L36+L37</f>
        <v>-5988.15825636596</v>
      </c>
      <c r="M38" s="8" t="n">
        <f aca="false">M36+M37</f>
        <v>-5982.60489161378</v>
      </c>
      <c r="N38" s="8" t="n">
        <f aca="false">N36+N37</f>
        <v>-277.28296595536</v>
      </c>
      <c r="O38" s="8" t="n">
        <f aca="false">O36+O37</f>
        <v>-5072.18283405736</v>
      </c>
      <c r="P38" s="8" t="n">
        <f aca="false">P36+P37</f>
        <v>-5067.29525256028</v>
      </c>
      <c r="Q38" s="8" t="n">
        <f aca="false">Q36+Q37</f>
        <v>-5062.61136332596</v>
      </c>
      <c r="R38" s="8" t="n">
        <f aca="false">R36+R37</f>
        <v>-258.122677383339</v>
      </c>
      <c r="S38" s="8" t="n">
        <f aca="false">S36+S37</f>
        <v>-253.821059543222</v>
      </c>
      <c r="T38" s="8" t="n">
        <f aca="false">T36+T37</f>
        <v>-249.698713654257</v>
      </c>
      <c r="U38" s="8" t="n">
        <f aca="false">U36+U37</f>
        <v>-245.748168473376</v>
      </c>
      <c r="V38" s="8" t="n">
        <f aca="false">V36+V37</f>
        <v>-241.962264125089</v>
      </c>
      <c r="W38" s="8" t="n">
        <f aca="false">W36+W37</f>
        <v>-222.559151459414</v>
      </c>
      <c r="X38" s="8" t="n">
        <f aca="false">X36+X37</f>
        <v>-218.192785325857</v>
      </c>
      <c r="Y38" s="8" t="n">
        <f aca="false">Y36+Y37</f>
        <v>-214.008389559102</v>
      </c>
      <c r="Z38" s="8" t="n">
        <f aca="false">Z36+Z37</f>
        <v>-209.998380458337</v>
      </c>
      <c r="AA38" s="8" t="n">
        <f aca="false">AA36+AA37</f>
        <v>-206.155490377056</v>
      </c>
      <c r="AB38" s="8" t="n">
        <f aca="false">AB36+AB37</f>
        <v>-202.472754551346</v>
      </c>
      <c r="AC38" s="8" t="n">
        <f aca="false">AC36+AC37</f>
        <v>-198.943498477115</v>
      </c>
      <c r="AD38" s="8" t="n">
        <f aca="false">AD36+AD37</f>
        <v>-195.561325813372</v>
      </c>
      <c r="AE38" s="8" t="n">
        <f aca="false">AE36+AE37</f>
        <v>-192.320106789656</v>
      </c>
      <c r="AF38" s="8" t="n">
        <f aca="false">AF36+AF37</f>
        <v>-189.213967096575</v>
      </c>
      <c r="AG38" s="8" t="n">
        <f aca="false">AG36+AG37</f>
        <v>-186.237277239354</v>
      </c>
      <c r="AH38" s="8" t="n">
        <f aca="false">AH36+AH37</f>
        <v>-183.384642335063</v>
      </c>
      <c r="AI38" s="8" t="n">
        <f aca="false">AI36+AI37</f>
        <v>-180.650892335063</v>
      </c>
      <c r="AJ38" s="8" t="n">
        <f aca="false">AJ36+AJ37</f>
        <v>-178.031072654928</v>
      </c>
      <c r="AK38" s="8" t="n">
        <f aca="false">AK36+AK37</f>
        <v>-175.520435194875</v>
      </c>
      <c r="AL38" s="8" t="n">
        <f aca="false">AL36+AL37</f>
        <v>-173.114429734416</v>
      </c>
      <c r="AM38" s="8" t="n">
        <f aca="false">AM36+AM37</f>
        <v>-170.808695685648</v>
      </c>
      <c r="AN38" s="8" t="n">
        <f aca="false">SUM(D38:AM38)</f>
        <v>-90190.6148671452</v>
      </c>
      <c r="AO38" s="8" t="n">
        <f aca="false">SUM(D38:O38)</f>
        <v>-75514.1820729925</v>
      </c>
      <c r="AP38" s="8" t="n">
        <f aca="false">SUM(P38:AA38)</f>
        <v>-12450.1736962453</v>
      </c>
      <c r="AQ38" s="8" t="n">
        <f aca="false">SUM(AB38:AM38)</f>
        <v>-2226.25909790741</v>
      </c>
    </row>
    <row r="39" customFormat="false" ht="15" hidden="false" customHeight="false" outlineLevel="0" collapsed="false">
      <c r="A39" s="3" t="s">
        <v>931</v>
      </c>
      <c r="B39" s="17" t="s">
        <v>61</v>
      </c>
      <c r="D39" s="8" t="n">
        <f aca="false">D38</f>
        <v>-18000</v>
      </c>
      <c r="E39" s="8" t="n">
        <f aca="false">D39+E38</f>
        <v>-29250</v>
      </c>
      <c r="F39" s="8" t="n">
        <f aca="false">E39+F38</f>
        <v>-40500</v>
      </c>
      <c r="G39" s="8" t="n">
        <f aca="false">F39+G38</f>
        <v>-49200</v>
      </c>
      <c r="H39" s="8" t="n">
        <f aca="false">G39+H38</f>
        <v>-57900</v>
      </c>
      <c r="I39" s="8" t="n">
        <f aca="false">H39+I38</f>
        <v>-57900</v>
      </c>
      <c r="J39" s="8" t="n">
        <f aca="false">I39+J38</f>
        <v>-57900</v>
      </c>
      <c r="K39" s="8" t="n">
        <f aca="false">J39+K38</f>
        <v>-58193.953125</v>
      </c>
      <c r="L39" s="8" t="n">
        <f aca="false">K39+L38</f>
        <v>-64182.111381366</v>
      </c>
      <c r="M39" s="8" t="n">
        <f aca="false">L39+M38</f>
        <v>-70164.7162729797</v>
      </c>
      <c r="N39" s="8" t="n">
        <f aca="false">M39+N38</f>
        <v>-70441.9992389351</v>
      </c>
      <c r="O39" s="8" t="n">
        <f aca="false">N39+O38</f>
        <v>-75514.1820729925</v>
      </c>
      <c r="P39" s="8" t="n">
        <f aca="false">O39+P38</f>
        <v>-80581.4773255527</v>
      </c>
      <c r="Q39" s="8" t="n">
        <f aca="false">P39+Q38</f>
        <v>-85644.0886888787</v>
      </c>
      <c r="R39" s="8" t="n">
        <f aca="false">Q39+R38</f>
        <v>-85902.211366262</v>
      </c>
      <c r="S39" s="8" t="n">
        <f aca="false">R39+S38</f>
        <v>-86156.0324258053</v>
      </c>
      <c r="T39" s="8" t="n">
        <f aca="false">S39+T38</f>
        <v>-86405.7311394595</v>
      </c>
      <c r="U39" s="8" t="n">
        <f aca="false">T39+U38</f>
        <v>-86651.4793079329</v>
      </c>
      <c r="V39" s="8" t="n">
        <f aca="false">U39+V38</f>
        <v>-86893.441572058</v>
      </c>
      <c r="W39" s="8" t="n">
        <f aca="false">V39+W38</f>
        <v>-87116.0007235174</v>
      </c>
      <c r="X39" s="8" t="n">
        <f aca="false">W39+X38</f>
        <v>-87334.1935088433</v>
      </c>
      <c r="Y39" s="8" t="n">
        <f aca="false">X39+Y38</f>
        <v>-87548.2018984024</v>
      </c>
      <c r="Z39" s="8" t="n">
        <f aca="false">Y39+Z38</f>
        <v>-87758.2002788607</v>
      </c>
      <c r="AA39" s="8" t="n">
        <f aca="false">Z39+AA38</f>
        <v>-87964.3557692378</v>
      </c>
      <c r="AB39" s="8" t="n">
        <f aca="false">AA39+AB38</f>
        <v>-88166.8285237891</v>
      </c>
      <c r="AC39" s="8" t="n">
        <f aca="false">AB39+AC38</f>
        <v>-88365.7720222662</v>
      </c>
      <c r="AD39" s="8" t="n">
        <f aca="false">AC39+AD38</f>
        <v>-88561.3333480796</v>
      </c>
      <c r="AE39" s="8" t="n">
        <f aca="false">AD39+AE38</f>
        <v>-88753.6534548692</v>
      </c>
      <c r="AF39" s="8" t="n">
        <f aca="false">AE39+AF38</f>
        <v>-88942.8674219658</v>
      </c>
      <c r="AG39" s="8" t="n">
        <f aca="false">AF39+AG38</f>
        <v>-89129.1046992052</v>
      </c>
      <c r="AH39" s="8" t="n">
        <f aca="false">AG39+AH38</f>
        <v>-89312.4893415402</v>
      </c>
      <c r="AI39" s="8" t="n">
        <f aca="false">AH39+AI38</f>
        <v>-89493.1402338753</v>
      </c>
      <c r="AJ39" s="8" t="n">
        <f aca="false">AI39+AJ38</f>
        <v>-89671.1713065302</v>
      </c>
      <c r="AK39" s="8" t="n">
        <f aca="false">AJ39+AK38</f>
        <v>-89846.6917417251</v>
      </c>
      <c r="AL39" s="8" t="n">
        <f aca="false">AK39+AL38</f>
        <v>-90019.8061714595</v>
      </c>
      <c r="AM39" s="8" t="n">
        <f aca="false">AL39+AM38</f>
        <v>-90190.6148671452</v>
      </c>
    </row>
    <row r="40" customFormat="false" ht="15" hidden="false" customHeight="false" outlineLevel="0" collapsed="false">
      <c r="A40" s="17" t="s">
        <v>932</v>
      </c>
      <c r="B40" s="17" t="s">
        <v>562</v>
      </c>
      <c r="D40" s="49" t="str">
        <f aca="false">IF(D39&gt;=0,D$5,"")</f>
        <v/>
      </c>
      <c r="E40" s="49" t="str">
        <f aca="false">IF(E39&gt;=0,E$5,"")</f>
        <v/>
      </c>
      <c r="F40" s="49" t="str">
        <f aca="false">IF(F39&gt;=0,F$5,"")</f>
        <v/>
      </c>
      <c r="G40" s="49" t="str">
        <f aca="false">IF(G39&gt;=0,G$5,"")</f>
        <v/>
      </c>
      <c r="H40" s="49" t="str">
        <f aca="false">IF(H39&gt;=0,H$5,"")</f>
        <v/>
      </c>
      <c r="I40" s="49" t="str">
        <f aca="false">IF(I39&gt;=0,I$5,"")</f>
        <v/>
      </c>
      <c r="J40" s="49" t="str">
        <f aca="false">IF(J39&gt;=0,J$5,"")</f>
        <v/>
      </c>
      <c r="K40" s="49" t="str">
        <f aca="false">IF(K39&gt;=0,K$5,"")</f>
        <v/>
      </c>
      <c r="L40" s="49" t="str">
        <f aca="false">IF(L39&gt;=0,L$5,"")</f>
        <v/>
      </c>
      <c r="M40" s="49" t="str">
        <f aca="false">IF(M39&gt;=0,M$5,"")</f>
        <v/>
      </c>
      <c r="N40" s="49" t="str">
        <f aca="false">IF(N39&gt;=0,N$5,"")</f>
        <v/>
      </c>
      <c r="O40" s="49" t="str">
        <f aca="false">IF(O39&gt;=0,O$5,"")</f>
        <v/>
      </c>
      <c r="P40" s="49" t="str">
        <f aca="false">IF(P39&gt;=0,P$5,"")</f>
        <v/>
      </c>
      <c r="Q40" s="49" t="str">
        <f aca="false">IF(Q39&gt;=0,Q$5,"")</f>
        <v/>
      </c>
      <c r="R40" s="49" t="str">
        <f aca="false">IF(R39&gt;=0,R$5,"")</f>
        <v/>
      </c>
      <c r="S40" s="49" t="str">
        <f aca="false">IF(S39&gt;=0,S$5,"")</f>
        <v/>
      </c>
      <c r="T40" s="49" t="str">
        <f aca="false">IF(T39&gt;=0,T$5,"")</f>
        <v/>
      </c>
      <c r="U40" s="49" t="str">
        <f aca="false">IF(U39&gt;=0,U$5,"")</f>
        <v/>
      </c>
      <c r="V40" s="49" t="str">
        <f aca="false">IF(V39&gt;=0,V$5,"")</f>
        <v/>
      </c>
      <c r="W40" s="49" t="str">
        <f aca="false">IF(W39&gt;=0,W$5,"")</f>
        <v/>
      </c>
      <c r="X40" s="49" t="str">
        <f aca="false">IF(X39&gt;=0,X$5,"")</f>
        <v/>
      </c>
      <c r="Y40" s="49" t="str">
        <f aca="false">IF(Y39&gt;=0,Y$5,"")</f>
        <v/>
      </c>
      <c r="Z40" s="49" t="str">
        <f aca="false">IF(Z39&gt;=0,Z$5,"")</f>
        <v/>
      </c>
      <c r="AA40" s="49" t="str">
        <f aca="false">IF(AA39&gt;=0,AA$5,"")</f>
        <v/>
      </c>
      <c r="AB40" s="49" t="str">
        <f aca="false">IF(AB39&gt;=0,AB$5,"")</f>
        <v/>
      </c>
      <c r="AC40" s="49" t="str">
        <f aca="false">IF(AC39&gt;=0,AC$5,"")</f>
        <v/>
      </c>
      <c r="AD40" s="49" t="str">
        <f aca="false">IF(AD39&gt;=0,AD$5,"")</f>
        <v/>
      </c>
      <c r="AE40" s="49" t="str">
        <f aca="false">IF(AE39&gt;=0,AE$5,"")</f>
        <v/>
      </c>
      <c r="AF40" s="49" t="str">
        <f aca="false">IF(AF39&gt;=0,AF$5,"")</f>
        <v/>
      </c>
      <c r="AG40" s="49" t="str">
        <f aca="false">IF(AG39&gt;=0,AG$5,"")</f>
        <v/>
      </c>
      <c r="AH40" s="49" t="str">
        <f aca="false">IF(AH39&gt;=0,AH$5,"")</f>
        <v/>
      </c>
      <c r="AI40" s="49" t="str">
        <f aca="false">IF(AI39&gt;=0,AI$5,"")</f>
        <v/>
      </c>
      <c r="AJ40" s="49" t="str">
        <f aca="false">IF(AJ39&gt;=0,AJ$5,"")</f>
        <v/>
      </c>
      <c r="AK40" s="49" t="str">
        <f aca="false">IF(AK39&gt;=0,AK$5,"")</f>
        <v/>
      </c>
      <c r="AL40" s="49" t="str">
        <f aca="false">IF(AL39&gt;=0,AL$5,"")</f>
        <v/>
      </c>
      <c r="AM40" s="49" t="str">
        <f aca="false">IF(AM39&gt;=0,AM$5,"")</f>
        <v/>
      </c>
    </row>
    <row r="42" customFormat="false" ht="15" hidden="false" customHeight="false" outlineLevel="0" collapsed="false">
      <c r="A42" s="23" t="s">
        <v>933</v>
      </c>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row>
    <row r="43" customFormat="false" ht="15" hidden="false" customHeight="false" outlineLevel="0" collapsed="false">
      <c r="A43" s="17" t="s">
        <v>934</v>
      </c>
      <c r="B43" s="50" t="n">
        <f aca="false">AN23</f>
        <v>1833.98751208043</v>
      </c>
    </row>
    <row r="44" customFormat="false" ht="15" hidden="false" customHeight="false" outlineLevel="0" collapsed="false">
      <c r="A44" s="17" t="s">
        <v>935</v>
      </c>
      <c r="B44" s="46" t="n">
        <f aca="false">AN30</f>
        <v>2723.47145543944</v>
      </c>
    </row>
    <row r="45" customFormat="false" ht="15" hidden="false" customHeight="false" outlineLevel="0" collapsed="false">
      <c r="A45" s="17" t="s">
        <v>936</v>
      </c>
      <c r="B45" s="46" t="n">
        <f aca="false">AN33+AN34</f>
        <v>-9214.0863225846</v>
      </c>
    </row>
    <row r="46" customFormat="false" ht="15" hidden="false" customHeight="false" outlineLevel="0" collapsed="false">
      <c r="A46" s="17" t="s">
        <v>937</v>
      </c>
      <c r="B46" s="46" t="n">
        <f aca="false">-AN37</f>
        <v>83700</v>
      </c>
    </row>
    <row r="47" customFormat="false" ht="15" hidden="false" customHeight="false" outlineLevel="0" collapsed="false">
      <c r="A47" s="17" t="s">
        <v>938</v>
      </c>
      <c r="B47" s="46" t="n">
        <f aca="false">AN31</f>
        <v>3227.79185956072</v>
      </c>
    </row>
    <row r="48" customFormat="false" ht="15" hidden="false" customHeight="false" outlineLevel="0" collapsed="false">
      <c r="A48" s="17" t="s">
        <v>939</v>
      </c>
      <c r="B48" s="46" t="n">
        <f aca="false">AM39</f>
        <v>-90190.6148671452</v>
      </c>
    </row>
    <row r="49" customFormat="false" ht="15" hidden="false" customHeight="false" outlineLevel="0" collapsed="false">
      <c r="A49" s="17" t="s">
        <v>940</v>
      </c>
      <c r="B49" s="46" t="n">
        <f aca="false">AM39+AN31-AN35</f>
        <v>-86962.8230075844</v>
      </c>
    </row>
    <row r="50" customFormat="false" ht="15" hidden="false" customHeight="false" outlineLevel="0" collapsed="false">
      <c r="A50" s="17" t="s">
        <v>941</v>
      </c>
      <c r="B50" s="46" t="n">
        <f aca="false">MIN(D39:AM39)</f>
        <v>-90190.6148671452</v>
      </c>
    </row>
    <row r="51" customFormat="false" ht="15" hidden="false" customHeight="false" outlineLevel="0" collapsed="false">
      <c r="A51" s="17" t="s">
        <v>942</v>
      </c>
      <c r="B51" s="49" t="str">
        <f aca="false">IF(COUNT(D40:AM40)=0,"Not within 36 mo",MIN(D40:AM40))</f>
        <v>Not within 36 mo</v>
      </c>
    </row>
    <row r="52" customFormat="false" ht="15" hidden="false" customHeight="false" outlineLevel="0" collapsed="false">
      <c r="A52" s="17" t="s">
        <v>943</v>
      </c>
      <c r="B52" s="50" t="n">
        <f aca="false">IFERROR(-AN37/($B$9*Inputs!$H$268*(1-$B$12)),0)</f>
        <v>56363.6363636364</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54296875" defaultRowHeight="15" customHeight="false" zeroHeight="false" outlineLevelRow="0" outlineLevelCol="0"/>
  <cols>
    <col collapsed="false" customWidth="true" hidden="false" outlineLevel="0" max="1" min="1" style="1" width="38"/>
    <col collapsed="false" customWidth="true" hidden="false" outlineLevel="0" max="15" min="2" style="1" width="13"/>
  </cols>
  <sheetData>
    <row r="1" customFormat="false" ht="17.35" hidden="false" customHeight="false" outlineLevel="0" collapsed="false">
      <c r="A1" s="2" t="s">
        <v>944</v>
      </c>
    </row>
    <row r="2" customFormat="false" ht="15" hidden="false" customHeight="false" outlineLevel="0" collapsed="false">
      <c r="A2" s="20" t="s">
        <v>945</v>
      </c>
    </row>
    <row r="4" customFormat="false" ht="42" hidden="false" customHeight="true" outlineLevel="0" collapsed="false">
      <c r="A4" s="5" t="s">
        <v>169</v>
      </c>
      <c r="B4" s="5" t="s">
        <v>946</v>
      </c>
      <c r="C4" s="5" t="s">
        <v>947</v>
      </c>
      <c r="D4" s="5" t="s">
        <v>948</v>
      </c>
      <c r="E4" s="5" t="s">
        <v>949</v>
      </c>
      <c r="F4" s="5" t="s">
        <v>23</v>
      </c>
      <c r="G4" s="5" t="s">
        <v>950</v>
      </c>
      <c r="H4" s="5" t="s">
        <v>951</v>
      </c>
      <c r="I4" s="5" t="s">
        <v>952</v>
      </c>
      <c r="J4" s="5" t="s">
        <v>953</v>
      </c>
      <c r="K4" s="5" t="s">
        <v>954</v>
      </c>
      <c r="L4" s="5" t="s">
        <v>955</v>
      </c>
      <c r="M4" s="5" t="s">
        <v>956</v>
      </c>
      <c r="N4" s="5" t="s">
        <v>957</v>
      </c>
      <c r="O4" s="5" t="s">
        <v>958</v>
      </c>
    </row>
    <row r="5" customFormat="false" ht="15" hidden="false" customHeight="false" outlineLevel="0" collapsed="false">
      <c r="A5" s="6" t="str">
        <f aca="false">Inputs!A47</f>
        <v>Card - Digital e-card/PDF</v>
      </c>
      <c r="B5" s="13" t="n">
        <f aca="false">IF(Scenarios!$B$44=1,Inputs!B115,Inputs!E47)</f>
        <v>3.99</v>
      </c>
      <c r="C5" s="13" t="n">
        <f aca="false">IF(Scenarios!$B$44=1,Inputs!C115,Inputs!F47)*Inputs!D47*Inputs!$B$43</f>
        <v>0</v>
      </c>
      <c r="D5" s="13" t="n">
        <f aca="false">B5+C5</f>
        <v>3.99</v>
      </c>
      <c r="E5" s="13" t="n">
        <f aca="false">D5*Inputs!$B$36*Scenarios!$B$11</f>
        <v>0.1197</v>
      </c>
      <c r="F5" s="13" t="n">
        <f aca="false">D5-E5</f>
        <v>3.8703</v>
      </c>
      <c r="G5" s="13" t="n">
        <f aca="false">'Model Costs'!J35*Scenarios!$B$10*(1+Inputs!$B$42)</f>
        <v>0.2615345</v>
      </c>
      <c r="H5" s="13" t="n">
        <f aca="false">Inputs!H47*Inputs!D47*Scenarios!$B$13</f>
        <v>0</v>
      </c>
      <c r="I5" s="13" t="n">
        <f aca="false">Inputs!I47*Inputs!D47*Scenarios!$B$13</f>
        <v>0</v>
      </c>
      <c r="J5" s="13" t="n">
        <f aca="false">(H5+I5)*Inputs!$B$37*Scenarios!$B$11</f>
        <v>0</v>
      </c>
      <c r="K5" s="13" t="n">
        <f aca="false">D5*Inputs!$B$40+Inputs!$B$41/Inputs!$B$9</f>
        <v>0.376579565217391</v>
      </c>
      <c r="L5" s="13" t="n">
        <f aca="false">Inputs!$B$38*Inputs!$B$39/Inputs!$B$9</f>
        <v>0.0391304347826087</v>
      </c>
      <c r="M5" s="13" t="n">
        <f aca="false">SUM(G5:L5)</f>
        <v>0.6772445</v>
      </c>
      <c r="N5" s="9" t="n">
        <f aca="false">F5-M5</f>
        <v>3.1930555</v>
      </c>
      <c r="O5" s="14" t="n">
        <f aca="false">IFERROR(N5/F5,0)</f>
        <v>0.825014985918404</v>
      </c>
    </row>
    <row r="6" customFormat="false" ht="15" hidden="false" customHeight="false" outlineLevel="0" collapsed="false">
      <c r="A6" s="6" t="str">
        <f aca="false">Inputs!A48</f>
        <v>Card - Printed 5x7 folded</v>
      </c>
      <c r="B6" s="13" t="n">
        <f aca="false">IF(Scenarios!$B$44=1,Inputs!B116,Inputs!E48)</f>
        <v>7.99</v>
      </c>
      <c r="C6" s="13" t="n">
        <f aca="false">IF(Scenarios!$B$44=1,Inputs!C116,Inputs!F48)*Inputs!D48*Inputs!$B$43</f>
        <v>2.691</v>
      </c>
      <c r="D6" s="13" t="n">
        <f aca="false">B6+C6</f>
        <v>10.681</v>
      </c>
      <c r="E6" s="13" t="n">
        <f aca="false">D6*Inputs!$B$36*Scenarios!$B$11</f>
        <v>0.32043</v>
      </c>
      <c r="F6" s="13" t="n">
        <f aca="false">D6-E6</f>
        <v>10.36057</v>
      </c>
      <c r="G6" s="13" t="n">
        <f aca="false">'Model Costs'!J36*Scenarios!$B$10*(1+Inputs!$B$42)</f>
        <v>0.2615345</v>
      </c>
      <c r="H6" s="13" t="n">
        <f aca="false">Inputs!H48*Inputs!D48*Scenarios!$B$13</f>
        <v>3.25</v>
      </c>
      <c r="I6" s="13" t="n">
        <f aca="false">Inputs!I48*Inputs!D48*Scenarios!$B$13</f>
        <v>1.6</v>
      </c>
      <c r="J6" s="13" t="n">
        <f aca="false">(H6+I6)*Inputs!$B$37*Scenarios!$B$11</f>
        <v>0.194</v>
      </c>
      <c r="K6" s="13" t="n">
        <f aca="false">D6*Inputs!$B$40+Inputs!$B$41/Inputs!$B$9</f>
        <v>0.570618565217391</v>
      </c>
      <c r="L6" s="13" t="n">
        <f aca="false">Inputs!$B$38*Inputs!$B$39/Inputs!$B$9</f>
        <v>0.0391304347826087</v>
      </c>
      <c r="M6" s="13" t="n">
        <f aca="false">SUM(G6:L6)</f>
        <v>5.9152835</v>
      </c>
      <c r="N6" s="9" t="n">
        <f aca="false">F6-M6</f>
        <v>4.4452865</v>
      </c>
      <c r="O6" s="14" t="n">
        <f aca="false">IFERROR(N6/F6,0)</f>
        <v>0.429058102015623</v>
      </c>
    </row>
    <row r="7" customFormat="false" ht="15" hidden="false" customHeight="false" outlineLevel="0" collapsed="false">
      <c r="A7" s="6" t="str">
        <f aca="false">Inputs!A49</f>
        <v>Book - Digital flipbook/PDF</v>
      </c>
      <c r="B7" s="13" t="n">
        <f aca="false">IF(Scenarios!$B$44=1,Inputs!B117,Inputs!E49)</f>
        <v>19.99</v>
      </c>
      <c r="C7" s="13" t="n">
        <f aca="false">IF(Scenarios!$B$44=1,Inputs!C117,Inputs!F49)*Inputs!D49*Inputs!$B$43</f>
        <v>0</v>
      </c>
      <c r="D7" s="13" t="n">
        <f aca="false">B7+C7</f>
        <v>19.99</v>
      </c>
      <c r="E7" s="13" t="n">
        <f aca="false">D7*Inputs!$B$36*Scenarios!$B$11</f>
        <v>0.5997</v>
      </c>
      <c r="F7" s="13" t="n">
        <f aca="false">D7-E7</f>
        <v>19.3903</v>
      </c>
      <c r="G7" s="13" t="n">
        <f aca="false">'Model Costs'!J37*Scenarios!$B$10*(1+Inputs!$B$42)</f>
        <v>1.3336255</v>
      </c>
      <c r="H7" s="13" t="n">
        <f aca="false">Inputs!H49*Inputs!D49*Scenarios!$B$13</f>
        <v>0</v>
      </c>
      <c r="I7" s="13" t="n">
        <f aca="false">Inputs!I49*Inputs!D49*Scenarios!$B$13</f>
        <v>0</v>
      </c>
      <c r="J7" s="13" t="n">
        <f aca="false">(H7+I7)*Inputs!$B$37*Scenarios!$B$11</f>
        <v>0</v>
      </c>
      <c r="K7" s="13" t="n">
        <f aca="false">D7*Inputs!$B$40+Inputs!$B$41/Inputs!$B$9</f>
        <v>0.840579565217391</v>
      </c>
      <c r="L7" s="13" t="n">
        <f aca="false">Inputs!$B$38*Inputs!$B$39/Inputs!$B$9</f>
        <v>0.0391304347826087</v>
      </c>
      <c r="M7" s="13" t="n">
        <f aca="false">SUM(G7:L7)</f>
        <v>2.2133355</v>
      </c>
      <c r="N7" s="9" t="n">
        <f aca="false">F7-M7</f>
        <v>17.1769645</v>
      </c>
      <c r="O7" s="14" t="n">
        <f aca="false">IFERROR(N7/F7,0)</f>
        <v>0.885853467971099</v>
      </c>
    </row>
    <row r="8" customFormat="false" ht="15" hidden="false" customHeight="false" outlineLevel="0" collapsed="false">
      <c r="A8" s="6" t="str">
        <f aca="false">Inputs!A50</f>
        <v>Book - Hardcover 8.5x8.5, 24pp</v>
      </c>
      <c r="B8" s="13" t="n">
        <f aca="false">IF(Scenarios!$B$44=1,Inputs!B118,Inputs!E50)</f>
        <v>39</v>
      </c>
      <c r="C8" s="13" t="n">
        <f aca="false">IF(Scenarios!$B$44=1,Inputs!C118,Inputs!F50)*Inputs!D50*Inputs!$B$43</f>
        <v>5.391</v>
      </c>
      <c r="D8" s="13" t="n">
        <f aca="false">B8+C8</f>
        <v>44.391</v>
      </c>
      <c r="E8" s="13" t="n">
        <f aca="false">D8*Inputs!$B$36*Scenarios!$B$11</f>
        <v>1.33173</v>
      </c>
      <c r="F8" s="13" t="n">
        <f aca="false">D8-E8</f>
        <v>43.05927</v>
      </c>
      <c r="G8" s="13" t="n">
        <f aca="false">'Model Costs'!J38*Scenarios!$B$10*(1+Inputs!$B$42)</f>
        <v>1.3336255</v>
      </c>
      <c r="H8" s="13" t="n">
        <f aca="false">Inputs!H50*Inputs!D50*Scenarios!$B$13</f>
        <v>12.5</v>
      </c>
      <c r="I8" s="13" t="n">
        <f aca="false">Inputs!I50*Inputs!D50*Scenarios!$B$13</f>
        <v>5.5</v>
      </c>
      <c r="J8" s="13" t="n">
        <f aca="false">(H8+I8)*Inputs!$B$37*Scenarios!$B$11</f>
        <v>0.72</v>
      </c>
      <c r="K8" s="13" t="n">
        <f aca="false">D8*Inputs!$B$40+Inputs!$B$41/Inputs!$B$9</f>
        <v>1.54820856521739</v>
      </c>
      <c r="L8" s="13" t="n">
        <f aca="false">Inputs!$B$38*Inputs!$B$39/Inputs!$B$9</f>
        <v>0.0391304347826087</v>
      </c>
      <c r="M8" s="13" t="n">
        <f aca="false">SUM(G8:L8)</f>
        <v>21.6409645</v>
      </c>
      <c r="N8" s="9" t="n">
        <f aca="false">F8-M8</f>
        <v>21.4183055</v>
      </c>
      <c r="O8" s="14" t="n">
        <f aca="false">IFERROR(N8/F8,0)</f>
        <v>0.497414505633746</v>
      </c>
    </row>
    <row r="9" customFormat="false" ht="15" hidden="false" customHeight="false" outlineLevel="0" collapsed="false">
      <c r="A9" s="6" t="str">
        <f aca="false">Inputs!A51</f>
        <v>Book - Hardcover 8.5x8.5, 32pp</v>
      </c>
      <c r="B9" s="13" t="n">
        <f aca="false">IF(Scenarios!$B$44=1,Inputs!B119,Inputs!E51)</f>
        <v>49</v>
      </c>
      <c r="C9" s="13" t="n">
        <f aca="false">IF(Scenarios!$B$44=1,Inputs!C119,Inputs!F51)*Inputs!D51*Inputs!$B$43</f>
        <v>5.391</v>
      </c>
      <c r="D9" s="13" t="n">
        <f aca="false">B9+C9</f>
        <v>54.391</v>
      </c>
      <c r="E9" s="13" t="n">
        <f aca="false">D9*Inputs!$B$36*Scenarios!$B$11</f>
        <v>1.63173</v>
      </c>
      <c r="F9" s="13" t="n">
        <f aca="false">D9-E9</f>
        <v>52.75927</v>
      </c>
      <c r="G9" s="13" t="n">
        <f aca="false">'Model Costs'!J39*Scenarios!$B$10*(1+Inputs!$B$42)</f>
        <v>1.7256635</v>
      </c>
      <c r="H9" s="13" t="n">
        <f aca="false">Inputs!H51*Inputs!D51*Scenarios!$B$13</f>
        <v>14.5</v>
      </c>
      <c r="I9" s="13" t="n">
        <f aca="false">Inputs!I51*Inputs!D51*Scenarios!$B$13</f>
        <v>6</v>
      </c>
      <c r="J9" s="13" t="n">
        <f aca="false">(H9+I9)*Inputs!$B$37*Scenarios!$B$11</f>
        <v>0.82</v>
      </c>
      <c r="K9" s="13" t="n">
        <f aca="false">D9*Inputs!$B$40+Inputs!$B$41/Inputs!$B$9</f>
        <v>1.83820856521739</v>
      </c>
      <c r="L9" s="13" t="n">
        <f aca="false">Inputs!$B$38*Inputs!$B$39/Inputs!$B$9</f>
        <v>0.0391304347826087</v>
      </c>
      <c r="M9" s="13" t="n">
        <f aca="false">SUM(G9:L9)</f>
        <v>24.9230025</v>
      </c>
      <c r="N9" s="9" t="n">
        <f aca="false">F9-M9</f>
        <v>27.8362675</v>
      </c>
      <c r="O9" s="14" t="n">
        <f aca="false">IFERROR(N9/F9,0)</f>
        <v>0.527609034393387</v>
      </c>
    </row>
    <row r="10" customFormat="false" ht="15" hidden="false" customHeight="false" outlineLevel="0" collapsed="false">
      <c r="A10" s="3" t="s">
        <v>959</v>
      </c>
      <c r="B10" s="9" t="n">
        <f aca="false">SUMPRODUCT(Inputs!$G$47:$G$51,B5:B9)</f>
        <v>22.4738</v>
      </c>
      <c r="C10" s="9" t="n">
        <f aca="false">SUMPRODUCT(Inputs!$G$47:$G$51,C5:C9)</f>
        <v>3.12498</v>
      </c>
      <c r="D10" s="9" t="n">
        <f aca="false">SUMPRODUCT(Inputs!$G$47:$G$51,D5:D9)</f>
        <v>25.59878</v>
      </c>
      <c r="E10" s="9" t="n">
        <f aca="false">SUMPRODUCT(Inputs!$G$47:$G$51,E5:E9)</f>
        <v>0.7679634</v>
      </c>
      <c r="F10" s="9" t="n">
        <f aca="false">SUMPRODUCT(Inputs!$G$47:$G$51,F5:F9)</f>
        <v>24.8308166</v>
      </c>
      <c r="G10" s="9" t="n">
        <f aca="false">SUMPRODUCT(Inputs!$G$47:$G$51,G5:G9)</f>
        <v>0.8448651</v>
      </c>
      <c r="H10" s="9" t="n">
        <f aca="false">SUMPRODUCT(Inputs!$G$47:$G$51,H5:H9)</f>
        <v>6.51</v>
      </c>
      <c r="I10" s="9" t="n">
        <f aca="false">SUMPRODUCT(Inputs!$G$47:$G$51,I5:I9)</f>
        <v>2.845</v>
      </c>
      <c r="J10" s="9" t="n">
        <f aca="false">SUMPRODUCT(Inputs!$G$47:$G$51,J5:J9)</f>
        <v>0.3742</v>
      </c>
      <c r="K10" s="9" t="n">
        <f aca="false">SUMPRODUCT(Inputs!$G$47:$G$51,K5:K9)</f>
        <v>1.00323418521739</v>
      </c>
      <c r="L10" s="9" t="n">
        <f aca="false">SUMPRODUCT(Inputs!$G$47:$G$51,L5:L9)</f>
        <v>0.0391304347826087</v>
      </c>
      <c r="M10" s="9" t="n">
        <f aca="false">SUMPRODUCT(Inputs!$G$47:$G$51,M5:M9)</f>
        <v>11.61642972</v>
      </c>
      <c r="N10" s="9" t="n">
        <f aca="false">SUMPRODUCT(Inputs!$G$47:$G$51,N5:N9)</f>
        <v>13.21438688</v>
      </c>
      <c r="O10" s="31" t="n">
        <f aca="false">IFERROR(N10/F10,0)</f>
        <v>0.53217689506031</v>
      </c>
    </row>
    <row r="13" customFormat="false" ht="15" hidden="false" customHeight="false" outlineLevel="0" collapsed="false">
      <c r="A13" s="23" t="s">
        <v>960</v>
      </c>
      <c r="B13" s="24"/>
      <c r="C13" s="24"/>
      <c r="D13" s="24"/>
      <c r="E13" s="24"/>
      <c r="F13" s="24"/>
      <c r="G13" s="24"/>
      <c r="H13" s="24"/>
      <c r="I13" s="24"/>
      <c r="J13" s="24"/>
      <c r="K13" s="24"/>
      <c r="L13" s="24"/>
      <c r="M13" s="24"/>
      <c r="N13" s="24"/>
      <c r="O13" s="24"/>
    </row>
    <row r="14" customFormat="false" ht="42" hidden="false" customHeight="true" outlineLevel="0" collapsed="false">
      <c r="A14" s="5" t="s">
        <v>200</v>
      </c>
      <c r="B14" s="5" t="s">
        <v>961</v>
      </c>
      <c r="C14" s="5" t="s">
        <v>962</v>
      </c>
      <c r="D14" s="5" t="s">
        <v>963</v>
      </c>
      <c r="E14" s="5" t="s">
        <v>206</v>
      </c>
      <c r="F14" s="5" t="s">
        <v>207</v>
      </c>
      <c r="G14" s="5" t="s">
        <v>964</v>
      </c>
      <c r="H14" s="5" t="s">
        <v>965</v>
      </c>
      <c r="I14" s="5" t="s">
        <v>966</v>
      </c>
    </row>
    <row r="15" customFormat="false" ht="15" hidden="false" customHeight="false" outlineLevel="0" collapsed="false">
      <c r="A15" s="6" t="str">
        <f aca="false">Inputs!A57</f>
        <v>meta_instagram_ads</v>
      </c>
      <c r="B15" s="14" t="n">
        <f aca="false">Inputs!J57</f>
        <v>0.307692307692308</v>
      </c>
      <c r="C15" s="13" t="n">
        <f aca="false">INDEX(Inputs!$C$57:$E$57,4-Scenarios!$B$4)</f>
        <v>0.85</v>
      </c>
      <c r="D15" s="14" t="n">
        <f aca="false">Inputs!F57</f>
        <v>0.011</v>
      </c>
      <c r="E15" s="14" t="n">
        <f aca="false">Inputs!G57</f>
        <v>0.07</v>
      </c>
      <c r="F15" s="14" t="n">
        <f aca="false">Inputs!H57*Scenarios!$B$8</f>
        <v>0.14</v>
      </c>
      <c r="G15" s="13" t="n">
        <f aca="false">IFERROR(C15/(E15*F15),0)</f>
        <v>86.734693877551</v>
      </c>
      <c r="H15" s="67" t="n">
        <f aca="false">E15*F15</f>
        <v>0.0098</v>
      </c>
      <c r="I15" s="68" t="n">
        <f aca="false">IFERROR(G15/$N$10/Inputs!$B$9,0)</f>
        <v>5.70752722936782</v>
      </c>
    </row>
    <row r="16" customFormat="false" ht="15" hidden="false" customHeight="false" outlineLevel="0" collapsed="false">
      <c r="A16" s="6" t="str">
        <f aca="false">Inputs!A58</f>
        <v>pinterest_ads</v>
      </c>
      <c r="B16" s="14" t="n">
        <f aca="false">Inputs!J58</f>
        <v>0.123076923076923</v>
      </c>
      <c r="C16" s="13" t="n">
        <f aca="false">INDEX(Inputs!$C$58:$E$58,4-Scenarios!$B$4)</f>
        <v>0.55</v>
      </c>
      <c r="D16" s="14" t="n">
        <f aca="false">Inputs!F58</f>
        <v>0.006</v>
      </c>
      <c r="E16" s="14" t="n">
        <f aca="false">Inputs!G58</f>
        <v>0.06</v>
      </c>
      <c r="F16" s="14" t="n">
        <f aca="false">Inputs!H58*Scenarios!$B$8</f>
        <v>0.15</v>
      </c>
      <c r="G16" s="13" t="n">
        <f aca="false">IFERROR(C16/(E16*F16),0)</f>
        <v>61.1111111111111</v>
      </c>
      <c r="H16" s="67" t="n">
        <f aca="false">E16*F16</f>
        <v>0.009</v>
      </c>
      <c r="I16" s="68" t="n">
        <f aca="false">IFERROR(G16/$N$10/Inputs!$B$9,0)</f>
        <v>4.02138193023432</v>
      </c>
    </row>
    <row r="17" customFormat="false" ht="15" hidden="false" customHeight="false" outlineLevel="0" collapsed="false">
      <c r="A17" s="6" t="str">
        <f aca="false">Inputs!A59</f>
        <v>google_search</v>
      </c>
      <c r="B17" s="14" t="n">
        <f aca="false">Inputs!J59</f>
        <v>0.123076923076923</v>
      </c>
      <c r="C17" s="13" t="n">
        <f aca="false">IF(Scenarios!$B$44=1,Inputs!$H$121,INDEX(Inputs!$C$59:$E$59,4-Scenarios!$B$4))</f>
        <v>4.14</v>
      </c>
      <c r="D17" s="14" t="n">
        <f aca="false">Inputs!F59</f>
        <v>0.045</v>
      </c>
      <c r="E17" s="14" t="n">
        <f aca="false">Inputs!G59</f>
        <v>0.09</v>
      </c>
      <c r="F17" s="14" t="n">
        <f aca="false">Inputs!H59*Scenarios!$B$8</f>
        <v>0.2</v>
      </c>
      <c r="G17" s="13" t="n">
        <f aca="false">IFERROR(C17/(E17*F17),0)</f>
        <v>230</v>
      </c>
      <c r="H17" s="67" t="n">
        <f aca="false">E17*F17</f>
        <v>0.018</v>
      </c>
      <c r="I17" s="68" t="n">
        <f aca="false">IFERROR(G17/$N$10/Inputs!$B$9,0)</f>
        <v>15.1350192647001</v>
      </c>
    </row>
    <row r="18" customFormat="false" ht="15" hidden="false" customHeight="false" outlineLevel="0" collapsed="false">
      <c r="A18" s="6" t="str">
        <f aca="false">Inputs!A60</f>
        <v>tiktok_ads</v>
      </c>
      <c r="B18" s="14" t="n">
        <f aca="false">Inputs!J60</f>
        <v>0.0461538461538462</v>
      </c>
      <c r="C18" s="13" t="n">
        <f aca="false">INDEX(Inputs!$C$60:$E$60,4-Scenarios!$B$4)</f>
        <v>0.6</v>
      </c>
      <c r="D18" s="14" t="n">
        <f aca="false">Inputs!F60</f>
        <v>0.008</v>
      </c>
      <c r="E18" s="14" t="n">
        <f aca="false">Inputs!G60</f>
        <v>0.04</v>
      </c>
      <c r="F18" s="14" t="n">
        <f aca="false">Inputs!H60*Scenarios!$B$8</f>
        <v>0.09</v>
      </c>
      <c r="G18" s="13" t="n">
        <f aca="false">IFERROR(C18/(E18*F18),0)</f>
        <v>166.666666666667</v>
      </c>
      <c r="H18" s="67" t="n">
        <f aca="false">E18*F18</f>
        <v>0.0036</v>
      </c>
      <c r="I18" s="68" t="n">
        <f aca="false">IFERROR(G18/$N$10/Inputs!$B$9,0)</f>
        <v>10.9674052642754</v>
      </c>
    </row>
    <row r="19" customFormat="false" ht="15" hidden="false" customHeight="false" outlineLevel="0" collapsed="false">
      <c r="A19" s="6" t="str">
        <f aca="false">Inputs!A61</f>
        <v>creators_affiliate</v>
      </c>
      <c r="B19" s="14" t="n">
        <f aca="false">Inputs!J61</f>
        <v>0.215384615384615</v>
      </c>
      <c r="C19" s="13" t="n">
        <f aca="false">INDEX(Inputs!$C$61:$E$61,4-Scenarios!$B$4)</f>
        <v>1.2</v>
      </c>
      <c r="D19" s="14" t="n">
        <f aca="false">Inputs!F61</f>
        <v>0.02</v>
      </c>
      <c r="E19" s="14" t="n">
        <f aca="false">Inputs!G61</f>
        <v>0.08</v>
      </c>
      <c r="F19" s="14" t="n">
        <f aca="false">Inputs!H61*Scenarios!$B$8</f>
        <v>0.16</v>
      </c>
      <c r="G19" s="13" t="n">
        <f aca="false">IFERROR(C19/(E19*F19),0)</f>
        <v>93.75</v>
      </c>
      <c r="H19" s="67" t="n">
        <f aca="false">E19*F19</f>
        <v>0.0128</v>
      </c>
      <c r="I19" s="68" t="n">
        <f aca="false">IFERROR(G19/$N$10/Inputs!$B$9,0)</f>
        <v>6.16916546115492</v>
      </c>
    </row>
    <row r="20" customFormat="false" ht="15" hidden="false" customHeight="false" outlineLevel="0" collapsed="false">
      <c r="A20" s="6" t="str">
        <f aca="false">Inputs!A62</f>
        <v>occasion_seo_content</v>
      </c>
      <c r="B20" s="14" t="n">
        <f aca="false">Inputs!J62</f>
        <v>0.184615384615385</v>
      </c>
      <c r="C20" s="13" t="n">
        <f aca="false">INDEX(Inputs!$C$62:$E$62,4-Scenarios!$B$4)</f>
        <v>0.35</v>
      </c>
      <c r="D20" s="14" t="n">
        <f aca="false">Inputs!F62</f>
        <v>0.03</v>
      </c>
      <c r="E20" s="14" t="n">
        <f aca="false">Inputs!G62</f>
        <v>0.07</v>
      </c>
      <c r="F20" s="14" t="n">
        <f aca="false">Inputs!H62*Scenarios!$B$8</f>
        <v>0.15</v>
      </c>
      <c r="G20" s="13" t="n">
        <f aca="false">IFERROR(C20/(E20*F20),0)</f>
        <v>33.3333333333333</v>
      </c>
      <c r="H20" s="67" t="n">
        <f aca="false">E20*F20</f>
        <v>0.0105</v>
      </c>
      <c r="I20" s="68" t="n">
        <f aca="false">IFERROR(G20/$N$10/Inputs!$B$9,0)</f>
        <v>2.19348105285508</v>
      </c>
    </row>
    <row r="22" customFormat="false" ht="15" hidden="false" customHeight="false" outlineLevel="0" collapsed="false">
      <c r="A22" s="23" t="s">
        <v>967</v>
      </c>
      <c r="B22" s="24"/>
      <c r="C22" s="24"/>
      <c r="D22" s="24"/>
      <c r="E22" s="24"/>
      <c r="F22" s="24"/>
      <c r="G22" s="24"/>
      <c r="H22" s="24"/>
      <c r="I22" s="24"/>
      <c r="J22" s="24"/>
      <c r="K22" s="24"/>
      <c r="L22" s="24"/>
      <c r="M22" s="24"/>
      <c r="N22" s="24"/>
      <c r="O22" s="24"/>
    </row>
    <row r="23" customFormat="false" ht="15" hidden="false" customHeight="false" outlineLevel="0" collapsed="false">
      <c r="A23" s="6" t="s">
        <v>706</v>
      </c>
      <c r="B23" s="13" t="n">
        <f aca="false">N10*Inputs!$B$9</f>
        <v>15.196544912</v>
      </c>
      <c r="C23" s="20" t="s">
        <v>968</v>
      </c>
    </row>
    <row r="24" customFormat="false" ht="15" hidden="false" customHeight="false" outlineLevel="0" collapsed="false">
      <c r="A24" s="6" t="s">
        <v>969</v>
      </c>
      <c r="B24" s="68" t="n">
        <f aca="false">1+Inputs!$B$32*Inputs!$B$33*Scenarios!$B$9</f>
        <v>1.7</v>
      </c>
      <c r="C24" s="20" t="s">
        <v>970</v>
      </c>
    </row>
    <row r="25" customFormat="false" ht="15" hidden="false" customHeight="false" outlineLevel="0" collapsed="false">
      <c r="A25" s="6" t="s">
        <v>971</v>
      </c>
      <c r="B25" s="13" t="n">
        <f aca="false">$B$23*$B$24</f>
        <v>25.8341263504</v>
      </c>
      <c r="C25" s="20" t="s">
        <v>972</v>
      </c>
    </row>
    <row r="26" customFormat="false" ht="15" hidden="false" customHeight="false" outlineLevel="0" collapsed="false">
      <c r="A26" s="6" t="s">
        <v>973</v>
      </c>
      <c r="B26" s="69" t="n">
        <f aca="false">SUMPRODUCT(B15:B20/C15:C20)</f>
        <v>1.39937868326615</v>
      </c>
      <c r="C26" s="20" t="s">
        <v>974</v>
      </c>
    </row>
    <row r="27" customFormat="false" ht="15" hidden="false" customHeight="false" outlineLevel="0" collapsed="false">
      <c r="A27" s="6" t="s">
        <v>975</v>
      </c>
      <c r="B27" s="70" t="n">
        <f aca="false">SUMPRODUCT(B15:B20/C15:C20*H15:H20)</f>
        <v>0.0142094348958799</v>
      </c>
      <c r="C27" s="20"/>
    </row>
    <row r="28" customFormat="false" ht="15" hidden="false" customHeight="false" outlineLevel="0" collapsed="false">
      <c r="A28" s="6" t="s">
        <v>976</v>
      </c>
      <c r="B28" s="13" t="n">
        <f aca="false">IFERROR(1/$B$27,0)</f>
        <v>70.3757754849177</v>
      </c>
      <c r="C28" s="20" t="s">
        <v>977</v>
      </c>
    </row>
    <row r="29" customFormat="false" ht="15" hidden="false" customHeight="false" outlineLevel="0" collapsed="false">
      <c r="A29" s="6" t="s">
        <v>978</v>
      </c>
      <c r="B29" s="68" t="n">
        <f aca="false">IFERROR($B$28/$B$23,0)</f>
        <v>4.63103790318451</v>
      </c>
      <c r="C29" s="20"/>
    </row>
    <row r="31" customFormat="false" ht="15" hidden="false" customHeight="false" outlineLevel="0" collapsed="false">
      <c r="A31" s="51" t="s">
        <v>979</v>
      </c>
    </row>
    <row r="32" customFormat="false" ht="15" hidden="false" customHeight="false" outlineLevel="0" collapsed="false">
      <c r="A32" s="52" t="s">
        <v>980</v>
      </c>
      <c r="B32" s="71" t="n">
        <f aca="false">Inputs!$B$9*$B$10*Inputs!$B$293*(Inputs!$B$291+(1-Inputs!$B$291)*Inputs!$B$292)</f>
        <v>4.9105253</v>
      </c>
      <c r="C32" s="54" t="s">
        <v>981</v>
      </c>
    </row>
    <row r="33" customFormat="false" ht="15" hidden="false" customHeight="false" outlineLevel="0" collapsed="false">
      <c r="A33" s="52" t="s">
        <v>982</v>
      </c>
      <c r="B33" s="71" t="n">
        <f aca="false">$B$23-$B$32</f>
        <v>10.286019612</v>
      </c>
      <c r="C33" s="54" t="s">
        <v>983</v>
      </c>
    </row>
    <row r="34" customFormat="false" ht="15" hidden="false" customHeight="false" outlineLevel="0" collapsed="false">
      <c r="A34" s="52" t="s">
        <v>984</v>
      </c>
      <c r="B34" s="71" t="n">
        <f aca="false">$G$19+$B$32</f>
        <v>98.6605253</v>
      </c>
      <c r="C34" s="54" t="s">
        <v>985</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4296875" defaultRowHeight="15" customHeight="false" zeroHeight="false" outlineLevelRow="0" outlineLevelCol="0"/>
  <cols>
    <col collapsed="false" customWidth="true" hidden="false" outlineLevel="0" max="1" min="1" style="1" width="52"/>
    <col collapsed="false" customWidth="true" hidden="false" outlineLevel="0" max="10" min="2" style="1" width="17"/>
    <col collapsed="false" customWidth="true" hidden="false" outlineLevel="0" max="11" min="11" style="1" width="60"/>
  </cols>
  <sheetData>
    <row r="1" customFormat="false" ht="17.35" hidden="false" customHeight="false" outlineLevel="0" collapsed="false">
      <c r="A1" s="2" t="s">
        <v>986</v>
      </c>
    </row>
    <row r="2" customFormat="false" ht="15" hidden="false" customHeight="false" outlineLevel="0" collapsed="false">
      <c r="A2" s="72" t="s">
        <v>987</v>
      </c>
    </row>
    <row r="3" customFormat="false" ht="15" hidden="false" customHeight="false" outlineLevel="0" collapsed="false">
      <c r="A3" s="20" t="s">
        <v>988</v>
      </c>
    </row>
    <row r="5" customFormat="false" ht="15" hidden="false" customHeight="false" outlineLevel="0" collapsed="false">
      <c r="A5" s="3" t="s">
        <v>989</v>
      </c>
      <c r="B5" s="55" t="s">
        <v>990</v>
      </c>
      <c r="C5" s="20" t="s">
        <v>991</v>
      </c>
    </row>
    <row r="7" customFormat="false" ht="24.05" hidden="false" customHeight="false" outlineLevel="0" collapsed="false">
      <c r="A7" s="5" t="s">
        <v>992</v>
      </c>
      <c r="B7" s="5" t="s">
        <v>993</v>
      </c>
      <c r="C7" s="5" t="s">
        <v>994</v>
      </c>
      <c r="D7" s="5" t="s">
        <v>995</v>
      </c>
      <c r="E7" s="5" t="s">
        <v>51</v>
      </c>
      <c r="F7" s="5" t="s">
        <v>996</v>
      </c>
    </row>
    <row r="8" customFormat="false" ht="15" hidden="false" customHeight="false" outlineLevel="0" collapsed="false">
      <c r="A8" s="6" t="s">
        <v>997</v>
      </c>
      <c r="B8" s="73" t="n">
        <v>0.11</v>
      </c>
      <c r="C8" s="74" t="n">
        <v>0.0609</v>
      </c>
      <c r="D8" s="75" t="n">
        <f aca="false">IF(ISNUMBER(C8),C8,B8)</f>
        <v>0.0609</v>
      </c>
      <c r="E8" s="6" t="s">
        <v>998</v>
      </c>
      <c r="F8" s="20" t="s">
        <v>999</v>
      </c>
    </row>
    <row r="9" customFormat="false" ht="15" hidden="false" customHeight="false" outlineLevel="0" collapsed="false">
      <c r="A9" s="6" t="s">
        <v>1000</v>
      </c>
      <c r="B9" s="73" t="n">
        <v>0.12</v>
      </c>
      <c r="C9" s="74" t="n">
        <v>0.1233</v>
      </c>
      <c r="D9" s="75" t="n">
        <f aca="false">IF(ISNUMBER(C9),C9,B9)</f>
        <v>0.1233</v>
      </c>
      <c r="E9" s="6" t="s">
        <v>998</v>
      </c>
      <c r="F9" s="20" t="s">
        <v>1001</v>
      </c>
    </row>
    <row r="10" customFormat="false" ht="15" hidden="false" customHeight="false" outlineLevel="0" collapsed="false">
      <c r="A10" s="6" t="s">
        <v>1002</v>
      </c>
      <c r="B10" s="73" t="n">
        <v>0.04</v>
      </c>
      <c r="C10" s="74" t="n">
        <v>0.041</v>
      </c>
      <c r="D10" s="75" t="n">
        <f aca="false">IF(ISNUMBER(C10),C10,B10)</f>
        <v>0.041</v>
      </c>
      <c r="E10" s="6" t="s">
        <v>998</v>
      </c>
      <c r="F10" s="20" t="s">
        <v>1003</v>
      </c>
    </row>
    <row r="11" customFormat="false" ht="15" hidden="false" customHeight="false" outlineLevel="0" collapsed="false">
      <c r="A11" s="6" t="s">
        <v>1004</v>
      </c>
      <c r="B11" s="73" t="n">
        <v>0.003</v>
      </c>
      <c r="C11" s="74" t="n">
        <v>0.0025</v>
      </c>
      <c r="D11" s="75" t="n">
        <f aca="false">IF(ISNUMBER(C11),C11,B11)</f>
        <v>0.0025</v>
      </c>
      <c r="E11" s="6" t="s">
        <v>1005</v>
      </c>
      <c r="F11" s="20" t="s">
        <v>1006</v>
      </c>
    </row>
    <row r="12" customFormat="false" ht="15" hidden="false" customHeight="false" outlineLevel="0" collapsed="false">
      <c r="A12" s="6" t="s">
        <v>1007</v>
      </c>
      <c r="B12" s="30" t="n">
        <v>3</v>
      </c>
      <c r="C12" s="34"/>
      <c r="D12" s="13" t="n">
        <f aca="false">IF(ISNUMBER(C12),C12,B12)</f>
        <v>3</v>
      </c>
      <c r="E12" s="6" t="s">
        <v>1008</v>
      </c>
      <c r="F12" s="20" t="s">
        <v>1009</v>
      </c>
    </row>
    <row r="13" customFormat="false" ht="15" hidden="false" customHeight="false" outlineLevel="0" collapsed="false">
      <c r="A13" s="6" t="s">
        <v>1010</v>
      </c>
      <c r="B13" s="30" t="n">
        <v>15</v>
      </c>
      <c r="C13" s="34"/>
      <c r="D13" s="13" t="n">
        <f aca="false">IF(ISNUMBER(C13),C13,B13)</f>
        <v>15</v>
      </c>
      <c r="E13" s="6" t="s">
        <v>1008</v>
      </c>
      <c r="F13" s="20" t="s">
        <v>1009</v>
      </c>
    </row>
    <row r="14" customFormat="false" ht="15" hidden="false" customHeight="false" outlineLevel="0" collapsed="false">
      <c r="A14" s="3" t="s">
        <v>1011</v>
      </c>
      <c r="D14" s="76" t="n">
        <f aca="false">IF($B$5="4K",$D$9,$D$8)</f>
        <v>0.0609</v>
      </c>
      <c r="E14" s="6" t="s">
        <v>998</v>
      </c>
    </row>
    <row r="16" customFormat="false" ht="15" hidden="false" customHeight="false" outlineLevel="0" collapsed="false">
      <c r="A16" s="23" t="s">
        <v>1012</v>
      </c>
      <c r="B16" s="24"/>
      <c r="C16" s="24"/>
      <c r="D16" s="24"/>
      <c r="E16" s="24"/>
      <c r="F16" s="24"/>
      <c r="G16" s="24"/>
      <c r="H16" s="24"/>
      <c r="I16" s="24"/>
      <c r="J16" s="24"/>
    </row>
    <row r="17" customFormat="false" ht="42" hidden="false" customHeight="true" outlineLevel="0" collapsed="false">
      <c r="A17" s="5" t="s">
        <v>1013</v>
      </c>
      <c r="B17" s="5" t="s">
        <v>1014</v>
      </c>
      <c r="C17" s="5" t="s">
        <v>1015</v>
      </c>
      <c r="D17" s="5" t="s">
        <v>1016</v>
      </c>
      <c r="E17" s="5" t="s">
        <v>1017</v>
      </c>
      <c r="F17" s="5" t="s">
        <v>1018</v>
      </c>
      <c r="G17" s="5" t="s">
        <v>1019</v>
      </c>
      <c r="H17" s="5" t="s">
        <v>1020</v>
      </c>
    </row>
    <row r="18" customFormat="false" ht="15" hidden="false" customHeight="false" outlineLevel="0" collapsed="false">
      <c r="A18" s="6" t="s">
        <v>1021</v>
      </c>
      <c r="B18" s="29" t="n">
        <v>14000</v>
      </c>
      <c r="C18" s="29" t="n">
        <v>22000</v>
      </c>
      <c r="D18" s="29" t="n">
        <v>450</v>
      </c>
      <c r="E18" s="29" t="n">
        <v>6000</v>
      </c>
      <c r="F18" s="29" t="n">
        <v>900</v>
      </c>
      <c r="G18" s="29" t="n">
        <v>4500</v>
      </c>
      <c r="H18" s="29" t="n">
        <v>6000</v>
      </c>
    </row>
    <row r="19" customFormat="false" ht="15" hidden="false" customHeight="false" outlineLevel="0" collapsed="false">
      <c r="A19" s="6" t="s">
        <v>1022</v>
      </c>
      <c r="B19" s="29" t="n">
        <v>1800</v>
      </c>
      <c r="C19" s="29" t="n">
        <v>2500</v>
      </c>
      <c r="D19" s="29" t="n">
        <v>250</v>
      </c>
      <c r="E19" s="29" t="n">
        <v>900</v>
      </c>
      <c r="F19" s="29" t="n">
        <v>450</v>
      </c>
      <c r="G19" s="29" t="n">
        <v>1300</v>
      </c>
      <c r="H19" s="29" t="n">
        <v>800</v>
      </c>
    </row>
    <row r="20" customFormat="false" ht="15" hidden="false" customHeight="false" outlineLevel="0" collapsed="false">
      <c r="A20" s="6" t="s">
        <v>1023</v>
      </c>
      <c r="B20" s="75" t="n">
        <f aca="false">B18/1000000*$D$12+B19/1000000*$D$13</f>
        <v>0.069</v>
      </c>
      <c r="C20" s="75" t="n">
        <f aca="false">C18/1000000*$D$12+C19/1000000*$D$13</f>
        <v>0.1035</v>
      </c>
      <c r="D20" s="75" t="n">
        <f aca="false">D18/1000000*$D$12+D19/1000000*$D$13</f>
        <v>0.0051</v>
      </c>
      <c r="E20" s="75" t="n">
        <f aca="false">E18/1000000*$D$12+E19/1000000*$D$13</f>
        <v>0.0315</v>
      </c>
      <c r="F20" s="75" t="n">
        <f aca="false">F18/1000000*$D$12+F19/1000000*$D$13</f>
        <v>0.00945</v>
      </c>
      <c r="G20" s="75" t="n">
        <f aca="false">G18/1000000*$D$12+G19/1000000*$D$13</f>
        <v>0.033</v>
      </c>
      <c r="H20" s="75" t="n">
        <f aca="false">H18/1000000*$D$12+H19/1000000*$D$13</f>
        <v>0.03</v>
      </c>
    </row>
    <row r="21" customFormat="false" ht="15" hidden="false" customHeight="false" outlineLevel="0" collapsed="false">
      <c r="A21" s="6" t="s">
        <v>1024</v>
      </c>
      <c r="B21" s="74"/>
      <c r="C21" s="74"/>
      <c r="D21" s="74" t="n">
        <v>0.0074</v>
      </c>
      <c r="E21" s="74" t="n">
        <v>0.0106</v>
      </c>
      <c r="F21" s="74" t="n">
        <v>0.0094</v>
      </c>
      <c r="G21" s="74" t="n">
        <v>0.0471</v>
      </c>
      <c r="H21" s="74"/>
    </row>
    <row r="22" customFormat="false" ht="15" hidden="false" customHeight="false" outlineLevel="0" collapsed="false">
      <c r="A22" s="3" t="s">
        <v>1025</v>
      </c>
      <c r="B22" s="76" t="n">
        <f aca="false">IF(ISNUMBER(B21),B21,B20)</f>
        <v>0.069</v>
      </c>
      <c r="C22" s="76" t="n">
        <f aca="false">IF(ISNUMBER(C21),C21,C20)</f>
        <v>0.1035</v>
      </c>
      <c r="D22" s="76" t="n">
        <f aca="false">IF(ISNUMBER(D21),D21,D20)</f>
        <v>0.0074</v>
      </c>
      <c r="E22" s="76" t="n">
        <f aca="false">IF(ISNUMBER(E21),E21,E20)</f>
        <v>0.0106</v>
      </c>
      <c r="F22" s="76" t="n">
        <f aca="false">IF(ISNUMBER(F21),F21,F20)</f>
        <v>0.0094</v>
      </c>
      <c r="G22" s="76" t="n">
        <f aca="false">IF(ISNUMBER(G21),G21,G20)</f>
        <v>0.0471</v>
      </c>
      <c r="H22" s="76" t="n">
        <f aca="false">IF(ISNUMBER(H21),H21,H20)</f>
        <v>0.03</v>
      </c>
    </row>
    <row r="23" customFormat="false" ht="15" hidden="false" customHeight="false" outlineLevel="0" collapsed="false">
      <c r="A23" s="20" t="s">
        <v>1026</v>
      </c>
    </row>
    <row r="25" customFormat="false" ht="15" hidden="false" customHeight="false" outlineLevel="0" collapsed="false">
      <c r="A25" s="23" t="s">
        <v>1027</v>
      </c>
      <c r="B25" s="24"/>
      <c r="C25" s="24"/>
      <c r="D25" s="24"/>
      <c r="E25" s="24"/>
      <c r="F25" s="24"/>
      <c r="G25" s="24"/>
      <c r="H25" s="24"/>
      <c r="I25" s="24"/>
      <c r="J25" s="24"/>
    </row>
    <row r="26" customFormat="false" ht="42" hidden="false" customHeight="true" outlineLevel="0" collapsed="false">
      <c r="A26" s="5" t="s">
        <v>169</v>
      </c>
      <c r="B26" s="5" t="s">
        <v>1014</v>
      </c>
      <c r="C26" s="5" t="s">
        <v>1015</v>
      </c>
      <c r="D26" s="5" t="s">
        <v>1016</v>
      </c>
      <c r="E26" s="5" t="s">
        <v>1017</v>
      </c>
      <c r="F26" s="5" t="s">
        <v>1018</v>
      </c>
      <c r="G26" s="5" t="s">
        <v>1019</v>
      </c>
      <c r="H26" s="5" t="s">
        <v>1020</v>
      </c>
    </row>
    <row r="27" customFormat="false" ht="15" hidden="false" customHeight="false" outlineLevel="0" collapsed="false">
      <c r="A27" s="6" t="str">
        <f aca="false">Inputs!A47</f>
        <v>Card - Digital e-card/PDF</v>
      </c>
      <c r="B27" s="27" t="n">
        <v>1</v>
      </c>
      <c r="C27" s="27" t="n">
        <v>0</v>
      </c>
      <c r="D27" s="27" t="n">
        <v>0</v>
      </c>
      <c r="E27" s="27" t="n">
        <v>0</v>
      </c>
      <c r="F27" s="27" t="n">
        <v>0</v>
      </c>
      <c r="G27" s="27" t="n">
        <v>1</v>
      </c>
      <c r="H27" s="27" t="n">
        <v>0</v>
      </c>
    </row>
    <row r="28" customFormat="false" ht="15" hidden="false" customHeight="false" outlineLevel="0" collapsed="false">
      <c r="A28" s="6" t="str">
        <f aca="false">Inputs!A48</f>
        <v>Card - Printed 5x7 folded</v>
      </c>
      <c r="B28" s="27" t="n">
        <v>1</v>
      </c>
      <c r="C28" s="27" t="n">
        <v>0</v>
      </c>
      <c r="D28" s="27" t="n">
        <v>0</v>
      </c>
      <c r="E28" s="27" t="n">
        <v>0</v>
      </c>
      <c r="F28" s="27" t="n">
        <v>0</v>
      </c>
      <c r="G28" s="27" t="n">
        <v>1</v>
      </c>
      <c r="H28" s="27" t="n">
        <v>0</v>
      </c>
    </row>
    <row r="29" customFormat="false" ht="15" hidden="false" customHeight="false" outlineLevel="0" collapsed="false">
      <c r="A29" s="6" t="str">
        <f aca="false">Inputs!A49</f>
        <v>Book - Digital flipbook/PDF</v>
      </c>
      <c r="B29" s="27" t="n">
        <v>0</v>
      </c>
      <c r="C29" s="27" t="n">
        <v>1</v>
      </c>
      <c r="D29" s="27" t="n">
        <v>11</v>
      </c>
      <c r="E29" s="27" t="n">
        <v>1</v>
      </c>
      <c r="F29" s="27" t="n">
        <v>14</v>
      </c>
      <c r="G29" s="27" t="n">
        <v>0</v>
      </c>
      <c r="H29" s="27" t="n">
        <v>0</v>
      </c>
    </row>
    <row r="30" customFormat="false" ht="15" hidden="false" customHeight="false" outlineLevel="0" collapsed="false">
      <c r="A30" s="6" t="str">
        <f aca="false">Inputs!A50</f>
        <v>Book - Hardcover 8.5x8.5, 24pp</v>
      </c>
      <c r="B30" s="27" t="n">
        <v>0</v>
      </c>
      <c r="C30" s="27" t="n">
        <v>1</v>
      </c>
      <c r="D30" s="27" t="n">
        <v>11</v>
      </c>
      <c r="E30" s="27" t="n">
        <v>1</v>
      </c>
      <c r="F30" s="27" t="n">
        <v>14</v>
      </c>
      <c r="G30" s="27" t="n">
        <v>0</v>
      </c>
      <c r="H30" s="27" t="n">
        <v>0</v>
      </c>
    </row>
    <row r="31" customFormat="false" ht="15" hidden="false" customHeight="false" outlineLevel="0" collapsed="false">
      <c r="A31" s="6" t="str">
        <f aca="false">Inputs!A51</f>
        <v>Book - Hardcover 8.5x8.5, 32pp</v>
      </c>
      <c r="B31" s="27" t="n">
        <v>0</v>
      </c>
      <c r="C31" s="27" t="n">
        <v>1</v>
      </c>
      <c r="D31" s="27" t="n">
        <v>15</v>
      </c>
      <c r="E31" s="27" t="n">
        <v>1</v>
      </c>
      <c r="F31" s="27" t="n">
        <v>18</v>
      </c>
      <c r="G31" s="27" t="n">
        <v>0</v>
      </c>
      <c r="H31" s="27" t="n">
        <v>0</v>
      </c>
    </row>
    <row r="33" customFormat="false" ht="15" hidden="false" customHeight="false" outlineLevel="0" collapsed="false">
      <c r="A33" s="23" t="s">
        <v>1028</v>
      </c>
      <c r="B33" s="24"/>
      <c r="C33" s="24"/>
      <c r="D33" s="24"/>
      <c r="E33" s="24"/>
      <c r="F33" s="24"/>
      <c r="G33" s="24"/>
      <c r="H33" s="24"/>
      <c r="I33" s="24"/>
      <c r="J33" s="24"/>
      <c r="K33" s="24"/>
    </row>
    <row r="34" customFormat="false" ht="54.75" hidden="false" customHeight="true" outlineLevel="0" collapsed="false">
      <c r="A34" s="5" t="s">
        <v>169</v>
      </c>
      <c r="B34" s="5" t="s">
        <v>1029</v>
      </c>
      <c r="C34" s="5" t="s">
        <v>1030</v>
      </c>
      <c r="D34" s="5" t="s">
        <v>1031</v>
      </c>
      <c r="E34" s="5" t="s">
        <v>1032</v>
      </c>
      <c r="F34" s="5" t="s">
        <v>1033</v>
      </c>
      <c r="G34" s="5" t="s">
        <v>1034</v>
      </c>
      <c r="H34" s="5" t="s">
        <v>1035</v>
      </c>
      <c r="I34" s="5" t="s">
        <v>1036</v>
      </c>
      <c r="J34" s="5" t="s">
        <v>1037</v>
      </c>
      <c r="K34" s="5" t="s">
        <v>1038</v>
      </c>
    </row>
    <row r="35" customFormat="false" ht="15" hidden="false" customHeight="false" outlineLevel="0" collapsed="false">
      <c r="A35" s="6" t="str">
        <f aca="false">Inputs!A47</f>
        <v>Card - Digital e-card/PDF</v>
      </c>
      <c r="B35" s="27" t="n">
        <v>3</v>
      </c>
      <c r="C35" s="14" t="n">
        <f aca="false">IF(Inputs!B47="Card",Inputs!$B$34,Inputs!$B$35)</f>
        <v>0.2</v>
      </c>
      <c r="D35" s="68" t="n">
        <f aca="false">B35*(1+C35)</f>
        <v>3.6</v>
      </c>
      <c r="E35" s="75" t="n">
        <f aca="false">D35*$D$14</f>
        <v>0.21924</v>
      </c>
      <c r="F35" s="75" t="n">
        <f aca="false">D35*$D$11</f>
        <v>0.009</v>
      </c>
      <c r="G35" s="75" t="n">
        <f aca="false">SUMPRODUCT(B27:H27,$B$22:$H$22)</f>
        <v>0.1161</v>
      </c>
      <c r="H35" s="75" t="n">
        <f aca="false">E35+F35+G35</f>
        <v>0.34434</v>
      </c>
      <c r="I35" s="74" t="n">
        <v>0.2479</v>
      </c>
      <c r="J35" s="76" t="n">
        <f aca="false">IF(AND($B$5="2K",ISNUMBER(I35)),I35+(C35-Inputs!$B$294)*MAX(0,B35-1)*($D$14+$D$11),H35)</f>
        <v>0.2479</v>
      </c>
      <c r="K35" s="20" t="s">
        <v>1039</v>
      </c>
    </row>
    <row r="36" customFormat="false" ht="15" hidden="false" customHeight="false" outlineLevel="0" collapsed="false">
      <c r="A36" s="6" t="str">
        <f aca="false">Inputs!A48</f>
        <v>Card - Printed 5x7 folded</v>
      </c>
      <c r="B36" s="27" t="n">
        <v>3</v>
      </c>
      <c r="C36" s="14" t="n">
        <f aca="false">IF(Inputs!B48="Card",Inputs!$B$34,Inputs!$B$35)</f>
        <v>0.2</v>
      </c>
      <c r="D36" s="68" t="n">
        <f aca="false">B36*(1+C36)</f>
        <v>3.6</v>
      </c>
      <c r="E36" s="75" t="n">
        <f aca="false">D36*$D$14</f>
        <v>0.21924</v>
      </c>
      <c r="F36" s="75" t="n">
        <f aca="false">D36*$D$11</f>
        <v>0.009</v>
      </c>
      <c r="G36" s="75" t="n">
        <f aca="false">SUMPRODUCT(B28:H28,$B$22:$H$22)</f>
        <v>0.1161</v>
      </c>
      <c r="H36" s="75" t="n">
        <f aca="false">E36+F36+G36</f>
        <v>0.34434</v>
      </c>
      <c r="I36" s="74" t="n">
        <v>0.2479</v>
      </c>
      <c r="J36" s="76" t="n">
        <f aca="false">IF(AND($B$5="2K",ISNUMBER(I36)),I36+(C36-Inputs!$B$294)*MAX(0,B36-1)*($D$14+$D$11),H36)</f>
        <v>0.2479</v>
      </c>
      <c r="K36" s="20" t="s">
        <v>1040</v>
      </c>
    </row>
    <row r="37" customFormat="false" ht="15" hidden="false" customHeight="false" outlineLevel="0" collapsed="false">
      <c r="A37" s="6" t="str">
        <f aca="false">Inputs!A49</f>
        <v>Book - Digital flipbook/PDF</v>
      </c>
      <c r="B37" s="27" t="n">
        <v>14</v>
      </c>
      <c r="C37" s="14" t="n">
        <f aca="false">IF(Inputs!B49="Card",Inputs!$B$34,Inputs!$B$35)</f>
        <v>0.2</v>
      </c>
      <c r="D37" s="68" t="n">
        <f aca="false">B37*(1+C37)</f>
        <v>16.8</v>
      </c>
      <c r="E37" s="75" t="n">
        <f aca="false">D37*$D$14</f>
        <v>1.02312</v>
      </c>
      <c r="F37" s="75" t="n">
        <f aca="false">D37*$D$11</f>
        <v>0.042</v>
      </c>
      <c r="G37" s="75" t="n">
        <f aca="false">SUMPRODUCT(B29:H29,$B$22:$H$22)</f>
        <v>0.3271</v>
      </c>
      <c r="H37" s="75" t="n">
        <f aca="false">E37+F37+G37</f>
        <v>1.39222</v>
      </c>
      <c r="I37" s="74" t="n">
        <v>1.2641</v>
      </c>
      <c r="J37" s="76" t="n">
        <f aca="false">IF(AND($B$5="2K",ISNUMBER(I37)),I37+(C37-Inputs!$B$294)*MAX(0,B37-1)*($D$14+$D$11),H37)</f>
        <v>1.2641</v>
      </c>
      <c r="K37" s="20" t="s">
        <v>1041</v>
      </c>
    </row>
    <row r="38" customFormat="false" ht="15" hidden="false" customHeight="false" outlineLevel="0" collapsed="false">
      <c r="A38" s="6" t="str">
        <f aca="false">Inputs!A50</f>
        <v>Book - Hardcover 8.5x8.5, 24pp</v>
      </c>
      <c r="B38" s="27" t="n">
        <v>14</v>
      </c>
      <c r="C38" s="14" t="n">
        <f aca="false">IF(Inputs!B50="Card",Inputs!$B$34,Inputs!$B$35)</f>
        <v>0.2</v>
      </c>
      <c r="D38" s="68" t="n">
        <f aca="false">B38*(1+C38)</f>
        <v>16.8</v>
      </c>
      <c r="E38" s="75" t="n">
        <f aca="false">D38*$D$14</f>
        <v>1.02312</v>
      </c>
      <c r="F38" s="75" t="n">
        <f aca="false">D38*$D$11</f>
        <v>0.042</v>
      </c>
      <c r="G38" s="75" t="n">
        <f aca="false">SUMPRODUCT(B30:H30,$B$22:$H$22)</f>
        <v>0.3271</v>
      </c>
      <c r="H38" s="75" t="n">
        <f aca="false">E38+F38+G38</f>
        <v>1.39222</v>
      </c>
      <c r="I38" s="74" t="n">
        <v>1.2641</v>
      </c>
      <c r="J38" s="76" t="n">
        <f aca="false">IF(AND($B$5="2K",ISNUMBER(I38)),I38+(C38-Inputs!$B$294)*MAX(0,B38-1)*($D$14+$D$11),H38)</f>
        <v>1.2641</v>
      </c>
      <c r="K38" s="20" t="s">
        <v>1042</v>
      </c>
    </row>
    <row r="39" customFormat="false" ht="15" hidden="false" customHeight="false" outlineLevel="0" collapsed="false">
      <c r="A39" s="6" t="str">
        <f aca="false">Inputs!A51</f>
        <v>Book - Hardcover 8.5x8.5, 32pp</v>
      </c>
      <c r="B39" s="27" t="n">
        <v>18</v>
      </c>
      <c r="C39" s="14" t="n">
        <f aca="false">IF(Inputs!B51="Card",Inputs!$B$34,Inputs!$B$35)</f>
        <v>0.2</v>
      </c>
      <c r="D39" s="68" t="n">
        <f aca="false">B39*(1+C39)</f>
        <v>21.6</v>
      </c>
      <c r="E39" s="75" t="n">
        <f aca="false">D39*$D$14</f>
        <v>1.31544</v>
      </c>
      <c r="F39" s="75" t="n">
        <f aca="false">D39*$D$11</f>
        <v>0.054</v>
      </c>
      <c r="G39" s="75" t="n">
        <f aca="false">SUMPRODUCT(B31:H31,$B$22:$H$22)</f>
        <v>0.3943</v>
      </c>
      <c r="H39" s="75" t="n">
        <f aca="false">E39+F39+G39</f>
        <v>1.76374</v>
      </c>
      <c r="I39" s="74" t="n">
        <v>1.6357</v>
      </c>
      <c r="J39" s="76" t="n">
        <f aca="false">IF(AND($B$5="2K",ISNUMBER(I39)),I39+(C39-Inputs!$B$294)*MAX(0,B39-1)*($D$14+$D$11),H39)</f>
        <v>1.6357</v>
      </c>
      <c r="K39" s="20" t="s">
        <v>1043</v>
      </c>
    </row>
    <row r="40" customFormat="false" ht="15" hidden="false" customHeight="false" outlineLevel="0" collapsed="false">
      <c r="A40" s="20" t="s">
        <v>1044</v>
      </c>
    </row>
    <row r="42" customFormat="false" ht="15" hidden="false" customHeight="false" outlineLevel="0" collapsed="false">
      <c r="A42" s="23" t="s">
        <v>1045</v>
      </c>
      <c r="B42" s="24"/>
      <c r="C42" s="24"/>
      <c r="D42" s="24"/>
      <c r="E42" s="24"/>
      <c r="F42" s="24"/>
      <c r="G42" s="24"/>
      <c r="H42" s="24"/>
      <c r="I42" s="24"/>
      <c r="J42" s="24"/>
      <c r="K42" s="24"/>
    </row>
    <row r="43" customFormat="false" ht="15" hidden="false" customHeight="false" outlineLevel="0" collapsed="false">
      <c r="A43" s="6" t="s">
        <v>1046</v>
      </c>
      <c r="B43" s="27" t="n">
        <v>1</v>
      </c>
    </row>
    <row r="44" customFormat="false" ht="15" hidden="false" customHeight="false" outlineLevel="0" collapsed="false">
      <c r="A44" s="6" t="s">
        <v>1047</v>
      </c>
      <c r="B44" s="75" t="n">
        <f aca="false">B43*$D$10+H22</f>
        <v>0.071</v>
      </c>
    </row>
    <row r="45" customFormat="false" ht="15" hidden="false" customHeight="false" outlineLevel="0" collapsed="false">
      <c r="A45" s="6" t="s">
        <v>1048</v>
      </c>
      <c r="B45" s="74" t="n">
        <v>0.0689</v>
      </c>
    </row>
    <row r="46" customFormat="false" ht="15" hidden="false" customHeight="false" outlineLevel="0" collapsed="false">
      <c r="A46" s="3" t="s">
        <v>1049</v>
      </c>
      <c r="B46" s="76" t="n">
        <f aca="false">IF(ISNUMBER(B45),B45,B44)</f>
        <v>0.0689</v>
      </c>
    </row>
    <row r="48" customFormat="false" ht="15" hidden="false" customHeight="false" outlineLevel="0" collapsed="false">
      <c r="A48" s="20" t="s">
        <v>1050</v>
      </c>
    </row>
  </sheetData>
  <dataValidations count="1">
    <dataValidation allowBlank="false" errorStyle="stop" operator="between" showDropDown="false" showErrorMessage="false" showInputMessage="false" sqref="B5" type="list">
      <formula1>"2K,4K"</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54296875" defaultRowHeight="15" customHeight="false" zeroHeight="false" outlineLevelRow="0" outlineLevelCol="0"/>
  <cols>
    <col collapsed="false" customWidth="true" hidden="false" outlineLevel="0" max="1" min="1" style="1" width="44"/>
    <col collapsed="false" customWidth="true" hidden="false" outlineLevel="0" max="3" min="2" style="1" width="8"/>
    <col collapsed="false" customWidth="true" hidden="false" outlineLevel="0" max="39" min="4" style="1" width="10"/>
  </cols>
  <sheetData>
    <row r="1" customFormat="false" ht="17.35" hidden="false" customHeight="false" outlineLevel="0" collapsed="false">
      <c r="A1" s="2" t="s">
        <v>1051</v>
      </c>
    </row>
    <row r="2" customFormat="false" ht="15" hidden="false" customHeight="false" outlineLevel="0" collapsed="false">
      <c r="A2" s="20" t="s">
        <v>1052</v>
      </c>
    </row>
    <row r="4" customFormat="false" ht="15" hidden="false" customHeight="false" outlineLevel="0" collapsed="false">
      <c r="A4" s="5" t="s">
        <v>726</v>
      </c>
      <c r="B4" s="5" t="s">
        <v>228</v>
      </c>
      <c r="C4" s="5" t="s">
        <v>1053</v>
      </c>
      <c r="D4" s="5" t="s">
        <v>728</v>
      </c>
      <c r="E4" s="5" t="s">
        <v>729</v>
      </c>
      <c r="F4" s="5" t="s">
        <v>730</v>
      </c>
      <c r="G4" s="5" t="s">
        <v>731</v>
      </c>
      <c r="H4" s="5" t="s">
        <v>732</v>
      </c>
      <c r="I4" s="5" t="s">
        <v>733</v>
      </c>
      <c r="J4" s="5" t="s">
        <v>734</v>
      </c>
      <c r="K4" s="5" t="s">
        <v>735</v>
      </c>
      <c r="L4" s="5" t="s">
        <v>736</v>
      </c>
      <c r="M4" s="5" t="s">
        <v>737</v>
      </c>
      <c r="N4" s="5" t="s">
        <v>738</v>
      </c>
      <c r="O4" s="5" t="s">
        <v>739</v>
      </c>
      <c r="P4" s="5" t="s">
        <v>740</v>
      </c>
      <c r="Q4" s="5" t="s">
        <v>741</v>
      </c>
      <c r="R4" s="5" t="s">
        <v>742</v>
      </c>
      <c r="S4" s="5" t="s">
        <v>743</v>
      </c>
      <c r="T4" s="5" t="s">
        <v>744</v>
      </c>
      <c r="U4" s="5" t="s">
        <v>745</v>
      </c>
      <c r="V4" s="5" t="s">
        <v>746</v>
      </c>
      <c r="W4" s="5" t="s">
        <v>747</v>
      </c>
      <c r="X4" s="5" t="s">
        <v>748</v>
      </c>
      <c r="Y4" s="5" t="s">
        <v>749</v>
      </c>
      <c r="Z4" s="5" t="s">
        <v>750</v>
      </c>
      <c r="AA4" s="5" t="s">
        <v>751</v>
      </c>
      <c r="AB4" s="5" t="s">
        <v>752</v>
      </c>
      <c r="AC4" s="5" t="s">
        <v>753</v>
      </c>
      <c r="AD4" s="5" t="s">
        <v>754</v>
      </c>
      <c r="AE4" s="5" t="s">
        <v>755</v>
      </c>
      <c r="AF4" s="5" t="s">
        <v>756</v>
      </c>
      <c r="AG4" s="5" t="s">
        <v>757</v>
      </c>
      <c r="AH4" s="5" t="s">
        <v>758</v>
      </c>
      <c r="AI4" s="5" t="s">
        <v>759</v>
      </c>
      <c r="AJ4" s="5" t="s">
        <v>760</v>
      </c>
      <c r="AK4" s="5" t="s">
        <v>761</v>
      </c>
      <c r="AL4" s="5" t="s">
        <v>762</v>
      </c>
      <c r="AM4" s="5" t="s">
        <v>763</v>
      </c>
    </row>
    <row r="5" customFormat="false" ht="15" hidden="false" customHeight="false" outlineLevel="0" collapsed="false">
      <c r="A5" s="6" t="s">
        <v>765</v>
      </c>
      <c r="D5" s="11" t="n">
        <f aca="false">Forecast!D6</f>
        <v>1</v>
      </c>
      <c r="E5" s="11" t="n">
        <f aca="false">Forecast!E6</f>
        <v>2</v>
      </c>
      <c r="F5" s="11" t="n">
        <f aca="false">Forecast!F6</f>
        <v>3</v>
      </c>
      <c r="G5" s="11" t="n">
        <f aca="false">Forecast!G6</f>
        <v>4</v>
      </c>
      <c r="H5" s="11" t="n">
        <f aca="false">Forecast!H6</f>
        <v>5</v>
      </c>
      <c r="I5" s="11" t="n">
        <f aca="false">Forecast!I6</f>
        <v>6</v>
      </c>
      <c r="J5" s="11" t="n">
        <f aca="false">Forecast!J6</f>
        <v>7</v>
      </c>
      <c r="K5" s="11" t="n">
        <f aca="false">Forecast!K6</f>
        <v>8</v>
      </c>
      <c r="L5" s="11" t="n">
        <f aca="false">Forecast!L6</f>
        <v>9</v>
      </c>
      <c r="M5" s="11" t="n">
        <f aca="false">Forecast!M6</f>
        <v>10</v>
      </c>
      <c r="N5" s="11" t="n">
        <f aca="false">Forecast!N6</f>
        <v>11</v>
      </c>
      <c r="O5" s="11" t="n">
        <f aca="false">Forecast!O6</f>
        <v>12</v>
      </c>
      <c r="P5" s="11" t="n">
        <f aca="false">Forecast!P6</f>
        <v>13</v>
      </c>
      <c r="Q5" s="11" t="n">
        <f aca="false">Forecast!Q6</f>
        <v>14</v>
      </c>
      <c r="R5" s="11" t="n">
        <f aca="false">Forecast!R6</f>
        <v>15</v>
      </c>
      <c r="S5" s="11" t="n">
        <f aca="false">Forecast!S6</f>
        <v>16</v>
      </c>
      <c r="T5" s="11" t="n">
        <f aca="false">Forecast!T6</f>
        <v>17</v>
      </c>
      <c r="U5" s="11" t="n">
        <f aca="false">Forecast!U6</f>
        <v>18</v>
      </c>
      <c r="V5" s="11" t="n">
        <f aca="false">Forecast!V6</f>
        <v>19</v>
      </c>
      <c r="W5" s="11" t="n">
        <f aca="false">Forecast!W6</f>
        <v>20</v>
      </c>
      <c r="X5" s="11" t="n">
        <f aca="false">Forecast!X6</f>
        <v>21</v>
      </c>
      <c r="Y5" s="11" t="n">
        <f aca="false">Forecast!Y6</f>
        <v>22</v>
      </c>
      <c r="Z5" s="11" t="n">
        <f aca="false">Forecast!Z6</f>
        <v>23</v>
      </c>
      <c r="AA5" s="11" t="n">
        <f aca="false">Forecast!AA6</f>
        <v>24</v>
      </c>
      <c r="AB5" s="11" t="n">
        <f aca="false">Forecast!AB6</f>
        <v>25</v>
      </c>
      <c r="AC5" s="11" t="n">
        <f aca="false">Forecast!AC6</f>
        <v>26</v>
      </c>
      <c r="AD5" s="11" t="n">
        <f aca="false">Forecast!AD6</f>
        <v>27</v>
      </c>
      <c r="AE5" s="11" t="n">
        <f aca="false">Forecast!AE6</f>
        <v>28</v>
      </c>
      <c r="AF5" s="11" t="n">
        <f aca="false">Forecast!AF6</f>
        <v>29</v>
      </c>
      <c r="AG5" s="11" t="n">
        <f aca="false">Forecast!AG6</f>
        <v>30</v>
      </c>
      <c r="AH5" s="11" t="n">
        <f aca="false">Forecast!AH6</f>
        <v>31</v>
      </c>
      <c r="AI5" s="11" t="n">
        <f aca="false">Forecast!AI6</f>
        <v>32</v>
      </c>
      <c r="AJ5" s="11" t="n">
        <f aca="false">Forecast!AJ6</f>
        <v>33</v>
      </c>
      <c r="AK5" s="11" t="n">
        <f aca="false">Forecast!AK6</f>
        <v>34</v>
      </c>
      <c r="AL5" s="11" t="n">
        <f aca="false">Forecast!AL6</f>
        <v>35</v>
      </c>
      <c r="AM5" s="11" t="n">
        <f aca="false">Forecast!AM6</f>
        <v>36</v>
      </c>
    </row>
    <row r="7" customFormat="false" ht="15" hidden="false" customHeight="false" outlineLevel="0" collapsed="false">
      <c r="A7" s="6" t="str">
        <f aca="false">Inputs!A94</f>
        <v>Vercel (Pro)</v>
      </c>
      <c r="B7" s="11" t="n">
        <f aca="false">Inputs!D94</f>
        <v>1</v>
      </c>
      <c r="D7" s="12" t="n">
        <f aca="false">Inputs!$B$94+Inputs!$C$94/1000*CHOOSE(Inputs!$D$94,Forecast!D30,Forecast!D35,Forecast!D43,Forecast!D58)</f>
        <v>26.5301778287072</v>
      </c>
      <c r="E7" s="12" t="n">
        <f aca="false">Inputs!$B$94+Inputs!$C$94/1000*CHOOSE(Inputs!$D$94,Forecast!E30,Forecast!E35,Forecast!E43,Forecast!E58)</f>
        <v>28.7330981873316</v>
      </c>
      <c r="F7" s="12" t="n">
        <f aca="false">Inputs!$B$94+Inputs!$C$94/1000*CHOOSE(Inputs!$D$94,Forecast!F30,Forecast!F35,Forecast!F43,Forecast!F58)</f>
        <v>24.7708615021525</v>
      </c>
      <c r="G7" s="12" t="n">
        <f aca="false">Inputs!$B$94+Inputs!$C$94/1000*CHOOSE(Inputs!$D$94,Forecast!G30,Forecast!G35,Forecast!G43,Forecast!G58)</f>
        <v>26.9949516664036</v>
      </c>
      <c r="H7" s="12" t="n">
        <f aca="false">Inputs!$B$94+Inputs!$C$94/1000*CHOOSE(Inputs!$D$94,Forecast!H30,Forecast!H35,Forecast!H43,Forecast!H58)</f>
        <v>25.4847940417696</v>
      </c>
      <c r="I7" s="12" t="n">
        <f aca="false">Inputs!$B$94+Inputs!$C$94/1000*CHOOSE(Inputs!$D$94,Forecast!I30,Forecast!I35,Forecast!I43,Forecast!I58)</f>
        <v>25.7710362315571</v>
      </c>
      <c r="J7" s="12" t="n">
        <f aca="false">Inputs!$B$94+Inputs!$C$94/1000*CHOOSE(Inputs!$D$94,Forecast!J30,Forecast!J35,Forecast!J43,Forecast!J58)</f>
        <v>27.8770795808612</v>
      </c>
      <c r="K7" s="12" t="n">
        <f aca="false">Inputs!$B$94+Inputs!$C$94/1000*CHOOSE(Inputs!$D$94,Forecast!K30,Forecast!K35,Forecast!K43,Forecast!K58)</f>
        <v>26.6286057282418</v>
      </c>
      <c r="L7" s="12" t="n">
        <f aca="false">Inputs!$B$94+Inputs!$C$94/1000*CHOOSE(Inputs!$D$94,Forecast!L30,Forecast!L35,Forecast!L43,Forecast!L58)</f>
        <v>25.9015340998606</v>
      </c>
      <c r="M7" s="12" t="n">
        <f aca="false">Inputs!$B$94+Inputs!$C$94/1000*CHOOSE(Inputs!$D$94,Forecast!M30,Forecast!M35,Forecast!M43,Forecast!M58)</f>
        <v>26.2180505969779</v>
      </c>
      <c r="N7" s="12" t="n">
        <f aca="false">Inputs!$B$94+Inputs!$C$94/1000*CHOOSE(Inputs!$D$94,Forecast!N30,Forecast!N35,Forecast!N43,Forecast!N58)</f>
        <v>26.5530365195983</v>
      </c>
      <c r="O7" s="12" t="n">
        <f aca="false">Inputs!$B$94+Inputs!$C$94/1000*CHOOSE(Inputs!$D$94,Forecast!O30,Forecast!O35,Forecast!O43,Forecast!O58)</f>
        <v>26.8983991344525</v>
      </c>
      <c r="P7" s="12" t="n">
        <f aca="false">Inputs!$B$94+Inputs!$C$94/1000*CHOOSE(Inputs!$D$94,Forecast!P30,Forecast!P35,Forecast!P43,Forecast!P58)</f>
        <v>28.4312611188293</v>
      </c>
      <c r="Q7" s="12" t="n">
        <f aca="false">Inputs!$B$94+Inputs!$C$94/1000*CHOOSE(Inputs!$D$94,Forecast!Q30,Forecast!Q35,Forecast!Q43,Forecast!Q58)</f>
        <v>31.4877499119152</v>
      </c>
      <c r="R7" s="12" t="n">
        <f aca="false">Inputs!$B$94+Inputs!$C$94/1000*CHOOSE(Inputs!$D$94,Forecast!R30,Forecast!R35,Forecast!R43,Forecast!R58)</f>
        <v>25.8068237385337</v>
      </c>
      <c r="S7" s="12" t="n">
        <f aca="false">Inputs!$B$94+Inputs!$C$94/1000*CHOOSE(Inputs!$D$94,Forecast!S30,Forecast!S35,Forecast!S43,Forecast!S58)</f>
        <v>28.8562928052354</v>
      </c>
      <c r="T7" s="12" t="n">
        <f aca="false">Inputs!$B$94+Inputs!$C$94/1000*CHOOSE(Inputs!$D$94,Forecast!T30,Forecast!T35,Forecast!T43,Forecast!T58)</f>
        <v>26.7012449221988</v>
      </c>
      <c r="U7" s="12" t="n">
        <f aca="false">Inputs!$B$94+Inputs!$C$94/1000*CHOOSE(Inputs!$D$94,Forecast!U30,Forecast!U35,Forecast!U43,Forecast!U58)</f>
        <v>27.030387433809</v>
      </c>
      <c r="V7" s="12" t="n">
        <f aca="false">Inputs!$B$94+Inputs!$C$94/1000*CHOOSE(Inputs!$D$94,Forecast!V30,Forecast!V35,Forecast!V43,Forecast!V58)</f>
        <v>29.7927714086075</v>
      </c>
      <c r="W7" s="12" t="n">
        <f aca="false">Inputs!$B$94+Inputs!$C$94/1000*CHOOSE(Inputs!$D$94,Forecast!W30,Forecast!W35,Forecast!W43,Forecast!W58)</f>
        <v>28.0453493442209</v>
      </c>
      <c r="X7" s="12" t="n">
        <f aca="false">Inputs!$B$94+Inputs!$C$94/1000*CHOOSE(Inputs!$D$94,Forecast!X30,Forecast!X35,Forecast!X43,Forecast!X58)</f>
        <v>27.0171976507373</v>
      </c>
      <c r="Y7" s="12" t="n">
        <f aca="false">Inputs!$B$94+Inputs!$C$94/1000*CHOOSE(Inputs!$D$94,Forecast!Y30,Forecast!Y35,Forecast!Y43,Forecast!Y58)</f>
        <v>27.3614316393324</v>
      </c>
      <c r="Z7" s="12" t="n">
        <f aca="false">Inputs!$B$94+Inputs!$C$94/1000*CHOOSE(Inputs!$D$94,Forecast!Z30,Forecast!Z35,Forecast!Z43,Forecast!Z58)</f>
        <v>27.722317777509</v>
      </c>
      <c r="AA7" s="12" t="n">
        <f aca="false">Inputs!$B$94+Inputs!$C$94/1000*CHOOSE(Inputs!$D$94,Forecast!AA30,Forecast!AA35,Forecast!AA43,Forecast!AA58)</f>
        <v>28.0877102426894</v>
      </c>
      <c r="AB7" s="12" t="n">
        <f aca="false">Inputs!$B$94+Inputs!$C$94/1000*CHOOSE(Inputs!$D$94,Forecast!AB30,Forecast!AB35,Forecast!AB43,Forecast!AB58)</f>
        <v>29.9179738744894</v>
      </c>
      <c r="AC7" s="12" t="n">
        <f aca="false">Inputs!$B$94+Inputs!$C$94/1000*CHOOSE(Inputs!$D$94,Forecast!AC30,Forecast!AC35,Forecast!AC43,Forecast!AC58)</f>
        <v>33.5752659751355</v>
      </c>
      <c r="AD7" s="12" t="n">
        <f aca="false">Inputs!$B$94+Inputs!$C$94/1000*CHOOSE(Inputs!$D$94,Forecast!AD30,Forecast!AD35,Forecast!AD43,Forecast!AD58)</f>
        <v>26.5689055532803</v>
      </c>
      <c r="AE7" s="12" t="n">
        <f aca="false">Inputs!$B$94+Inputs!$C$94/1000*CHOOSE(Inputs!$D$94,Forecast!AE30,Forecast!AE35,Forecast!AE43,Forecast!AE58)</f>
        <v>30.1646112166177</v>
      </c>
      <c r="AF7" s="12" t="n">
        <f aca="false">Inputs!$B$94+Inputs!$C$94/1000*CHOOSE(Inputs!$D$94,Forecast!AF30,Forecast!AF35,Forecast!AF43,Forecast!AF58)</f>
        <v>27.5320549066671</v>
      </c>
      <c r="AG7" s="12" t="n">
        <f aca="false">Inputs!$B$94+Inputs!$C$94/1000*CHOOSE(Inputs!$D$94,Forecast!AG30,Forecast!AG35,Forecast!AG43,Forecast!AG58)</f>
        <v>27.8612811648259</v>
      </c>
      <c r="AH7" s="12" t="n">
        <f aca="false">Inputs!$B$94+Inputs!$C$94/1000*CHOOSE(Inputs!$D$94,Forecast!AH30,Forecast!AH35,Forecast!AH43,Forecast!AH58)</f>
        <v>31.0176819581045</v>
      </c>
      <c r="AI7" s="12" t="n">
        <f aca="false">Inputs!$B$94+Inputs!$C$94/1000*CHOOSE(Inputs!$D$94,Forecast!AI30,Forecast!AI35,Forecast!AI43,Forecast!AI58)</f>
        <v>28.9305214345949</v>
      </c>
      <c r="AJ7" s="12" t="n">
        <f aca="false">Inputs!$B$94+Inputs!$C$94/1000*CHOOSE(Inputs!$D$94,Forecast!AJ30,Forecast!AJ35,Forecast!AJ43,Forecast!AJ58)</f>
        <v>27.696215370288</v>
      </c>
      <c r="AK7" s="12" t="n">
        <f aca="false">Inputs!$B$94+Inputs!$C$94/1000*CHOOSE(Inputs!$D$94,Forecast!AK30,Forecast!AK35,Forecast!AK43,Forecast!AK58)</f>
        <v>28.0393825967797</v>
      </c>
      <c r="AL7" s="12" t="n">
        <f aca="false">Inputs!$B$94+Inputs!$C$94/1000*CHOOSE(Inputs!$D$94,Forecast!AL30,Forecast!AL35,Forecast!AL43,Forecast!AL58)</f>
        <v>28.4002885041012</v>
      </c>
      <c r="AM7" s="12" t="n">
        <f aca="false">Inputs!$B$94+Inputs!$C$94/1000*CHOOSE(Inputs!$D$94,Forecast!AM30,Forecast!AM35,Forecast!AM43,Forecast!AM58)</f>
        <v>28.7630811924423</v>
      </c>
    </row>
    <row r="8" customFormat="false" ht="15" hidden="false" customHeight="false" outlineLevel="0" collapsed="false">
      <c r="A8" s="6" t="str">
        <f aca="false">Inputs!A95</f>
        <v>Supabase (Pro + compute)</v>
      </c>
      <c r="B8" s="11" t="n">
        <f aca="false">Inputs!D95</f>
        <v>2</v>
      </c>
      <c r="D8" s="12" t="n">
        <f aca="false">Inputs!$B$95+Inputs!$C$95/1000*CHOOSE(Inputs!$D$95,Forecast!D30,Forecast!D35,Forecast!D43,Forecast!D58)</f>
        <v>52.9621746880571</v>
      </c>
      <c r="E8" s="12" t="n">
        <f aca="false">Inputs!$B$95+Inputs!$C$95/1000*CHOOSE(Inputs!$D$95,Forecast!E30,Forecast!E35,Forecast!E43,Forecast!E58)</f>
        <v>59.0462673707296</v>
      </c>
      <c r="F8" s="12" t="n">
        <f aca="false">Inputs!$B$95+Inputs!$C$95/1000*CHOOSE(Inputs!$D$95,Forecast!F30,Forecast!F35,Forecast!F43,Forecast!F58)</f>
        <v>48.1201732951793</v>
      </c>
      <c r="G8" s="12" t="n">
        <f aca="false">Inputs!$B$95+Inputs!$C$95/1000*CHOOSE(Inputs!$D$95,Forecast!G30,Forecast!G35,Forecast!G43,Forecast!G58)</f>
        <v>54.2635414336069</v>
      </c>
      <c r="H8" s="12" t="n">
        <f aca="false">Inputs!$B$95+Inputs!$C$95/1000*CHOOSE(Inputs!$D$95,Forecast!H30,Forecast!H35,Forecast!H43,Forecast!H58)</f>
        <v>50.0981633257384</v>
      </c>
      <c r="I8" s="12" t="n">
        <f aca="false">Inputs!$B$95+Inputs!$C$95/1000*CHOOSE(Inputs!$D$95,Forecast!I30,Forecast!I35,Forecast!I43,Forecast!I58)</f>
        <v>50.8926344303538</v>
      </c>
      <c r="J8" s="12" t="n">
        <f aca="false">Inputs!$B$95+Inputs!$C$95/1000*CHOOSE(Inputs!$D$95,Forecast!J30,Forecast!J35,Forecast!J43,Forecast!J58)</f>
        <v>56.7194855405088</v>
      </c>
      <c r="K8" s="12" t="n">
        <f aca="false">Inputs!$B$95+Inputs!$C$95/1000*CHOOSE(Inputs!$D$95,Forecast!K30,Forecast!K35,Forecast!K43,Forecast!K58)</f>
        <v>53.2728079407021</v>
      </c>
      <c r="L8" s="12" t="n">
        <f aca="false">Inputs!$B$95+Inputs!$C$95/1000*CHOOSE(Inputs!$D$95,Forecast!L30,Forecast!L35,Forecast!L43,Forecast!L58)</f>
        <v>51.2650354883931</v>
      </c>
      <c r="M8" s="12" t="n">
        <f aca="false">Inputs!$B$95+Inputs!$C$95/1000*CHOOSE(Inputs!$D$95,Forecast!M30,Forecast!M35,Forecast!M43,Forecast!M58)</f>
        <v>52.144274653532</v>
      </c>
      <c r="N8" s="12" t="n">
        <f aca="false">Inputs!$B$95+Inputs!$C$95/1000*CHOOSE(Inputs!$D$95,Forecast!N30,Forecast!N35,Forecast!N43,Forecast!N58)</f>
        <v>53.0752282100796</v>
      </c>
      <c r="O8" s="12" t="n">
        <f aca="false">Inputs!$B$95+Inputs!$C$95/1000*CHOOSE(Inputs!$D$95,Forecast!O30,Forecast!O35,Forecast!O43,Forecast!O58)</f>
        <v>54.0352365048815</v>
      </c>
      <c r="P8" s="12" t="n">
        <f aca="false">Inputs!$B$95+Inputs!$C$95/1000*CHOOSE(Inputs!$D$95,Forecast!P30,Forecast!P35,Forecast!P43,Forecast!P58)</f>
        <v>58.2852079003987</v>
      </c>
      <c r="Q8" s="12" t="n">
        <f aca="false">Inputs!$B$95+Inputs!$C$95/1000*CHOOSE(Inputs!$D$95,Forecast!Q30,Forecast!Q35,Forecast!Q43,Forecast!Q58)</f>
        <v>66.7592921995637</v>
      </c>
      <c r="R8" s="12" t="n">
        <f aca="false">Inputs!$B$95+Inputs!$C$95/1000*CHOOSE(Inputs!$D$95,Forecast!R30,Forecast!R35,Forecast!R43,Forecast!R58)</f>
        <v>51.0208675570468</v>
      </c>
      <c r="S8" s="12" t="n">
        <f aca="false">Inputs!$B$95+Inputs!$C$95/1000*CHOOSE(Inputs!$D$95,Forecast!S30,Forecast!S35,Forecast!S43,Forecast!S58)</f>
        <v>59.4752966223359</v>
      </c>
      <c r="T8" s="12" t="n">
        <f aca="false">Inputs!$B$95+Inputs!$C$95/1000*CHOOSE(Inputs!$D$95,Forecast!T30,Forecast!T35,Forecast!T43,Forecast!T58)</f>
        <v>53.50422579094</v>
      </c>
      <c r="U8" s="12" t="n">
        <f aca="false">Inputs!$B$95+Inputs!$C$95/1000*CHOOSE(Inputs!$D$95,Forecast!U30,Forecast!U35,Forecast!U43,Forecast!U58)</f>
        <v>54.418817796659</v>
      </c>
      <c r="V8" s="12" t="n">
        <f aca="false">Inputs!$B$95+Inputs!$C$95/1000*CHOOSE(Inputs!$D$95,Forecast!V30,Forecast!V35,Forecast!V43,Forecast!V58)</f>
        <v>62.0834226581984</v>
      </c>
      <c r="W8" s="12" t="n">
        <f aca="false">Inputs!$B$95+Inputs!$C$95/1000*CHOOSE(Inputs!$D$95,Forecast!W30,Forecast!W35,Forecast!W43,Forecast!W58)</f>
        <v>57.2396900654434</v>
      </c>
      <c r="X8" s="12" t="n">
        <f aca="false">Inputs!$B$95+Inputs!$C$95/1000*CHOOSE(Inputs!$D$95,Forecast!X30,Forecast!X35,Forecast!X43,Forecast!X58)</f>
        <v>54.388893430848</v>
      </c>
      <c r="Y8" s="12" t="n">
        <f aca="false">Inputs!$B$95+Inputs!$C$95/1000*CHOOSE(Inputs!$D$95,Forecast!Y30,Forecast!Y35,Forecast!Y43,Forecast!Y58)</f>
        <v>55.3457415721247</v>
      </c>
      <c r="Z8" s="12" t="n">
        <f aca="false">Inputs!$B$95+Inputs!$C$95/1000*CHOOSE(Inputs!$D$95,Forecast!Z30,Forecast!Z35,Forecast!Z43,Forecast!Z58)</f>
        <v>56.3492157322295</v>
      </c>
      <c r="AA8" s="12" t="n">
        <f aca="false">Inputs!$B$95+Inputs!$C$95/1000*CHOOSE(Inputs!$D$95,Forecast!AA30,Forecast!AA35,Forecast!AA43,Forecast!AA58)</f>
        <v>57.365307607945</v>
      </c>
      <c r="AB8" s="12" t="n">
        <f aca="false">Inputs!$B$95+Inputs!$C$95/1000*CHOOSE(Inputs!$D$95,Forecast!AB30,Forecast!AB35,Forecast!AB43,Forecast!AB58)</f>
        <v>62.448003616247</v>
      </c>
      <c r="AC8" s="12" t="n">
        <f aca="false">Inputs!$B$95+Inputs!$C$95/1000*CHOOSE(Inputs!$D$95,Forecast!AC30,Forecast!AC35,Forecast!AC43,Forecast!AC58)</f>
        <v>72.6043371765804</v>
      </c>
      <c r="AD8" s="12" t="n">
        <f aca="false">Inputs!$B$95+Inputs!$C$95/1000*CHOOSE(Inputs!$D$95,Forecast!AD30,Forecast!AD35,Forecast!AD43,Forecast!AD58)</f>
        <v>53.1546966383371</v>
      </c>
      <c r="AE8" s="12" t="n">
        <f aca="false">Inputs!$B$95+Inputs!$C$95/1000*CHOOSE(Inputs!$D$95,Forecast!AE30,Forecast!AE35,Forecast!AE43,Forecast!AE58)</f>
        <v>63.1385881742065</v>
      </c>
      <c r="AF8" s="12" t="n">
        <f aca="false">Inputs!$B$95+Inputs!$C$95/1000*CHOOSE(Inputs!$D$95,Forecast!AF30,Forecast!AF35,Forecast!AF43,Forecast!AF58)</f>
        <v>55.8304937474515</v>
      </c>
      <c r="AG8" s="12" t="n">
        <f aca="false">Inputs!$B$95+Inputs!$C$95/1000*CHOOSE(Inputs!$D$95,Forecast!AG30,Forecast!AG35,Forecast!AG43,Forecast!AG58)</f>
        <v>56.7453202435063</v>
      </c>
      <c r="AH8" s="12" t="n">
        <f aca="false">Inputs!$B$95+Inputs!$C$95/1000*CHOOSE(Inputs!$D$95,Forecast!AH30,Forecast!AH35,Forecast!AH43,Forecast!AH58)</f>
        <v>65.5131721967901</v>
      </c>
      <c r="AI8" s="12" t="n">
        <f aca="false">Inputs!$B$95+Inputs!$C$95/1000*CHOOSE(Inputs!$D$95,Forecast!AI30,Forecast!AI35,Forecast!AI43,Forecast!AI58)</f>
        <v>59.7181719184906</v>
      </c>
      <c r="AJ8" s="12" t="n">
        <f aca="false">Inputs!$B$95+Inputs!$C$95/1000*CHOOSE(Inputs!$D$95,Forecast!AJ30,Forecast!AJ35,Forecast!AJ43,Forecast!AJ58)</f>
        <v>56.2901430455899</v>
      </c>
      <c r="AK8" s="12" t="n">
        <f aca="false">Inputs!$B$95+Inputs!$C$95/1000*CHOOSE(Inputs!$D$95,Forecast!AK30,Forecast!AK35,Forecast!AK43,Forecast!AK58)</f>
        <v>57.2440042529771</v>
      </c>
      <c r="AL8" s="12" t="n">
        <f aca="false">Inputs!$B$95+Inputs!$C$95/1000*CHOOSE(Inputs!$D$95,Forecast!AL30,Forecast!AL35,Forecast!AL43,Forecast!AL58)</f>
        <v>58.2475337666875</v>
      </c>
      <c r="AM8" s="12" t="n">
        <f aca="false">Inputs!$B$95+Inputs!$C$95/1000*CHOOSE(Inputs!$D$95,Forecast!AM30,Forecast!AM35,Forecast!AM43,Forecast!AM58)</f>
        <v>59.2563462672531</v>
      </c>
    </row>
    <row r="9" customFormat="false" ht="15" hidden="false" customHeight="false" outlineLevel="0" collapsed="false">
      <c r="A9" s="6" t="str">
        <f aca="false">Inputs!A96</f>
        <v>Resend (email)</v>
      </c>
      <c r="B9" s="11" t="n">
        <f aca="false">Inputs!D96</f>
        <v>3</v>
      </c>
      <c r="D9" s="12" t="n">
        <f aca="false">Inputs!$B$96+Inputs!$C$96/1000*CHOOSE(Inputs!$D$96,Forecast!D30,Forecast!D35,Forecast!D43,Forecast!D58)</f>
        <v>20.0767714273619</v>
      </c>
      <c r="E9" s="12" t="n">
        <f aca="false">Inputs!$B$96+Inputs!$C$96/1000*CHOOSE(Inputs!$D$96,Forecast!E30,Forecast!E35,Forecast!E43,Forecast!E58)</f>
        <v>20.1339083219412</v>
      </c>
      <c r="F9" s="12" t="n">
        <f aca="false">Inputs!$B$96+Inputs!$C$96/1000*CHOOSE(Inputs!$D$96,Forecast!F30,Forecast!F35,Forecast!F43,Forecast!F58)</f>
        <v>20.0456578666892</v>
      </c>
      <c r="G9" s="12" t="n">
        <f aca="false">Inputs!$B$96+Inputs!$C$96/1000*CHOOSE(Inputs!$D$96,Forecast!G30,Forecast!G35,Forecast!G43,Forecast!G58)</f>
        <v>20.0917819256515</v>
      </c>
      <c r="H9" s="12" t="n">
        <f aca="false">Inputs!$B$96+Inputs!$C$96/1000*CHOOSE(Inputs!$D$96,Forecast!H30,Forecast!H35,Forecast!H43,Forecast!H58)</f>
        <v>20.0601125530075</v>
      </c>
      <c r="I9" s="12" t="n">
        <f aca="false">Inputs!$B$96+Inputs!$C$96/1000*CHOOSE(Inputs!$D$96,Forecast!I30,Forecast!I35,Forecast!I43,Forecast!I58)</f>
        <v>20.066178487035</v>
      </c>
      <c r="J9" s="12" t="n">
        <f aca="false">Inputs!$B$96+Inputs!$C$96/1000*CHOOSE(Inputs!$D$96,Forecast!J30,Forecast!J35,Forecast!J43,Forecast!J58)</f>
        <v>20.1148841046599</v>
      </c>
      <c r="K9" s="12" t="n">
        <f aca="false">Inputs!$B$96+Inputs!$C$96/1000*CHOOSE(Inputs!$D$96,Forecast!K30,Forecast!K35,Forecast!K43,Forecast!K58)</f>
        <v>20.0860814492888</v>
      </c>
      <c r="L9" s="12" t="n">
        <f aca="false">Inputs!$B$96+Inputs!$C$96/1000*CHOOSE(Inputs!$D$96,Forecast!L30,Forecast!L35,Forecast!L43,Forecast!L58)</f>
        <v>20.0709715239745</v>
      </c>
      <c r="M9" s="12" t="n">
        <f aca="false">Inputs!$B$96+Inputs!$C$96/1000*CHOOSE(Inputs!$D$96,Forecast!M30,Forecast!M35,Forecast!M43,Forecast!M58)</f>
        <v>20.0779557572602</v>
      </c>
      <c r="N9" s="12" t="n">
        <f aca="false">Inputs!$B$96+Inputs!$C$96/1000*CHOOSE(Inputs!$D$96,Forecast!N30,Forecast!N35,Forecast!N43,Forecast!N58)</f>
        <v>20.0855848929585</v>
      </c>
      <c r="O9" s="12" t="n">
        <f aca="false">Inputs!$B$96+Inputs!$C$96/1000*CHOOSE(Inputs!$D$96,Forecast!O30,Forecast!O35,Forecast!O43,Forecast!O58)</f>
        <v>20.093819074108</v>
      </c>
      <c r="P9" s="12" t="n">
        <f aca="false">Inputs!$B$96+Inputs!$C$96/1000*CHOOSE(Inputs!$D$96,Forecast!P30,Forecast!P35,Forecast!P43,Forecast!P58)</f>
        <v>20.1322605077986</v>
      </c>
      <c r="Q9" s="12" t="n">
        <f aca="false">Inputs!$B$96+Inputs!$C$96/1000*CHOOSE(Inputs!$D$96,Forecast!Q30,Forecast!Q35,Forecast!Q43,Forecast!Q58)</f>
        <v>20.2246689773258</v>
      </c>
      <c r="R9" s="12" t="n">
        <f aca="false">Inputs!$B$96+Inputs!$C$96/1000*CHOOSE(Inputs!$D$96,Forecast!R30,Forecast!R35,Forecast!R43,Forecast!R58)</f>
        <v>20.0737468106654</v>
      </c>
      <c r="S9" s="12" t="n">
        <f aca="false">Inputs!$B$96+Inputs!$C$96/1000*CHOOSE(Inputs!$D$96,Forecast!S30,Forecast!S35,Forecast!S43,Forecast!S58)</f>
        <v>20.1496023036004</v>
      </c>
      <c r="T9" s="12" t="n">
        <f aca="false">Inputs!$B$96+Inputs!$C$96/1000*CHOOSE(Inputs!$D$96,Forecast!T30,Forecast!T35,Forecast!T43,Forecast!T58)</f>
        <v>20.0955945275982</v>
      </c>
      <c r="U9" s="12" t="n">
        <f aca="false">Inputs!$B$96+Inputs!$C$96/1000*CHOOSE(Inputs!$D$96,Forecast!U30,Forecast!U35,Forecast!U43,Forecast!U58)</f>
        <v>20.1041100366109</v>
      </c>
      <c r="V9" s="12" t="n">
        <f aca="false">Inputs!$B$96+Inputs!$C$96/1000*CHOOSE(Inputs!$D$96,Forecast!V30,Forecast!V35,Forecast!V43,Forecast!V58)</f>
        <v>20.1789984710281</v>
      </c>
      <c r="W9" s="12" t="n">
        <f aca="false">Inputs!$B$96+Inputs!$C$96/1000*CHOOSE(Inputs!$D$96,Forecast!W30,Forecast!W35,Forecast!W43,Forecast!W58)</f>
        <v>20.1320508570438</v>
      </c>
      <c r="X9" s="12" t="n">
        <f aca="false">Inputs!$B$96+Inputs!$C$96/1000*CHOOSE(Inputs!$D$96,Forecast!X30,Forecast!X35,Forecast!X43,Forecast!X58)</f>
        <v>20.1070553735199</v>
      </c>
      <c r="Y9" s="12" t="n">
        <f aca="false">Inputs!$B$96+Inputs!$C$96/1000*CHOOSE(Inputs!$D$96,Forecast!Y30,Forecast!Y35,Forecast!Y43,Forecast!Y58)</f>
        <v>20.1163785669215</v>
      </c>
      <c r="Z9" s="12" t="n">
        <f aca="false">Inputs!$B$96+Inputs!$C$96/1000*CHOOSE(Inputs!$D$96,Forecast!Z30,Forecast!Z35,Forecast!Z43,Forecast!Z58)</f>
        <v>20.1263899902768</v>
      </c>
      <c r="AA9" s="12" t="n">
        <f aca="false">Inputs!$B$96+Inputs!$C$96/1000*CHOOSE(Inputs!$D$96,Forecast!AA30,Forecast!AA35,Forecast!AA43,Forecast!AA58)</f>
        <v>20.1370081707574</v>
      </c>
      <c r="AB9" s="12" t="n">
        <f aca="false">Inputs!$B$96+Inputs!$C$96/1000*CHOOSE(Inputs!$D$96,Forecast!AB30,Forecast!AB35,Forecast!AB43,Forecast!AB58)</f>
        <v>20.1905977878249</v>
      </c>
      <c r="AC9" s="12" t="n">
        <f aca="false">Inputs!$B$96+Inputs!$C$96/1000*CHOOSE(Inputs!$D$96,Forecast!AC30,Forecast!AC35,Forecast!AC43,Forecast!AC58)</f>
        <v>20.3164708099463</v>
      </c>
      <c r="AD9" s="12" t="n">
        <f aca="false">Inputs!$B$96+Inputs!$C$96/1000*CHOOSE(Inputs!$D$96,Forecast!AD30,Forecast!AD35,Forecast!AD43,Forecast!AD58)</f>
        <v>20.1033096929151</v>
      </c>
      <c r="AE9" s="12" t="n">
        <f aca="false">Inputs!$B$96+Inputs!$C$96/1000*CHOOSE(Inputs!$D$96,Forecast!AE30,Forecast!AE35,Forecast!AE43,Forecast!AE58)</f>
        <v>20.2079291311943</v>
      </c>
      <c r="AF9" s="12" t="n">
        <f aca="false">Inputs!$B$96+Inputs!$C$96/1000*CHOOSE(Inputs!$D$96,Forecast!AF30,Forecast!AF35,Forecast!AF43,Forecast!AF58)</f>
        <v>20.131862773385</v>
      </c>
      <c r="AG9" s="12" t="n">
        <f aca="false">Inputs!$B$96+Inputs!$C$96/1000*CHOOSE(Inputs!$D$96,Forecast!AG30,Forecast!AG35,Forecast!AG43,Forecast!AG58)</f>
        <v>20.1424677879225</v>
      </c>
      <c r="AH9" s="12" t="n">
        <f aca="false">Inputs!$B$96+Inputs!$C$96/1000*CHOOSE(Inputs!$D$96,Forecast!AH30,Forecast!AH35,Forecast!AH43,Forecast!AH58)</f>
        <v>20.2415456894463</v>
      </c>
      <c r="AI9" s="12" t="n">
        <f aca="false">Inputs!$B$96+Inputs!$C$96/1000*CHOOSE(Inputs!$D$96,Forecast!AI30,Forecast!AI35,Forecast!AI43,Forecast!AI58)</f>
        <v>20.1773851931456</v>
      </c>
      <c r="AJ9" s="12" t="n">
        <f aca="false">Inputs!$B$96+Inputs!$C$96/1000*CHOOSE(Inputs!$D$96,Forecast!AJ30,Forecast!AJ35,Forecast!AJ43,Forecast!AJ58)</f>
        <v>20.1428736776408</v>
      </c>
      <c r="AK9" s="12" t="n">
        <f aca="false">Inputs!$B$96+Inputs!$C$96/1000*CHOOSE(Inputs!$D$96,Forecast!AK30,Forecast!AK35,Forecast!AK43,Forecast!AK58)</f>
        <v>20.1542566101971</v>
      </c>
      <c r="AL9" s="12" t="n">
        <f aca="false">Inputs!$B$96+Inputs!$C$96/1000*CHOOSE(Inputs!$D$96,Forecast!AL30,Forecast!AL35,Forecast!AL43,Forecast!AL58)</f>
        <v>20.1663622152695</v>
      </c>
      <c r="AM9" s="12" t="n">
        <f aca="false">Inputs!$B$96+Inputs!$C$96/1000*CHOOSE(Inputs!$D$96,Forecast!AM30,Forecast!AM35,Forecast!AM43,Forecast!AM58)</f>
        <v>20.1790720032139</v>
      </c>
    </row>
    <row r="10" customFormat="false" ht="15" hidden="false" customHeight="false" outlineLevel="0" collapsed="false">
      <c r="A10" s="6" t="str">
        <f aca="false">Inputs!A97</f>
        <v>Domain</v>
      </c>
      <c r="B10" s="11" t="n">
        <f aca="false">Inputs!D97</f>
        <v>1</v>
      </c>
      <c r="D10" s="12" t="n">
        <f aca="false">Inputs!$B$97+Inputs!$C$97/1000*CHOOSE(Inputs!$D$97,Forecast!D30,Forecast!D35,Forecast!D43,Forecast!D58)</f>
        <v>1.67</v>
      </c>
      <c r="E10" s="12" t="n">
        <f aca="false">Inputs!$B$97+Inputs!$C$97/1000*CHOOSE(Inputs!$D$97,Forecast!E30,Forecast!E35,Forecast!E43,Forecast!E58)</f>
        <v>1.67</v>
      </c>
      <c r="F10" s="12" t="n">
        <f aca="false">Inputs!$B$97+Inputs!$C$97/1000*CHOOSE(Inputs!$D$97,Forecast!F30,Forecast!F35,Forecast!F43,Forecast!F58)</f>
        <v>1.67</v>
      </c>
      <c r="G10" s="12" t="n">
        <f aca="false">Inputs!$B$97+Inputs!$C$97/1000*CHOOSE(Inputs!$D$97,Forecast!G30,Forecast!G35,Forecast!G43,Forecast!G58)</f>
        <v>1.67</v>
      </c>
      <c r="H10" s="12" t="n">
        <f aca="false">Inputs!$B$97+Inputs!$C$97/1000*CHOOSE(Inputs!$D$97,Forecast!H30,Forecast!H35,Forecast!H43,Forecast!H58)</f>
        <v>1.67</v>
      </c>
      <c r="I10" s="12" t="n">
        <f aca="false">Inputs!$B$97+Inputs!$C$97/1000*CHOOSE(Inputs!$D$97,Forecast!I30,Forecast!I35,Forecast!I43,Forecast!I58)</f>
        <v>1.67</v>
      </c>
      <c r="J10" s="12" t="n">
        <f aca="false">Inputs!$B$97+Inputs!$C$97/1000*CHOOSE(Inputs!$D$97,Forecast!J30,Forecast!J35,Forecast!J43,Forecast!J58)</f>
        <v>1.67</v>
      </c>
      <c r="K10" s="12" t="n">
        <f aca="false">Inputs!$B$97+Inputs!$C$97/1000*CHOOSE(Inputs!$D$97,Forecast!K30,Forecast!K35,Forecast!K43,Forecast!K58)</f>
        <v>1.67</v>
      </c>
      <c r="L10" s="12" t="n">
        <f aca="false">Inputs!$B$97+Inputs!$C$97/1000*CHOOSE(Inputs!$D$97,Forecast!L30,Forecast!L35,Forecast!L43,Forecast!L58)</f>
        <v>1.67</v>
      </c>
      <c r="M10" s="12" t="n">
        <f aca="false">Inputs!$B$97+Inputs!$C$97/1000*CHOOSE(Inputs!$D$97,Forecast!M30,Forecast!M35,Forecast!M43,Forecast!M58)</f>
        <v>1.67</v>
      </c>
      <c r="N10" s="12" t="n">
        <f aca="false">Inputs!$B$97+Inputs!$C$97/1000*CHOOSE(Inputs!$D$97,Forecast!N30,Forecast!N35,Forecast!N43,Forecast!N58)</f>
        <v>1.67</v>
      </c>
      <c r="O10" s="12" t="n">
        <f aca="false">Inputs!$B$97+Inputs!$C$97/1000*CHOOSE(Inputs!$D$97,Forecast!O30,Forecast!O35,Forecast!O43,Forecast!O58)</f>
        <v>1.67</v>
      </c>
      <c r="P10" s="12" t="n">
        <f aca="false">Inputs!$B$97+Inputs!$C$97/1000*CHOOSE(Inputs!$D$97,Forecast!P30,Forecast!P35,Forecast!P43,Forecast!P58)</f>
        <v>1.67</v>
      </c>
      <c r="Q10" s="12" t="n">
        <f aca="false">Inputs!$B$97+Inputs!$C$97/1000*CHOOSE(Inputs!$D$97,Forecast!Q30,Forecast!Q35,Forecast!Q43,Forecast!Q58)</f>
        <v>1.67</v>
      </c>
      <c r="R10" s="12" t="n">
        <f aca="false">Inputs!$B$97+Inputs!$C$97/1000*CHOOSE(Inputs!$D$97,Forecast!R30,Forecast!R35,Forecast!R43,Forecast!R58)</f>
        <v>1.67</v>
      </c>
      <c r="S10" s="12" t="n">
        <f aca="false">Inputs!$B$97+Inputs!$C$97/1000*CHOOSE(Inputs!$D$97,Forecast!S30,Forecast!S35,Forecast!S43,Forecast!S58)</f>
        <v>1.67</v>
      </c>
      <c r="T10" s="12" t="n">
        <f aca="false">Inputs!$B$97+Inputs!$C$97/1000*CHOOSE(Inputs!$D$97,Forecast!T30,Forecast!T35,Forecast!T43,Forecast!T58)</f>
        <v>1.67</v>
      </c>
      <c r="U10" s="12" t="n">
        <f aca="false">Inputs!$B$97+Inputs!$C$97/1000*CHOOSE(Inputs!$D$97,Forecast!U30,Forecast!U35,Forecast!U43,Forecast!U58)</f>
        <v>1.67</v>
      </c>
      <c r="V10" s="12" t="n">
        <f aca="false">Inputs!$B$97+Inputs!$C$97/1000*CHOOSE(Inputs!$D$97,Forecast!V30,Forecast!V35,Forecast!V43,Forecast!V58)</f>
        <v>1.67</v>
      </c>
      <c r="W10" s="12" t="n">
        <f aca="false">Inputs!$B$97+Inputs!$C$97/1000*CHOOSE(Inputs!$D$97,Forecast!W30,Forecast!W35,Forecast!W43,Forecast!W58)</f>
        <v>1.67</v>
      </c>
      <c r="X10" s="12" t="n">
        <f aca="false">Inputs!$B$97+Inputs!$C$97/1000*CHOOSE(Inputs!$D$97,Forecast!X30,Forecast!X35,Forecast!X43,Forecast!X58)</f>
        <v>1.67</v>
      </c>
      <c r="Y10" s="12" t="n">
        <f aca="false">Inputs!$B$97+Inputs!$C$97/1000*CHOOSE(Inputs!$D$97,Forecast!Y30,Forecast!Y35,Forecast!Y43,Forecast!Y58)</f>
        <v>1.67</v>
      </c>
      <c r="Z10" s="12" t="n">
        <f aca="false">Inputs!$B$97+Inputs!$C$97/1000*CHOOSE(Inputs!$D$97,Forecast!Z30,Forecast!Z35,Forecast!Z43,Forecast!Z58)</f>
        <v>1.67</v>
      </c>
      <c r="AA10" s="12" t="n">
        <f aca="false">Inputs!$B$97+Inputs!$C$97/1000*CHOOSE(Inputs!$D$97,Forecast!AA30,Forecast!AA35,Forecast!AA43,Forecast!AA58)</f>
        <v>1.67</v>
      </c>
      <c r="AB10" s="12" t="n">
        <f aca="false">Inputs!$B$97+Inputs!$C$97/1000*CHOOSE(Inputs!$D$97,Forecast!AB30,Forecast!AB35,Forecast!AB43,Forecast!AB58)</f>
        <v>1.67</v>
      </c>
      <c r="AC10" s="12" t="n">
        <f aca="false">Inputs!$B$97+Inputs!$C$97/1000*CHOOSE(Inputs!$D$97,Forecast!AC30,Forecast!AC35,Forecast!AC43,Forecast!AC58)</f>
        <v>1.67</v>
      </c>
      <c r="AD10" s="12" t="n">
        <f aca="false">Inputs!$B$97+Inputs!$C$97/1000*CHOOSE(Inputs!$D$97,Forecast!AD30,Forecast!AD35,Forecast!AD43,Forecast!AD58)</f>
        <v>1.67</v>
      </c>
      <c r="AE10" s="12" t="n">
        <f aca="false">Inputs!$B$97+Inputs!$C$97/1000*CHOOSE(Inputs!$D$97,Forecast!AE30,Forecast!AE35,Forecast!AE43,Forecast!AE58)</f>
        <v>1.67</v>
      </c>
      <c r="AF10" s="12" t="n">
        <f aca="false">Inputs!$B$97+Inputs!$C$97/1000*CHOOSE(Inputs!$D$97,Forecast!AF30,Forecast!AF35,Forecast!AF43,Forecast!AF58)</f>
        <v>1.67</v>
      </c>
      <c r="AG10" s="12" t="n">
        <f aca="false">Inputs!$B$97+Inputs!$C$97/1000*CHOOSE(Inputs!$D$97,Forecast!AG30,Forecast!AG35,Forecast!AG43,Forecast!AG58)</f>
        <v>1.67</v>
      </c>
      <c r="AH10" s="12" t="n">
        <f aca="false">Inputs!$B$97+Inputs!$C$97/1000*CHOOSE(Inputs!$D$97,Forecast!AH30,Forecast!AH35,Forecast!AH43,Forecast!AH58)</f>
        <v>1.67</v>
      </c>
      <c r="AI10" s="12" t="n">
        <f aca="false">Inputs!$B$97+Inputs!$C$97/1000*CHOOSE(Inputs!$D$97,Forecast!AI30,Forecast!AI35,Forecast!AI43,Forecast!AI58)</f>
        <v>1.67</v>
      </c>
      <c r="AJ10" s="12" t="n">
        <f aca="false">Inputs!$B$97+Inputs!$C$97/1000*CHOOSE(Inputs!$D$97,Forecast!AJ30,Forecast!AJ35,Forecast!AJ43,Forecast!AJ58)</f>
        <v>1.67</v>
      </c>
      <c r="AK10" s="12" t="n">
        <f aca="false">Inputs!$B$97+Inputs!$C$97/1000*CHOOSE(Inputs!$D$97,Forecast!AK30,Forecast!AK35,Forecast!AK43,Forecast!AK58)</f>
        <v>1.67</v>
      </c>
      <c r="AL10" s="12" t="n">
        <f aca="false">Inputs!$B$97+Inputs!$C$97/1000*CHOOSE(Inputs!$D$97,Forecast!AL30,Forecast!AL35,Forecast!AL43,Forecast!AL58)</f>
        <v>1.67</v>
      </c>
      <c r="AM10" s="12" t="n">
        <f aca="false">Inputs!$B$97+Inputs!$C$97/1000*CHOOSE(Inputs!$D$97,Forecast!AM30,Forecast!AM35,Forecast!AM43,Forecast!AM58)</f>
        <v>1.67</v>
      </c>
    </row>
    <row r="11" customFormat="false" ht="15" hidden="false" customHeight="false" outlineLevel="0" collapsed="false">
      <c r="A11" s="6" t="str">
        <f aca="false">Inputs!A98</f>
        <v>Stripe Tax</v>
      </c>
      <c r="B11" s="11" t="n">
        <f aca="false">Inputs!D98</f>
        <v>4</v>
      </c>
      <c r="D11" s="12" t="n">
        <f aca="false">Inputs!$B$98+Inputs!$C$98/1000*CHOOSE(Inputs!$D$98,Forecast!D30,Forecast!D35,Forecast!D43,Forecast!D58)</f>
        <v>13.5602586673223</v>
      </c>
      <c r="E11" s="12" t="n">
        <f aca="false">Inputs!$B$98+Inputs!$C$98/1000*CHOOSE(Inputs!$D$98,Forecast!E30,Forecast!E35,Forecast!E43,Forecast!E58)</f>
        <v>23.6524387474381</v>
      </c>
      <c r="F11" s="12" t="n">
        <f aca="false">Inputs!$B$98+Inputs!$C$98/1000*CHOOSE(Inputs!$D$98,Forecast!F30,Forecast!F35,Forecast!F43,Forecast!F58)</f>
        <v>8.06462122405752</v>
      </c>
      <c r="G11" s="12" t="n">
        <f aca="false">Inputs!$B$98+Inputs!$C$98/1000*CHOOSE(Inputs!$D$98,Forecast!G30,Forecast!G35,Forecast!G43,Forecast!G58)</f>
        <v>16.2115867268283</v>
      </c>
      <c r="H11" s="12" t="n">
        <f aca="false">Inputs!$B$98+Inputs!$C$98/1000*CHOOSE(Inputs!$D$98,Forecast!H30,Forecast!H35,Forecast!H43,Forecast!H58)</f>
        <v>10.6177753357713</v>
      </c>
      <c r="I11" s="12" t="n">
        <f aca="false">Inputs!$B$98+Inputs!$C$98/1000*CHOOSE(Inputs!$D$98,Forecast!I30,Forecast!I35,Forecast!I43,Forecast!I58)</f>
        <v>11.689210859353</v>
      </c>
      <c r="J11" s="12" t="n">
        <f aca="false">Inputs!$B$98+Inputs!$C$98/1000*CHOOSE(Inputs!$D$98,Forecast!J30,Forecast!J35,Forecast!J43,Forecast!J58)</f>
        <v>20.2921611527262</v>
      </c>
      <c r="K11" s="12" t="n">
        <f aca="false">Inputs!$B$98+Inputs!$C$98/1000*CHOOSE(Inputs!$D$98,Forecast!K30,Forecast!K35,Forecast!K43,Forecast!K58)</f>
        <v>15.2047025687336</v>
      </c>
      <c r="L11" s="12" t="n">
        <f aca="false">Inputs!$B$98+Inputs!$C$98/1000*CHOOSE(Inputs!$D$98,Forecast!L30,Forecast!L35,Forecast!L43,Forecast!L58)</f>
        <v>12.5358125565729</v>
      </c>
      <c r="M11" s="12" t="n">
        <f aca="false">Inputs!$B$98+Inputs!$C$98/1000*CHOOSE(Inputs!$D$98,Forecast!M30,Forecast!M35,Forecast!M43,Forecast!M58)</f>
        <v>13.7694487308821</v>
      </c>
      <c r="N11" s="12" t="n">
        <f aca="false">Inputs!$B$98+Inputs!$C$98/1000*CHOOSE(Inputs!$D$98,Forecast!N30,Forecast!N35,Forecast!N43,Forecast!N58)</f>
        <v>15.1169950385589</v>
      </c>
      <c r="O11" s="12" t="n">
        <f aca="false">Inputs!$B$98+Inputs!$C$98/1000*CHOOSE(Inputs!$D$98,Forecast!O30,Forecast!O35,Forecast!O43,Forecast!O58)</f>
        <v>16.5714114814771</v>
      </c>
      <c r="P11" s="12" t="n">
        <f aca="false">Inputs!$B$98+Inputs!$C$98/1000*CHOOSE(Inputs!$D$98,Forecast!P30,Forecast!P35,Forecast!P43,Forecast!P58)</f>
        <v>23.3613827285862</v>
      </c>
      <c r="Q11" s="12" t="n">
        <f aca="false">Inputs!$B$98+Inputs!$C$98/1000*CHOOSE(Inputs!$D$98,Forecast!Q30,Forecast!Q35,Forecast!Q43,Forecast!Q58)</f>
        <v>39.6836368913708</v>
      </c>
      <c r="R11" s="12" t="n">
        <f aca="false">Inputs!$B$98+Inputs!$C$98/1000*CHOOSE(Inputs!$D$98,Forecast!R30,Forecast!R35,Forecast!R43,Forecast!R58)</f>
        <v>13.0260158352763</v>
      </c>
      <c r="S11" s="12" t="n">
        <f aca="false">Inputs!$B$98+Inputs!$C$98/1000*CHOOSE(Inputs!$D$98,Forecast!S30,Forecast!S35,Forecast!S43,Forecast!S58)</f>
        <v>26.4244915557882</v>
      </c>
      <c r="T11" s="12" t="n">
        <f aca="false">Inputs!$B$98+Inputs!$C$98/1000*CHOOSE(Inputs!$D$98,Forecast!T30,Forecast!T35,Forecast!T43,Forecast!T58)</f>
        <v>16.885012640211</v>
      </c>
      <c r="U11" s="12" t="n">
        <f aca="false">Inputs!$B$98+Inputs!$C$98/1000*CHOOSE(Inputs!$D$98,Forecast!U30,Forecast!U35,Forecast!U43,Forecast!U58)</f>
        <v>18.3891204686614</v>
      </c>
      <c r="V11" s="12" t="n">
        <f aca="false">Inputs!$B$98+Inputs!$C$98/1000*CHOOSE(Inputs!$D$98,Forecast!V30,Forecast!V35,Forecast!V43,Forecast!V58)</f>
        <v>31.6167831132751</v>
      </c>
      <c r="W11" s="12" t="n">
        <f aca="false">Inputs!$B$98+Inputs!$C$98/1000*CHOOSE(Inputs!$D$98,Forecast!W30,Forecast!W35,Forecast!W43,Forecast!W58)</f>
        <v>23.3243517840988</v>
      </c>
      <c r="X11" s="12" t="n">
        <f aca="false">Inputs!$B$98+Inputs!$C$98/1000*CHOOSE(Inputs!$D$98,Forecast!X30,Forecast!X35,Forecast!X43,Forecast!X58)</f>
        <v>18.9093599864243</v>
      </c>
      <c r="Y11" s="12" t="n">
        <f aca="false">Inputs!$B$98+Inputs!$C$98/1000*CHOOSE(Inputs!$D$98,Forecast!Y30,Forecast!Y35,Forecast!Y43,Forecast!Y58)</f>
        <v>20.5561303862294</v>
      </c>
      <c r="Z11" s="12" t="n">
        <f aca="false">Inputs!$B$98+Inputs!$C$98/1000*CHOOSE(Inputs!$D$98,Forecast!Z30,Forecast!Z35,Forecast!Z43,Forecast!Z58)</f>
        <v>22.3244639315495</v>
      </c>
      <c r="AA11" s="12" t="n">
        <f aca="false">Inputs!$B$98+Inputs!$C$98/1000*CHOOSE(Inputs!$D$98,Forecast!AA30,Forecast!AA35,Forecast!AA43,Forecast!AA58)</f>
        <v>24.199969947806</v>
      </c>
      <c r="AB11" s="12" t="n">
        <f aca="false">Inputs!$B$98+Inputs!$C$98/1000*CHOOSE(Inputs!$D$98,Forecast!AB30,Forecast!AB35,Forecast!AB43,Forecast!AB58)</f>
        <v>33.6655887892099</v>
      </c>
      <c r="AC11" s="12" t="n">
        <f aca="false">Inputs!$B$98+Inputs!$C$98/1000*CHOOSE(Inputs!$D$98,Forecast!AC30,Forecast!AC35,Forecast!AC43,Forecast!AC58)</f>
        <v>55.8987398176309</v>
      </c>
      <c r="AD11" s="12" t="n">
        <f aca="false">Inputs!$B$98+Inputs!$C$98/1000*CHOOSE(Inputs!$D$98,Forecast!AD30,Forecast!AD35,Forecast!AD43,Forecast!AD58)</f>
        <v>18.2477544955343</v>
      </c>
      <c r="AE11" s="12" t="n">
        <f aca="false">Inputs!$B$98+Inputs!$C$98/1000*CHOOSE(Inputs!$D$98,Forecast!AE30,Forecast!AE35,Forecast!AE43,Forecast!AE58)</f>
        <v>36.7268513867347</v>
      </c>
      <c r="AF11" s="12" t="n">
        <f aca="false">Inputs!$B$98+Inputs!$C$98/1000*CHOOSE(Inputs!$D$98,Forecast!AF30,Forecast!AF35,Forecast!AF43,Forecast!AF58)</f>
        <v>23.2911302699024</v>
      </c>
      <c r="AG11" s="12" t="n">
        <f aca="false">Inputs!$B$98+Inputs!$C$98/1000*CHOOSE(Inputs!$D$98,Forecast!AG30,Forecast!AG35,Forecast!AG43,Forecast!AG58)</f>
        <v>25.1643107647824</v>
      </c>
      <c r="AH11" s="12" t="n">
        <f aca="false">Inputs!$B$98+Inputs!$C$98/1000*CHOOSE(Inputs!$D$98,Forecast!AH30,Forecast!AH35,Forecast!AH43,Forecast!AH58)</f>
        <v>42.6645972521742</v>
      </c>
      <c r="AI11" s="12" t="n">
        <f aca="false">Inputs!$B$98+Inputs!$C$98/1000*CHOOSE(Inputs!$D$98,Forecast!AI30,Forecast!AI35,Forecast!AI43,Forecast!AI58)</f>
        <v>31.3318272886812</v>
      </c>
      <c r="AJ11" s="12" t="n">
        <f aca="false">Inputs!$B$98+Inputs!$C$98/1000*CHOOSE(Inputs!$D$98,Forecast!AJ30,Forecast!AJ35,Forecast!AJ43,Forecast!AJ58)</f>
        <v>25.2360037078546</v>
      </c>
      <c r="AK11" s="12" t="n">
        <f aca="false">Inputs!$B$98+Inputs!$C$98/1000*CHOOSE(Inputs!$D$98,Forecast!AK30,Forecast!AK35,Forecast!AK43,Forecast!AK58)</f>
        <v>27.246589093079</v>
      </c>
      <c r="AL11" s="12" t="n">
        <f aca="false">Inputs!$B$98+Inputs!$C$98/1000*CHOOSE(Inputs!$D$98,Forecast!AL30,Forecast!AL35,Forecast!AL43,Forecast!AL58)</f>
        <v>29.3848212680834</v>
      </c>
      <c r="AM11" s="12" t="n">
        <f aca="false">Inputs!$B$98+Inputs!$C$98/1000*CHOOSE(Inputs!$D$98,Forecast!AM30,Forecast!AM35,Forecast!AM43,Forecast!AM58)</f>
        <v>31.629771219573</v>
      </c>
    </row>
    <row r="12" customFormat="false" ht="15" hidden="false" customHeight="false" outlineLevel="0" collapsed="false">
      <c r="A12" s="6" t="str">
        <f aca="false">Inputs!A99</f>
        <v>Monitoring (Sentry + uptime)</v>
      </c>
      <c r="B12" s="11" t="n">
        <f aca="false">Inputs!D99</f>
        <v>1</v>
      </c>
      <c r="D12" s="12" t="n">
        <f aca="false">Inputs!$B$99+Inputs!$C$99/1000*CHOOSE(Inputs!$D$99,Forecast!D30,Forecast!D35,Forecast!D43,Forecast!D58)</f>
        <v>26</v>
      </c>
      <c r="E12" s="12" t="n">
        <f aca="false">Inputs!$B$99+Inputs!$C$99/1000*CHOOSE(Inputs!$D$99,Forecast!E30,Forecast!E35,Forecast!E43,Forecast!E58)</f>
        <v>26</v>
      </c>
      <c r="F12" s="12" t="n">
        <f aca="false">Inputs!$B$99+Inputs!$C$99/1000*CHOOSE(Inputs!$D$99,Forecast!F30,Forecast!F35,Forecast!F43,Forecast!F58)</f>
        <v>26</v>
      </c>
      <c r="G12" s="12" t="n">
        <f aca="false">Inputs!$B$99+Inputs!$C$99/1000*CHOOSE(Inputs!$D$99,Forecast!G30,Forecast!G35,Forecast!G43,Forecast!G58)</f>
        <v>26</v>
      </c>
      <c r="H12" s="12" t="n">
        <f aca="false">Inputs!$B$99+Inputs!$C$99/1000*CHOOSE(Inputs!$D$99,Forecast!H30,Forecast!H35,Forecast!H43,Forecast!H58)</f>
        <v>26</v>
      </c>
      <c r="I12" s="12" t="n">
        <f aca="false">Inputs!$B$99+Inputs!$C$99/1000*CHOOSE(Inputs!$D$99,Forecast!I30,Forecast!I35,Forecast!I43,Forecast!I58)</f>
        <v>26</v>
      </c>
      <c r="J12" s="12" t="n">
        <f aca="false">Inputs!$B$99+Inputs!$C$99/1000*CHOOSE(Inputs!$D$99,Forecast!J30,Forecast!J35,Forecast!J43,Forecast!J58)</f>
        <v>26</v>
      </c>
      <c r="K12" s="12" t="n">
        <f aca="false">Inputs!$B$99+Inputs!$C$99/1000*CHOOSE(Inputs!$D$99,Forecast!K30,Forecast!K35,Forecast!K43,Forecast!K58)</f>
        <v>26</v>
      </c>
      <c r="L12" s="12" t="n">
        <f aca="false">Inputs!$B$99+Inputs!$C$99/1000*CHOOSE(Inputs!$D$99,Forecast!L30,Forecast!L35,Forecast!L43,Forecast!L58)</f>
        <v>26</v>
      </c>
      <c r="M12" s="12" t="n">
        <f aca="false">Inputs!$B$99+Inputs!$C$99/1000*CHOOSE(Inputs!$D$99,Forecast!M30,Forecast!M35,Forecast!M43,Forecast!M58)</f>
        <v>26</v>
      </c>
      <c r="N12" s="12" t="n">
        <f aca="false">Inputs!$B$99+Inputs!$C$99/1000*CHOOSE(Inputs!$D$99,Forecast!N30,Forecast!N35,Forecast!N43,Forecast!N58)</f>
        <v>26</v>
      </c>
      <c r="O12" s="12" t="n">
        <f aca="false">Inputs!$B$99+Inputs!$C$99/1000*CHOOSE(Inputs!$D$99,Forecast!O30,Forecast!O35,Forecast!O43,Forecast!O58)</f>
        <v>26</v>
      </c>
      <c r="P12" s="12" t="n">
        <f aca="false">Inputs!$B$99+Inputs!$C$99/1000*CHOOSE(Inputs!$D$99,Forecast!P30,Forecast!P35,Forecast!P43,Forecast!P58)</f>
        <v>26</v>
      </c>
      <c r="Q12" s="12" t="n">
        <f aca="false">Inputs!$B$99+Inputs!$C$99/1000*CHOOSE(Inputs!$D$99,Forecast!Q30,Forecast!Q35,Forecast!Q43,Forecast!Q58)</f>
        <v>26</v>
      </c>
      <c r="R12" s="12" t="n">
        <f aca="false">Inputs!$B$99+Inputs!$C$99/1000*CHOOSE(Inputs!$D$99,Forecast!R30,Forecast!R35,Forecast!R43,Forecast!R58)</f>
        <v>26</v>
      </c>
      <c r="S12" s="12" t="n">
        <f aca="false">Inputs!$B$99+Inputs!$C$99/1000*CHOOSE(Inputs!$D$99,Forecast!S30,Forecast!S35,Forecast!S43,Forecast!S58)</f>
        <v>26</v>
      </c>
      <c r="T12" s="12" t="n">
        <f aca="false">Inputs!$B$99+Inputs!$C$99/1000*CHOOSE(Inputs!$D$99,Forecast!T30,Forecast!T35,Forecast!T43,Forecast!T58)</f>
        <v>26</v>
      </c>
      <c r="U12" s="12" t="n">
        <f aca="false">Inputs!$B$99+Inputs!$C$99/1000*CHOOSE(Inputs!$D$99,Forecast!U30,Forecast!U35,Forecast!U43,Forecast!U58)</f>
        <v>26</v>
      </c>
      <c r="V12" s="12" t="n">
        <f aca="false">Inputs!$B$99+Inputs!$C$99/1000*CHOOSE(Inputs!$D$99,Forecast!V30,Forecast!V35,Forecast!V43,Forecast!V58)</f>
        <v>26</v>
      </c>
      <c r="W12" s="12" t="n">
        <f aca="false">Inputs!$B$99+Inputs!$C$99/1000*CHOOSE(Inputs!$D$99,Forecast!W30,Forecast!W35,Forecast!W43,Forecast!W58)</f>
        <v>26</v>
      </c>
      <c r="X12" s="12" t="n">
        <f aca="false">Inputs!$B$99+Inputs!$C$99/1000*CHOOSE(Inputs!$D$99,Forecast!X30,Forecast!X35,Forecast!X43,Forecast!X58)</f>
        <v>26</v>
      </c>
      <c r="Y12" s="12" t="n">
        <f aca="false">Inputs!$B$99+Inputs!$C$99/1000*CHOOSE(Inputs!$D$99,Forecast!Y30,Forecast!Y35,Forecast!Y43,Forecast!Y58)</f>
        <v>26</v>
      </c>
      <c r="Z12" s="12" t="n">
        <f aca="false">Inputs!$B$99+Inputs!$C$99/1000*CHOOSE(Inputs!$D$99,Forecast!Z30,Forecast!Z35,Forecast!Z43,Forecast!Z58)</f>
        <v>26</v>
      </c>
      <c r="AA12" s="12" t="n">
        <f aca="false">Inputs!$B$99+Inputs!$C$99/1000*CHOOSE(Inputs!$D$99,Forecast!AA30,Forecast!AA35,Forecast!AA43,Forecast!AA58)</f>
        <v>26</v>
      </c>
      <c r="AB12" s="12" t="n">
        <f aca="false">Inputs!$B$99+Inputs!$C$99/1000*CHOOSE(Inputs!$D$99,Forecast!AB30,Forecast!AB35,Forecast!AB43,Forecast!AB58)</f>
        <v>26</v>
      </c>
      <c r="AC12" s="12" t="n">
        <f aca="false">Inputs!$B$99+Inputs!$C$99/1000*CHOOSE(Inputs!$D$99,Forecast!AC30,Forecast!AC35,Forecast!AC43,Forecast!AC58)</f>
        <v>26</v>
      </c>
      <c r="AD12" s="12" t="n">
        <f aca="false">Inputs!$B$99+Inputs!$C$99/1000*CHOOSE(Inputs!$D$99,Forecast!AD30,Forecast!AD35,Forecast!AD43,Forecast!AD58)</f>
        <v>26</v>
      </c>
      <c r="AE12" s="12" t="n">
        <f aca="false">Inputs!$B$99+Inputs!$C$99/1000*CHOOSE(Inputs!$D$99,Forecast!AE30,Forecast!AE35,Forecast!AE43,Forecast!AE58)</f>
        <v>26</v>
      </c>
      <c r="AF12" s="12" t="n">
        <f aca="false">Inputs!$B$99+Inputs!$C$99/1000*CHOOSE(Inputs!$D$99,Forecast!AF30,Forecast!AF35,Forecast!AF43,Forecast!AF58)</f>
        <v>26</v>
      </c>
      <c r="AG12" s="12" t="n">
        <f aca="false">Inputs!$B$99+Inputs!$C$99/1000*CHOOSE(Inputs!$D$99,Forecast!AG30,Forecast!AG35,Forecast!AG43,Forecast!AG58)</f>
        <v>26</v>
      </c>
      <c r="AH12" s="12" t="n">
        <f aca="false">Inputs!$B$99+Inputs!$C$99/1000*CHOOSE(Inputs!$D$99,Forecast!AH30,Forecast!AH35,Forecast!AH43,Forecast!AH58)</f>
        <v>26</v>
      </c>
      <c r="AI12" s="12" t="n">
        <f aca="false">Inputs!$B$99+Inputs!$C$99/1000*CHOOSE(Inputs!$D$99,Forecast!AI30,Forecast!AI35,Forecast!AI43,Forecast!AI58)</f>
        <v>26</v>
      </c>
      <c r="AJ12" s="12" t="n">
        <f aca="false">Inputs!$B$99+Inputs!$C$99/1000*CHOOSE(Inputs!$D$99,Forecast!AJ30,Forecast!AJ35,Forecast!AJ43,Forecast!AJ58)</f>
        <v>26</v>
      </c>
      <c r="AK12" s="12" t="n">
        <f aca="false">Inputs!$B$99+Inputs!$C$99/1000*CHOOSE(Inputs!$D$99,Forecast!AK30,Forecast!AK35,Forecast!AK43,Forecast!AK58)</f>
        <v>26</v>
      </c>
      <c r="AL12" s="12" t="n">
        <f aca="false">Inputs!$B$99+Inputs!$C$99/1000*CHOOSE(Inputs!$D$99,Forecast!AL30,Forecast!AL35,Forecast!AL43,Forecast!AL58)</f>
        <v>26</v>
      </c>
      <c r="AM12" s="12" t="n">
        <f aca="false">Inputs!$B$99+Inputs!$C$99/1000*CHOOSE(Inputs!$D$99,Forecast!AM30,Forecast!AM35,Forecast!AM43,Forecast!AM58)</f>
        <v>26</v>
      </c>
    </row>
    <row r="13" customFormat="false" ht="15" hidden="false" customHeight="false" outlineLevel="0" collapsed="false">
      <c r="A13" s="6" t="str">
        <f aca="false">Inputs!A100</f>
        <v>OpenRouter base (dev/QA/pipeline testing)</v>
      </c>
      <c r="B13" s="11" t="n">
        <f aca="false">Inputs!D100</f>
        <v>1</v>
      </c>
      <c r="D13" s="12" t="n">
        <f aca="false">Inputs!$B$100+Inputs!$C$100/1000*CHOOSE(Inputs!$D$100,Forecast!D30,Forecast!D35,Forecast!D43,Forecast!D58)</f>
        <v>75</v>
      </c>
      <c r="E13" s="12" t="n">
        <f aca="false">Inputs!$B$100+Inputs!$C$100/1000*CHOOSE(Inputs!$D$100,Forecast!E30,Forecast!E35,Forecast!E43,Forecast!E58)</f>
        <v>75</v>
      </c>
      <c r="F13" s="12" t="n">
        <f aca="false">Inputs!$B$100+Inputs!$C$100/1000*CHOOSE(Inputs!$D$100,Forecast!F30,Forecast!F35,Forecast!F43,Forecast!F58)</f>
        <v>75</v>
      </c>
      <c r="G13" s="12" t="n">
        <f aca="false">Inputs!$B$100+Inputs!$C$100/1000*CHOOSE(Inputs!$D$100,Forecast!G30,Forecast!G35,Forecast!G43,Forecast!G58)</f>
        <v>75</v>
      </c>
      <c r="H13" s="12" t="n">
        <f aca="false">Inputs!$B$100+Inputs!$C$100/1000*CHOOSE(Inputs!$D$100,Forecast!H30,Forecast!H35,Forecast!H43,Forecast!H58)</f>
        <v>75</v>
      </c>
      <c r="I13" s="12" t="n">
        <f aca="false">Inputs!$B$100+Inputs!$C$100/1000*CHOOSE(Inputs!$D$100,Forecast!I30,Forecast!I35,Forecast!I43,Forecast!I58)</f>
        <v>75</v>
      </c>
      <c r="J13" s="12" t="n">
        <f aca="false">Inputs!$B$100+Inputs!$C$100/1000*CHOOSE(Inputs!$D$100,Forecast!J30,Forecast!J35,Forecast!J43,Forecast!J58)</f>
        <v>75</v>
      </c>
      <c r="K13" s="12" t="n">
        <f aca="false">Inputs!$B$100+Inputs!$C$100/1000*CHOOSE(Inputs!$D$100,Forecast!K30,Forecast!K35,Forecast!K43,Forecast!K58)</f>
        <v>75</v>
      </c>
      <c r="L13" s="12" t="n">
        <f aca="false">Inputs!$B$100+Inputs!$C$100/1000*CHOOSE(Inputs!$D$100,Forecast!L30,Forecast!L35,Forecast!L43,Forecast!L58)</f>
        <v>75</v>
      </c>
      <c r="M13" s="12" t="n">
        <f aca="false">Inputs!$B$100+Inputs!$C$100/1000*CHOOSE(Inputs!$D$100,Forecast!M30,Forecast!M35,Forecast!M43,Forecast!M58)</f>
        <v>75</v>
      </c>
      <c r="N13" s="12" t="n">
        <f aca="false">Inputs!$B$100+Inputs!$C$100/1000*CHOOSE(Inputs!$D$100,Forecast!N30,Forecast!N35,Forecast!N43,Forecast!N58)</f>
        <v>75</v>
      </c>
      <c r="O13" s="12" t="n">
        <f aca="false">Inputs!$B$100+Inputs!$C$100/1000*CHOOSE(Inputs!$D$100,Forecast!O30,Forecast!O35,Forecast!O43,Forecast!O58)</f>
        <v>75</v>
      </c>
      <c r="P13" s="12" t="n">
        <f aca="false">Inputs!$B$100+Inputs!$C$100/1000*CHOOSE(Inputs!$D$100,Forecast!P30,Forecast!P35,Forecast!P43,Forecast!P58)</f>
        <v>75</v>
      </c>
      <c r="Q13" s="12" t="n">
        <f aca="false">Inputs!$B$100+Inputs!$C$100/1000*CHOOSE(Inputs!$D$100,Forecast!Q30,Forecast!Q35,Forecast!Q43,Forecast!Q58)</f>
        <v>75</v>
      </c>
      <c r="R13" s="12" t="n">
        <f aca="false">Inputs!$B$100+Inputs!$C$100/1000*CHOOSE(Inputs!$D$100,Forecast!R30,Forecast!R35,Forecast!R43,Forecast!R58)</f>
        <v>75</v>
      </c>
      <c r="S13" s="12" t="n">
        <f aca="false">Inputs!$B$100+Inputs!$C$100/1000*CHOOSE(Inputs!$D$100,Forecast!S30,Forecast!S35,Forecast!S43,Forecast!S58)</f>
        <v>75</v>
      </c>
      <c r="T13" s="12" t="n">
        <f aca="false">Inputs!$B$100+Inputs!$C$100/1000*CHOOSE(Inputs!$D$100,Forecast!T30,Forecast!T35,Forecast!T43,Forecast!T58)</f>
        <v>75</v>
      </c>
      <c r="U13" s="12" t="n">
        <f aca="false">Inputs!$B$100+Inputs!$C$100/1000*CHOOSE(Inputs!$D$100,Forecast!U30,Forecast!U35,Forecast!U43,Forecast!U58)</f>
        <v>75</v>
      </c>
      <c r="V13" s="12" t="n">
        <f aca="false">Inputs!$B$100+Inputs!$C$100/1000*CHOOSE(Inputs!$D$100,Forecast!V30,Forecast!V35,Forecast!V43,Forecast!V58)</f>
        <v>75</v>
      </c>
      <c r="W13" s="12" t="n">
        <f aca="false">Inputs!$B$100+Inputs!$C$100/1000*CHOOSE(Inputs!$D$100,Forecast!W30,Forecast!W35,Forecast!W43,Forecast!W58)</f>
        <v>75</v>
      </c>
      <c r="X13" s="12" t="n">
        <f aca="false">Inputs!$B$100+Inputs!$C$100/1000*CHOOSE(Inputs!$D$100,Forecast!X30,Forecast!X35,Forecast!X43,Forecast!X58)</f>
        <v>75</v>
      </c>
      <c r="Y13" s="12" t="n">
        <f aca="false">Inputs!$B$100+Inputs!$C$100/1000*CHOOSE(Inputs!$D$100,Forecast!Y30,Forecast!Y35,Forecast!Y43,Forecast!Y58)</f>
        <v>75</v>
      </c>
      <c r="Z13" s="12" t="n">
        <f aca="false">Inputs!$B$100+Inputs!$C$100/1000*CHOOSE(Inputs!$D$100,Forecast!Z30,Forecast!Z35,Forecast!Z43,Forecast!Z58)</f>
        <v>75</v>
      </c>
      <c r="AA13" s="12" t="n">
        <f aca="false">Inputs!$B$100+Inputs!$C$100/1000*CHOOSE(Inputs!$D$100,Forecast!AA30,Forecast!AA35,Forecast!AA43,Forecast!AA58)</f>
        <v>75</v>
      </c>
      <c r="AB13" s="12" t="n">
        <f aca="false">Inputs!$B$100+Inputs!$C$100/1000*CHOOSE(Inputs!$D$100,Forecast!AB30,Forecast!AB35,Forecast!AB43,Forecast!AB58)</f>
        <v>75</v>
      </c>
      <c r="AC13" s="12" t="n">
        <f aca="false">Inputs!$B$100+Inputs!$C$100/1000*CHOOSE(Inputs!$D$100,Forecast!AC30,Forecast!AC35,Forecast!AC43,Forecast!AC58)</f>
        <v>75</v>
      </c>
      <c r="AD13" s="12" t="n">
        <f aca="false">Inputs!$B$100+Inputs!$C$100/1000*CHOOSE(Inputs!$D$100,Forecast!AD30,Forecast!AD35,Forecast!AD43,Forecast!AD58)</f>
        <v>75</v>
      </c>
      <c r="AE13" s="12" t="n">
        <f aca="false">Inputs!$B$100+Inputs!$C$100/1000*CHOOSE(Inputs!$D$100,Forecast!AE30,Forecast!AE35,Forecast!AE43,Forecast!AE58)</f>
        <v>75</v>
      </c>
      <c r="AF13" s="12" t="n">
        <f aca="false">Inputs!$B$100+Inputs!$C$100/1000*CHOOSE(Inputs!$D$100,Forecast!AF30,Forecast!AF35,Forecast!AF43,Forecast!AF58)</f>
        <v>75</v>
      </c>
      <c r="AG13" s="12" t="n">
        <f aca="false">Inputs!$B$100+Inputs!$C$100/1000*CHOOSE(Inputs!$D$100,Forecast!AG30,Forecast!AG35,Forecast!AG43,Forecast!AG58)</f>
        <v>75</v>
      </c>
      <c r="AH13" s="12" t="n">
        <f aca="false">Inputs!$B$100+Inputs!$C$100/1000*CHOOSE(Inputs!$D$100,Forecast!AH30,Forecast!AH35,Forecast!AH43,Forecast!AH58)</f>
        <v>75</v>
      </c>
      <c r="AI13" s="12" t="n">
        <f aca="false">Inputs!$B$100+Inputs!$C$100/1000*CHOOSE(Inputs!$D$100,Forecast!AI30,Forecast!AI35,Forecast!AI43,Forecast!AI58)</f>
        <v>75</v>
      </c>
      <c r="AJ13" s="12" t="n">
        <f aca="false">Inputs!$B$100+Inputs!$C$100/1000*CHOOSE(Inputs!$D$100,Forecast!AJ30,Forecast!AJ35,Forecast!AJ43,Forecast!AJ58)</f>
        <v>75</v>
      </c>
      <c r="AK13" s="12" t="n">
        <f aca="false">Inputs!$B$100+Inputs!$C$100/1000*CHOOSE(Inputs!$D$100,Forecast!AK30,Forecast!AK35,Forecast!AK43,Forecast!AK58)</f>
        <v>75</v>
      </c>
      <c r="AL13" s="12" t="n">
        <f aca="false">Inputs!$B$100+Inputs!$C$100/1000*CHOOSE(Inputs!$D$100,Forecast!AL30,Forecast!AL35,Forecast!AL43,Forecast!AL58)</f>
        <v>75</v>
      </c>
      <c r="AM13" s="12" t="n">
        <f aca="false">Inputs!$B$100+Inputs!$C$100/1000*CHOOSE(Inputs!$D$100,Forecast!AM30,Forecast!AM35,Forecast!AM43,Forecast!AM58)</f>
        <v>75</v>
      </c>
    </row>
    <row r="14" customFormat="false" ht="15" hidden="false" customHeight="false" outlineLevel="0" collapsed="false">
      <c r="A14" s="6" t="str">
        <f aca="false">Inputs!A101</f>
        <v>Design and dev tools</v>
      </c>
      <c r="B14" s="11" t="n">
        <f aca="false">Inputs!D101</f>
        <v>1</v>
      </c>
      <c r="D14" s="12" t="n">
        <f aca="false">Inputs!$B$101+Inputs!$C$101/1000*CHOOSE(Inputs!$D$101,Forecast!D30,Forecast!D35,Forecast!D43,Forecast!D58)</f>
        <v>40</v>
      </c>
      <c r="E14" s="12" t="n">
        <f aca="false">Inputs!$B$101+Inputs!$C$101/1000*CHOOSE(Inputs!$D$101,Forecast!E30,Forecast!E35,Forecast!E43,Forecast!E58)</f>
        <v>40</v>
      </c>
      <c r="F14" s="12" t="n">
        <f aca="false">Inputs!$B$101+Inputs!$C$101/1000*CHOOSE(Inputs!$D$101,Forecast!F30,Forecast!F35,Forecast!F43,Forecast!F58)</f>
        <v>40</v>
      </c>
      <c r="G14" s="12" t="n">
        <f aca="false">Inputs!$B$101+Inputs!$C$101/1000*CHOOSE(Inputs!$D$101,Forecast!G30,Forecast!G35,Forecast!G43,Forecast!G58)</f>
        <v>40</v>
      </c>
      <c r="H14" s="12" t="n">
        <f aca="false">Inputs!$B$101+Inputs!$C$101/1000*CHOOSE(Inputs!$D$101,Forecast!H30,Forecast!H35,Forecast!H43,Forecast!H58)</f>
        <v>40</v>
      </c>
      <c r="I14" s="12" t="n">
        <f aca="false">Inputs!$B$101+Inputs!$C$101/1000*CHOOSE(Inputs!$D$101,Forecast!I30,Forecast!I35,Forecast!I43,Forecast!I58)</f>
        <v>40</v>
      </c>
      <c r="J14" s="12" t="n">
        <f aca="false">Inputs!$B$101+Inputs!$C$101/1000*CHOOSE(Inputs!$D$101,Forecast!J30,Forecast!J35,Forecast!J43,Forecast!J58)</f>
        <v>40</v>
      </c>
      <c r="K14" s="12" t="n">
        <f aca="false">Inputs!$B$101+Inputs!$C$101/1000*CHOOSE(Inputs!$D$101,Forecast!K30,Forecast!K35,Forecast!K43,Forecast!K58)</f>
        <v>40</v>
      </c>
      <c r="L14" s="12" t="n">
        <f aca="false">Inputs!$B$101+Inputs!$C$101/1000*CHOOSE(Inputs!$D$101,Forecast!L30,Forecast!L35,Forecast!L43,Forecast!L58)</f>
        <v>40</v>
      </c>
      <c r="M14" s="12" t="n">
        <f aca="false">Inputs!$B$101+Inputs!$C$101/1000*CHOOSE(Inputs!$D$101,Forecast!M30,Forecast!M35,Forecast!M43,Forecast!M58)</f>
        <v>40</v>
      </c>
      <c r="N14" s="12" t="n">
        <f aca="false">Inputs!$B$101+Inputs!$C$101/1000*CHOOSE(Inputs!$D$101,Forecast!N30,Forecast!N35,Forecast!N43,Forecast!N58)</f>
        <v>40</v>
      </c>
      <c r="O14" s="12" t="n">
        <f aca="false">Inputs!$B$101+Inputs!$C$101/1000*CHOOSE(Inputs!$D$101,Forecast!O30,Forecast!O35,Forecast!O43,Forecast!O58)</f>
        <v>40</v>
      </c>
      <c r="P14" s="12" t="n">
        <f aca="false">Inputs!$B$101+Inputs!$C$101/1000*CHOOSE(Inputs!$D$101,Forecast!P30,Forecast!P35,Forecast!P43,Forecast!P58)</f>
        <v>40</v>
      </c>
      <c r="Q14" s="12" t="n">
        <f aca="false">Inputs!$B$101+Inputs!$C$101/1000*CHOOSE(Inputs!$D$101,Forecast!Q30,Forecast!Q35,Forecast!Q43,Forecast!Q58)</f>
        <v>40</v>
      </c>
      <c r="R14" s="12" t="n">
        <f aca="false">Inputs!$B$101+Inputs!$C$101/1000*CHOOSE(Inputs!$D$101,Forecast!R30,Forecast!R35,Forecast!R43,Forecast!R58)</f>
        <v>40</v>
      </c>
      <c r="S14" s="12" t="n">
        <f aca="false">Inputs!$B$101+Inputs!$C$101/1000*CHOOSE(Inputs!$D$101,Forecast!S30,Forecast!S35,Forecast!S43,Forecast!S58)</f>
        <v>40</v>
      </c>
      <c r="T14" s="12" t="n">
        <f aca="false">Inputs!$B$101+Inputs!$C$101/1000*CHOOSE(Inputs!$D$101,Forecast!T30,Forecast!T35,Forecast!T43,Forecast!T58)</f>
        <v>40</v>
      </c>
      <c r="U14" s="12" t="n">
        <f aca="false">Inputs!$B$101+Inputs!$C$101/1000*CHOOSE(Inputs!$D$101,Forecast!U30,Forecast!U35,Forecast!U43,Forecast!U58)</f>
        <v>40</v>
      </c>
      <c r="V14" s="12" t="n">
        <f aca="false">Inputs!$B$101+Inputs!$C$101/1000*CHOOSE(Inputs!$D$101,Forecast!V30,Forecast!V35,Forecast!V43,Forecast!V58)</f>
        <v>40</v>
      </c>
      <c r="W14" s="12" t="n">
        <f aca="false">Inputs!$B$101+Inputs!$C$101/1000*CHOOSE(Inputs!$D$101,Forecast!W30,Forecast!W35,Forecast!W43,Forecast!W58)</f>
        <v>40</v>
      </c>
      <c r="X14" s="12" t="n">
        <f aca="false">Inputs!$B$101+Inputs!$C$101/1000*CHOOSE(Inputs!$D$101,Forecast!X30,Forecast!X35,Forecast!X43,Forecast!X58)</f>
        <v>40</v>
      </c>
      <c r="Y14" s="12" t="n">
        <f aca="false">Inputs!$B$101+Inputs!$C$101/1000*CHOOSE(Inputs!$D$101,Forecast!Y30,Forecast!Y35,Forecast!Y43,Forecast!Y58)</f>
        <v>40</v>
      </c>
      <c r="Z14" s="12" t="n">
        <f aca="false">Inputs!$B$101+Inputs!$C$101/1000*CHOOSE(Inputs!$D$101,Forecast!Z30,Forecast!Z35,Forecast!Z43,Forecast!Z58)</f>
        <v>40</v>
      </c>
      <c r="AA14" s="12" t="n">
        <f aca="false">Inputs!$B$101+Inputs!$C$101/1000*CHOOSE(Inputs!$D$101,Forecast!AA30,Forecast!AA35,Forecast!AA43,Forecast!AA58)</f>
        <v>40</v>
      </c>
      <c r="AB14" s="12" t="n">
        <f aca="false">Inputs!$B$101+Inputs!$C$101/1000*CHOOSE(Inputs!$D$101,Forecast!AB30,Forecast!AB35,Forecast!AB43,Forecast!AB58)</f>
        <v>40</v>
      </c>
      <c r="AC14" s="12" t="n">
        <f aca="false">Inputs!$B$101+Inputs!$C$101/1000*CHOOSE(Inputs!$D$101,Forecast!AC30,Forecast!AC35,Forecast!AC43,Forecast!AC58)</f>
        <v>40</v>
      </c>
      <c r="AD14" s="12" t="n">
        <f aca="false">Inputs!$B$101+Inputs!$C$101/1000*CHOOSE(Inputs!$D$101,Forecast!AD30,Forecast!AD35,Forecast!AD43,Forecast!AD58)</f>
        <v>40</v>
      </c>
      <c r="AE14" s="12" t="n">
        <f aca="false">Inputs!$B$101+Inputs!$C$101/1000*CHOOSE(Inputs!$D$101,Forecast!AE30,Forecast!AE35,Forecast!AE43,Forecast!AE58)</f>
        <v>40</v>
      </c>
      <c r="AF14" s="12" t="n">
        <f aca="false">Inputs!$B$101+Inputs!$C$101/1000*CHOOSE(Inputs!$D$101,Forecast!AF30,Forecast!AF35,Forecast!AF43,Forecast!AF58)</f>
        <v>40</v>
      </c>
      <c r="AG14" s="12" t="n">
        <f aca="false">Inputs!$B$101+Inputs!$C$101/1000*CHOOSE(Inputs!$D$101,Forecast!AG30,Forecast!AG35,Forecast!AG43,Forecast!AG58)</f>
        <v>40</v>
      </c>
      <c r="AH14" s="12" t="n">
        <f aca="false">Inputs!$B$101+Inputs!$C$101/1000*CHOOSE(Inputs!$D$101,Forecast!AH30,Forecast!AH35,Forecast!AH43,Forecast!AH58)</f>
        <v>40</v>
      </c>
      <c r="AI14" s="12" t="n">
        <f aca="false">Inputs!$B$101+Inputs!$C$101/1000*CHOOSE(Inputs!$D$101,Forecast!AI30,Forecast!AI35,Forecast!AI43,Forecast!AI58)</f>
        <v>40</v>
      </c>
      <c r="AJ14" s="12" t="n">
        <f aca="false">Inputs!$B$101+Inputs!$C$101/1000*CHOOSE(Inputs!$D$101,Forecast!AJ30,Forecast!AJ35,Forecast!AJ43,Forecast!AJ58)</f>
        <v>40</v>
      </c>
      <c r="AK14" s="12" t="n">
        <f aca="false">Inputs!$B$101+Inputs!$C$101/1000*CHOOSE(Inputs!$D$101,Forecast!AK30,Forecast!AK35,Forecast!AK43,Forecast!AK58)</f>
        <v>40</v>
      </c>
      <c r="AL14" s="12" t="n">
        <f aca="false">Inputs!$B$101+Inputs!$C$101/1000*CHOOSE(Inputs!$D$101,Forecast!AL30,Forecast!AL35,Forecast!AL43,Forecast!AL58)</f>
        <v>40</v>
      </c>
      <c r="AM14" s="12" t="n">
        <f aca="false">Inputs!$B$101+Inputs!$C$101/1000*CHOOSE(Inputs!$D$101,Forecast!AM30,Forecast!AM35,Forecast!AM43,Forecast!AM58)</f>
        <v>40</v>
      </c>
    </row>
    <row r="15" customFormat="false" ht="15" hidden="false" customHeight="false" outlineLevel="0" collapsed="false">
      <c r="A15" s="6" t="str">
        <f aca="false">Inputs!A102</f>
        <v>Legal / LLC upkeep and accounting</v>
      </c>
      <c r="B15" s="11" t="n">
        <f aca="false">Inputs!D102</f>
        <v>1</v>
      </c>
      <c r="D15" s="12" t="n">
        <f aca="false">Inputs!$B$102+Inputs!$C$102/1000*CHOOSE(Inputs!$D$102,Forecast!D30,Forecast!D35,Forecast!D43,Forecast!D58)</f>
        <v>150</v>
      </c>
      <c r="E15" s="12" t="n">
        <f aca="false">Inputs!$B$102+Inputs!$C$102/1000*CHOOSE(Inputs!$D$102,Forecast!E30,Forecast!E35,Forecast!E43,Forecast!E58)</f>
        <v>150</v>
      </c>
      <c r="F15" s="12" t="n">
        <f aca="false">Inputs!$B$102+Inputs!$C$102/1000*CHOOSE(Inputs!$D$102,Forecast!F30,Forecast!F35,Forecast!F43,Forecast!F58)</f>
        <v>150</v>
      </c>
      <c r="G15" s="12" t="n">
        <f aca="false">Inputs!$B$102+Inputs!$C$102/1000*CHOOSE(Inputs!$D$102,Forecast!G30,Forecast!G35,Forecast!G43,Forecast!G58)</f>
        <v>150</v>
      </c>
      <c r="H15" s="12" t="n">
        <f aca="false">Inputs!$B$102+Inputs!$C$102/1000*CHOOSE(Inputs!$D$102,Forecast!H30,Forecast!H35,Forecast!H43,Forecast!H58)</f>
        <v>150</v>
      </c>
      <c r="I15" s="12" t="n">
        <f aca="false">Inputs!$B$102+Inputs!$C$102/1000*CHOOSE(Inputs!$D$102,Forecast!I30,Forecast!I35,Forecast!I43,Forecast!I58)</f>
        <v>150</v>
      </c>
      <c r="J15" s="12" t="n">
        <f aca="false">Inputs!$B$102+Inputs!$C$102/1000*CHOOSE(Inputs!$D$102,Forecast!J30,Forecast!J35,Forecast!J43,Forecast!J58)</f>
        <v>150</v>
      </c>
      <c r="K15" s="12" t="n">
        <f aca="false">Inputs!$B$102+Inputs!$C$102/1000*CHOOSE(Inputs!$D$102,Forecast!K30,Forecast!K35,Forecast!K43,Forecast!K58)</f>
        <v>150</v>
      </c>
      <c r="L15" s="12" t="n">
        <f aca="false">Inputs!$B$102+Inputs!$C$102/1000*CHOOSE(Inputs!$D$102,Forecast!L30,Forecast!L35,Forecast!L43,Forecast!L58)</f>
        <v>150</v>
      </c>
      <c r="M15" s="12" t="n">
        <f aca="false">Inputs!$B$102+Inputs!$C$102/1000*CHOOSE(Inputs!$D$102,Forecast!M30,Forecast!M35,Forecast!M43,Forecast!M58)</f>
        <v>150</v>
      </c>
      <c r="N15" s="12" t="n">
        <f aca="false">Inputs!$B$102+Inputs!$C$102/1000*CHOOSE(Inputs!$D$102,Forecast!N30,Forecast!N35,Forecast!N43,Forecast!N58)</f>
        <v>150</v>
      </c>
      <c r="O15" s="12" t="n">
        <f aca="false">Inputs!$B$102+Inputs!$C$102/1000*CHOOSE(Inputs!$D$102,Forecast!O30,Forecast!O35,Forecast!O43,Forecast!O58)</f>
        <v>150</v>
      </c>
      <c r="P15" s="12" t="n">
        <f aca="false">Inputs!$B$102+Inputs!$C$102/1000*CHOOSE(Inputs!$D$102,Forecast!P30,Forecast!P35,Forecast!P43,Forecast!P58)</f>
        <v>150</v>
      </c>
      <c r="Q15" s="12" t="n">
        <f aca="false">Inputs!$B$102+Inputs!$C$102/1000*CHOOSE(Inputs!$D$102,Forecast!Q30,Forecast!Q35,Forecast!Q43,Forecast!Q58)</f>
        <v>150</v>
      </c>
      <c r="R15" s="12" t="n">
        <f aca="false">Inputs!$B$102+Inputs!$C$102/1000*CHOOSE(Inputs!$D$102,Forecast!R30,Forecast!R35,Forecast!R43,Forecast!R58)</f>
        <v>150</v>
      </c>
      <c r="S15" s="12" t="n">
        <f aca="false">Inputs!$B$102+Inputs!$C$102/1000*CHOOSE(Inputs!$D$102,Forecast!S30,Forecast!S35,Forecast!S43,Forecast!S58)</f>
        <v>150</v>
      </c>
      <c r="T15" s="12" t="n">
        <f aca="false">Inputs!$B$102+Inputs!$C$102/1000*CHOOSE(Inputs!$D$102,Forecast!T30,Forecast!T35,Forecast!T43,Forecast!T58)</f>
        <v>150</v>
      </c>
      <c r="U15" s="12" t="n">
        <f aca="false">Inputs!$B$102+Inputs!$C$102/1000*CHOOSE(Inputs!$D$102,Forecast!U30,Forecast!U35,Forecast!U43,Forecast!U58)</f>
        <v>150</v>
      </c>
      <c r="V15" s="12" t="n">
        <f aca="false">Inputs!$B$102+Inputs!$C$102/1000*CHOOSE(Inputs!$D$102,Forecast!V30,Forecast!V35,Forecast!V43,Forecast!V58)</f>
        <v>150</v>
      </c>
      <c r="W15" s="12" t="n">
        <f aca="false">Inputs!$B$102+Inputs!$C$102/1000*CHOOSE(Inputs!$D$102,Forecast!W30,Forecast!W35,Forecast!W43,Forecast!W58)</f>
        <v>150</v>
      </c>
      <c r="X15" s="12" t="n">
        <f aca="false">Inputs!$B$102+Inputs!$C$102/1000*CHOOSE(Inputs!$D$102,Forecast!X30,Forecast!X35,Forecast!X43,Forecast!X58)</f>
        <v>150</v>
      </c>
      <c r="Y15" s="12" t="n">
        <f aca="false">Inputs!$B$102+Inputs!$C$102/1000*CHOOSE(Inputs!$D$102,Forecast!Y30,Forecast!Y35,Forecast!Y43,Forecast!Y58)</f>
        <v>150</v>
      </c>
      <c r="Z15" s="12" t="n">
        <f aca="false">Inputs!$B$102+Inputs!$C$102/1000*CHOOSE(Inputs!$D$102,Forecast!Z30,Forecast!Z35,Forecast!Z43,Forecast!Z58)</f>
        <v>150</v>
      </c>
      <c r="AA15" s="12" t="n">
        <f aca="false">Inputs!$B$102+Inputs!$C$102/1000*CHOOSE(Inputs!$D$102,Forecast!AA30,Forecast!AA35,Forecast!AA43,Forecast!AA58)</f>
        <v>150</v>
      </c>
      <c r="AB15" s="12" t="n">
        <f aca="false">Inputs!$B$102+Inputs!$C$102/1000*CHOOSE(Inputs!$D$102,Forecast!AB30,Forecast!AB35,Forecast!AB43,Forecast!AB58)</f>
        <v>150</v>
      </c>
      <c r="AC15" s="12" t="n">
        <f aca="false">Inputs!$B$102+Inputs!$C$102/1000*CHOOSE(Inputs!$D$102,Forecast!AC30,Forecast!AC35,Forecast!AC43,Forecast!AC58)</f>
        <v>150</v>
      </c>
      <c r="AD15" s="12" t="n">
        <f aca="false">Inputs!$B$102+Inputs!$C$102/1000*CHOOSE(Inputs!$D$102,Forecast!AD30,Forecast!AD35,Forecast!AD43,Forecast!AD58)</f>
        <v>150</v>
      </c>
      <c r="AE15" s="12" t="n">
        <f aca="false">Inputs!$B$102+Inputs!$C$102/1000*CHOOSE(Inputs!$D$102,Forecast!AE30,Forecast!AE35,Forecast!AE43,Forecast!AE58)</f>
        <v>150</v>
      </c>
      <c r="AF15" s="12" t="n">
        <f aca="false">Inputs!$B$102+Inputs!$C$102/1000*CHOOSE(Inputs!$D$102,Forecast!AF30,Forecast!AF35,Forecast!AF43,Forecast!AF58)</f>
        <v>150</v>
      </c>
      <c r="AG15" s="12" t="n">
        <f aca="false">Inputs!$B$102+Inputs!$C$102/1000*CHOOSE(Inputs!$D$102,Forecast!AG30,Forecast!AG35,Forecast!AG43,Forecast!AG58)</f>
        <v>150</v>
      </c>
      <c r="AH15" s="12" t="n">
        <f aca="false">Inputs!$B$102+Inputs!$C$102/1000*CHOOSE(Inputs!$D$102,Forecast!AH30,Forecast!AH35,Forecast!AH43,Forecast!AH58)</f>
        <v>150</v>
      </c>
      <c r="AI15" s="12" t="n">
        <f aca="false">Inputs!$B$102+Inputs!$C$102/1000*CHOOSE(Inputs!$D$102,Forecast!AI30,Forecast!AI35,Forecast!AI43,Forecast!AI58)</f>
        <v>150</v>
      </c>
      <c r="AJ15" s="12" t="n">
        <f aca="false">Inputs!$B$102+Inputs!$C$102/1000*CHOOSE(Inputs!$D$102,Forecast!AJ30,Forecast!AJ35,Forecast!AJ43,Forecast!AJ58)</f>
        <v>150</v>
      </c>
      <c r="AK15" s="12" t="n">
        <f aca="false">Inputs!$B$102+Inputs!$C$102/1000*CHOOSE(Inputs!$D$102,Forecast!AK30,Forecast!AK35,Forecast!AK43,Forecast!AK58)</f>
        <v>150</v>
      </c>
      <c r="AL15" s="12" t="n">
        <f aca="false">Inputs!$B$102+Inputs!$C$102/1000*CHOOSE(Inputs!$D$102,Forecast!AL30,Forecast!AL35,Forecast!AL43,Forecast!AL58)</f>
        <v>150</v>
      </c>
      <c r="AM15" s="12" t="n">
        <f aca="false">Inputs!$B$102+Inputs!$C$102/1000*CHOOSE(Inputs!$D$102,Forecast!AM30,Forecast!AM35,Forecast!AM43,Forecast!AM58)</f>
        <v>150</v>
      </c>
    </row>
    <row r="16" customFormat="false" ht="15" hidden="false" customHeight="false" outlineLevel="0" collapsed="false">
      <c r="A16" s="6" t="str">
        <f aca="false">Inputs!A103</f>
        <v>Insurance (GL + cyber)</v>
      </c>
      <c r="B16" s="11" t="n">
        <f aca="false">Inputs!D103</f>
        <v>1</v>
      </c>
      <c r="D16" s="12" t="n">
        <f aca="false">Inputs!$B$103+Inputs!$C$103/1000*CHOOSE(Inputs!$D$103,Forecast!D30,Forecast!D35,Forecast!D43,Forecast!D58)</f>
        <v>95</v>
      </c>
      <c r="E16" s="12" t="n">
        <f aca="false">Inputs!$B$103+Inputs!$C$103/1000*CHOOSE(Inputs!$D$103,Forecast!E30,Forecast!E35,Forecast!E43,Forecast!E58)</f>
        <v>95</v>
      </c>
      <c r="F16" s="12" t="n">
        <f aca="false">Inputs!$B$103+Inputs!$C$103/1000*CHOOSE(Inputs!$D$103,Forecast!F30,Forecast!F35,Forecast!F43,Forecast!F58)</f>
        <v>95</v>
      </c>
      <c r="G16" s="12" t="n">
        <f aca="false">Inputs!$B$103+Inputs!$C$103/1000*CHOOSE(Inputs!$D$103,Forecast!G30,Forecast!G35,Forecast!G43,Forecast!G58)</f>
        <v>95</v>
      </c>
      <c r="H16" s="12" t="n">
        <f aca="false">Inputs!$B$103+Inputs!$C$103/1000*CHOOSE(Inputs!$D$103,Forecast!H30,Forecast!H35,Forecast!H43,Forecast!H58)</f>
        <v>95</v>
      </c>
      <c r="I16" s="12" t="n">
        <f aca="false">Inputs!$B$103+Inputs!$C$103/1000*CHOOSE(Inputs!$D$103,Forecast!I30,Forecast!I35,Forecast!I43,Forecast!I58)</f>
        <v>95</v>
      </c>
      <c r="J16" s="12" t="n">
        <f aca="false">Inputs!$B$103+Inputs!$C$103/1000*CHOOSE(Inputs!$D$103,Forecast!J30,Forecast!J35,Forecast!J43,Forecast!J58)</f>
        <v>95</v>
      </c>
      <c r="K16" s="12" t="n">
        <f aca="false">Inputs!$B$103+Inputs!$C$103/1000*CHOOSE(Inputs!$D$103,Forecast!K30,Forecast!K35,Forecast!K43,Forecast!K58)</f>
        <v>95</v>
      </c>
      <c r="L16" s="12" t="n">
        <f aca="false">Inputs!$B$103+Inputs!$C$103/1000*CHOOSE(Inputs!$D$103,Forecast!L30,Forecast!L35,Forecast!L43,Forecast!L58)</f>
        <v>95</v>
      </c>
      <c r="M16" s="12" t="n">
        <f aca="false">Inputs!$B$103+Inputs!$C$103/1000*CHOOSE(Inputs!$D$103,Forecast!M30,Forecast!M35,Forecast!M43,Forecast!M58)</f>
        <v>95</v>
      </c>
      <c r="N16" s="12" t="n">
        <f aca="false">Inputs!$B$103+Inputs!$C$103/1000*CHOOSE(Inputs!$D$103,Forecast!N30,Forecast!N35,Forecast!N43,Forecast!N58)</f>
        <v>95</v>
      </c>
      <c r="O16" s="12" t="n">
        <f aca="false">Inputs!$B$103+Inputs!$C$103/1000*CHOOSE(Inputs!$D$103,Forecast!O30,Forecast!O35,Forecast!O43,Forecast!O58)</f>
        <v>95</v>
      </c>
      <c r="P16" s="12" t="n">
        <f aca="false">Inputs!$B$103+Inputs!$C$103/1000*CHOOSE(Inputs!$D$103,Forecast!P30,Forecast!P35,Forecast!P43,Forecast!P58)</f>
        <v>95</v>
      </c>
      <c r="Q16" s="12" t="n">
        <f aca="false">Inputs!$B$103+Inputs!$C$103/1000*CHOOSE(Inputs!$D$103,Forecast!Q30,Forecast!Q35,Forecast!Q43,Forecast!Q58)</f>
        <v>95</v>
      </c>
      <c r="R16" s="12" t="n">
        <f aca="false">Inputs!$B$103+Inputs!$C$103/1000*CHOOSE(Inputs!$D$103,Forecast!R30,Forecast!R35,Forecast!R43,Forecast!R58)</f>
        <v>95</v>
      </c>
      <c r="S16" s="12" t="n">
        <f aca="false">Inputs!$B$103+Inputs!$C$103/1000*CHOOSE(Inputs!$D$103,Forecast!S30,Forecast!S35,Forecast!S43,Forecast!S58)</f>
        <v>95</v>
      </c>
      <c r="T16" s="12" t="n">
        <f aca="false">Inputs!$B$103+Inputs!$C$103/1000*CHOOSE(Inputs!$D$103,Forecast!T30,Forecast!T35,Forecast!T43,Forecast!T58)</f>
        <v>95</v>
      </c>
      <c r="U16" s="12" t="n">
        <f aca="false">Inputs!$B$103+Inputs!$C$103/1000*CHOOSE(Inputs!$D$103,Forecast!U30,Forecast!U35,Forecast!U43,Forecast!U58)</f>
        <v>95</v>
      </c>
      <c r="V16" s="12" t="n">
        <f aca="false">Inputs!$B$103+Inputs!$C$103/1000*CHOOSE(Inputs!$D$103,Forecast!V30,Forecast!V35,Forecast!V43,Forecast!V58)</f>
        <v>95</v>
      </c>
      <c r="W16" s="12" t="n">
        <f aca="false">Inputs!$B$103+Inputs!$C$103/1000*CHOOSE(Inputs!$D$103,Forecast!W30,Forecast!W35,Forecast!W43,Forecast!W58)</f>
        <v>95</v>
      </c>
      <c r="X16" s="12" t="n">
        <f aca="false">Inputs!$B$103+Inputs!$C$103/1000*CHOOSE(Inputs!$D$103,Forecast!X30,Forecast!X35,Forecast!X43,Forecast!X58)</f>
        <v>95</v>
      </c>
      <c r="Y16" s="12" t="n">
        <f aca="false">Inputs!$B$103+Inputs!$C$103/1000*CHOOSE(Inputs!$D$103,Forecast!Y30,Forecast!Y35,Forecast!Y43,Forecast!Y58)</f>
        <v>95</v>
      </c>
      <c r="Z16" s="12" t="n">
        <f aca="false">Inputs!$B$103+Inputs!$C$103/1000*CHOOSE(Inputs!$D$103,Forecast!Z30,Forecast!Z35,Forecast!Z43,Forecast!Z58)</f>
        <v>95</v>
      </c>
      <c r="AA16" s="12" t="n">
        <f aca="false">Inputs!$B$103+Inputs!$C$103/1000*CHOOSE(Inputs!$D$103,Forecast!AA30,Forecast!AA35,Forecast!AA43,Forecast!AA58)</f>
        <v>95</v>
      </c>
      <c r="AB16" s="12" t="n">
        <f aca="false">Inputs!$B$103+Inputs!$C$103/1000*CHOOSE(Inputs!$D$103,Forecast!AB30,Forecast!AB35,Forecast!AB43,Forecast!AB58)</f>
        <v>95</v>
      </c>
      <c r="AC16" s="12" t="n">
        <f aca="false">Inputs!$B$103+Inputs!$C$103/1000*CHOOSE(Inputs!$D$103,Forecast!AC30,Forecast!AC35,Forecast!AC43,Forecast!AC58)</f>
        <v>95</v>
      </c>
      <c r="AD16" s="12" t="n">
        <f aca="false">Inputs!$B$103+Inputs!$C$103/1000*CHOOSE(Inputs!$D$103,Forecast!AD30,Forecast!AD35,Forecast!AD43,Forecast!AD58)</f>
        <v>95</v>
      </c>
      <c r="AE16" s="12" t="n">
        <f aca="false">Inputs!$B$103+Inputs!$C$103/1000*CHOOSE(Inputs!$D$103,Forecast!AE30,Forecast!AE35,Forecast!AE43,Forecast!AE58)</f>
        <v>95</v>
      </c>
      <c r="AF16" s="12" t="n">
        <f aca="false">Inputs!$B$103+Inputs!$C$103/1000*CHOOSE(Inputs!$D$103,Forecast!AF30,Forecast!AF35,Forecast!AF43,Forecast!AF58)</f>
        <v>95</v>
      </c>
      <c r="AG16" s="12" t="n">
        <f aca="false">Inputs!$B$103+Inputs!$C$103/1000*CHOOSE(Inputs!$D$103,Forecast!AG30,Forecast!AG35,Forecast!AG43,Forecast!AG58)</f>
        <v>95</v>
      </c>
      <c r="AH16" s="12" t="n">
        <f aca="false">Inputs!$B$103+Inputs!$C$103/1000*CHOOSE(Inputs!$D$103,Forecast!AH30,Forecast!AH35,Forecast!AH43,Forecast!AH58)</f>
        <v>95</v>
      </c>
      <c r="AI16" s="12" t="n">
        <f aca="false">Inputs!$B$103+Inputs!$C$103/1000*CHOOSE(Inputs!$D$103,Forecast!AI30,Forecast!AI35,Forecast!AI43,Forecast!AI58)</f>
        <v>95</v>
      </c>
      <c r="AJ16" s="12" t="n">
        <f aca="false">Inputs!$B$103+Inputs!$C$103/1000*CHOOSE(Inputs!$D$103,Forecast!AJ30,Forecast!AJ35,Forecast!AJ43,Forecast!AJ58)</f>
        <v>95</v>
      </c>
      <c r="AK16" s="12" t="n">
        <f aca="false">Inputs!$B$103+Inputs!$C$103/1000*CHOOSE(Inputs!$D$103,Forecast!AK30,Forecast!AK35,Forecast!AK43,Forecast!AK58)</f>
        <v>95</v>
      </c>
      <c r="AL16" s="12" t="n">
        <f aca="false">Inputs!$B$103+Inputs!$C$103/1000*CHOOSE(Inputs!$D$103,Forecast!AL30,Forecast!AL35,Forecast!AL43,Forecast!AL58)</f>
        <v>95</v>
      </c>
      <c r="AM16" s="12" t="n">
        <f aca="false">Inputs!$B$103+Inputs!$C$103/1000*CHOOSE(Inputs!$D$103,Forecast!AM30,Forecast!AM35,Forecast!AM43,Forecast!AM58)</f>
        <v>95</v>
      </c>
    </row>
    <row r="17" customFormat="false" ht="15" hidden="false" customHeight="false" outlineLevel="0" collapsed="false">
      <c r="A17" s="6" t="str">
        <f aca="false">Inputs!A104</f>
        <v>Support (helpdesk + hourly help)</v>
      </c>
      <c r="B17" s="11" t="n">
        <f aca="false">Inputs!D104</f>
        <v>3</v>
      </c>
      <c r="D17" s="12" t="n">
        <f aca="false">Inputs!$B$104+Inputs!$C$104/1000*CHOOSE(Inputs!$D$104,Forecast!D30,Forecast!D35,Forecast!D43,Forecast!D58)</f>
        <v>163.188569251337</v>
      </c>
      <c r="E17" s="12" t="n">
        <f aca="false">Inputs!$B$104+Inputs!$C$104/1000*CHOOSE(Inputs!$D$104,Forecast!E30,Forecast!E35,Forecast!E43,Forecast!E58)</f>
        <v>266.034979494146</v>
      </c>
      <c r="F17" s="12" t="n">
        <f aca="false">Inputs!$B$104+Inputs!$C$104/1000*CHOOSE(Inputs!$D$104,Forecast!F30,Forecast!F35,Forecast!F43,Forecast!F58)</f>
        <v>107.18416004055</v>
      </c>
      <c r="G17" s="12" t="n">
        <f aca="false">Inputs!$B$104+Inputs!$C$104/1000*CHOOSE(Inputs!$D$104,Forecast!G30,Forecast!G35,Forecast!G43,Forecast!G58)</f>
        <v>190.207466172674</v>
      </c>
      <c r="H17" s="12" t="n">
        <f aca="false">Inputs!$B$104+Inputs!$C$104/1000*CHOOSE(Inputs!$D$104,Forecast!H30,Forecast!H35,Forecast!H43,Forecast!H58)</f>
        <v>133.202595413477</v>
      </c>
      <c r="I17" s="12" t="n">
        <f aca="false">Inputs!$B$104+Inputs!$C$104/1000*CHOOSE(Inputs!$D$104,Forecast!I30,Forecast!I35,Forecast!I43,Forecast!I58)</f>
        <v>144.121276662944</v>
      </c>
      <c r="J17" s="12" t="n">
        <f aca="false">Inputs!$B$104+Inputs!$C$104/1000*CHOOSE(Inputs!$D$104,Forecast!J30,Forecast!J35,Forecast!J43,Forecast!J58)</f>
        <v>231.791388387763</v>
      </c>
      <c r="K17" s="12" t="n">
        <f aca="false">Inputs!$B$104+Inputs!$C$104/1000*CHOOSE(Inputs!$D$104,Forecast!K30,Forecast!K35,Forecast!K43,Forecast!K58)</f>
        <v>179.946608719841</v>
      </c>
      <c r="L17" s="12" t="n">
        <f aca="false">Inputs!$B$104+Inputs!$C$104/1000*CHOOSE(Inputs!$D$104,Forecast!L30,Forecast!L35,Forecast!L43,Forecast!L58)</f>
        <v>152.748743154161</v>
      </c>
      <c r="M17" s="12" t="n">
        <f aca="false">Inputs!$B$104+Inputs!$C$104/1000*CHOOSE(Inputs!$D$104,Forecast!M30,Forecast!M35,Forecast!M43,Forecast!M58)</f>
        <v>165.320363068411</v>
      </c>
      <c r="N17" s="12" t="n">
        <f aca="false">Inputs!$B$104+Inputs!$C$104/1000*CHOOSE(Inputs!$D$104,Forecast!N30,Forecast!N35,Forecast!N43,Forecast!N58)</f>
        <v>179.052807325284</v>
      </c>
      <c r="O17" s="12" t="n">
        <f aca="false">Inputs!$B$104+Inputs!$C$104/1000*CHOOSE(Inputs!$D$104,Forecast!O30,Forecast!O35,Forecast!O43,Forecast!O58)</f>
        <v>193.874333394459</v>
      </c>
      <c r="P17" s="12" t="n">
        <f aca="false">Inputs!$B$104+Inputs!$C$104/1000*CHOOSE(Inputs!$D$104,Forecast!P30,Forecast!P35,Forecast!P43,Forecast!P58)</f>
        <v>263.068914037441</v>
      </c>
      <c r="Q17" s="12" t="n">
        <f aca="false">Inputs!$B$104+Inputs!$C$104/1000*CHOOSE(Inputs!$D$104,Forecast!Q30,Forecast!Q35,Forecast!Q43,Forecast!Q58)</f>
        <v>429.404159186365</v>
      </c>
      <c r="R17" s="12" t="n">
        <f aca="false">Inputs!$B$104+Inputs!$C$104/1000*CHOOSE(Inputs!$D$104,Forecast!R30,Forecast!R35,Forecast!R43,Forecast!R58)</f>
        <v>157.744259197641</v>
      </c>
      <c r="S17" s="12" t="n">
        <f aca="false">Inputs!$B$104+Inputs!$C$104/1000*CHOOSE(Inputs!$D$104,Forecast!S30,Forecast!S35,Forecast!S43,Forecast!S58)</f>
        <v>294.284146480774</v>
      </c>
      <c r="T17" s="12" t="n">
        <f aca="false">Inputs!$B$104+Inputs!$C$104/1000*CHOOSE(Inputs!$D$104,Forecast!T30,Forecast!T35,Forecast!T43,Forecast!T58)</f>
        <v>197.070149676742</v>
      </c>
      <c r="U17" s="12" t="n">
        <f aca="false">Inputs!$B$104+Inputs!$C$104/1000*CHOOSE(Inputs!$D$104,Forecast!U30,Forecast!U35,Forecast!U43,Forecast!U58)</f>
        <v>212.398065899622</v>
      </c>
      <c r="V17" s="12" t="n">
        <f aca="false">Inputs!$B$104+Inputs!$C$104/1000*CHOOSE(Inputs!$D$104,Forecast!V30,Forecast!V35,Forecast!V43,Forecast!V58)</f>
        <v>347.197247850587</v>
      </c>
      <c r="W17" s="12" t="n">
        <f aca="false">Inputs!$B$104+Inputs!$C$104/1000*CHOOSE(Inputs!$D$104,Forecast!W30,Forecast!W35,Forecast!W43,Forecast!W58)</f>
        <v>262.691542678805</v>
      </c>
      <c r="X17" s="12" t="n">
        <f aca="false">Inputs!$B$104+Inputs!$C$104/1000*CHOOSE(Inputs!$D$104,Forecast!X30,Forecast!X35,Forecast!X43,Forecast!X58)</f>
        <v>217.699672335856</v>
      </c>
      <c r="Y17" s="12" t="n">
        <f aca="false">Inputs!$B$104+Inputs!$C$104/1000*CHOOSE(Inputs!$D$104,Forecast!Y30,Forecast!Y35,Forecast!Y43,Forecast!Y58)</f>
        <v>234.481420458618</v>
      </c>
      <c r="Z17" s="12" t="n">
        <f aca="false">Inputs!$B$104+Inputs!$C$104/1000*CHOOSE(Inputs!$D$104,Forecast!Z30,Forecast!Z35,Forecast!Z43,Forecast!Z58)</f>
        <v>252.501982498175</v>
      </c>
      <c r="AA17" s="12" t="n">
        <f aca="false">Inputs!$B$104+Inputs!$C$104/1000*CHOOSE(Inputs!$D$104,Forecast!AA30,Forecast!AA35,Forecast!AA43,Forecast!AA58)</f>
        <v>271.614707363323</v>
      </c>
      <c r="AB17" s="12" t="n">
        <f aca="false">Inputs!$B$104+Inputs!$C$104/1000*CHOOSE(Inputs!$D$104,Forecast!AB30,Forecast!AB35,Forecast!AB43,Forecast!AB58)</f>
        <v>368.076018084794</v>
      </c>
      <c r="AC17" s="12" t="n">
        <f aca="false">Inputs!$B$104+Inputs!$C$104/1000*CHOOSE(Inputs!$D$104,Forecast!AC30,Forecast!AC35,Forecast!AC43,Forecast!AC58)</f>
        <v>594.647457903285</v>
      </c>
      <c r="AD17" s="12" t="n">
        <f aca="false">Inputs!$B$104+Inputs!$C$104/1000*CHOOSE(Inputs!$D$104,Forecast!AD30,Forecast!AD35,Forecast!AD43,Forecast!AD58)</f>
        <v>210.957447247242</v>
      </c>
      <c r="AE17" s="12" t="n">
        <f aca="false">Inputs!$B$104+Inputs!$C$104/1000*CHOOSE(Inputs!$D$104,Forecast!AE30,Forecast!AE35,Forecast!AE43,Forecast!AE58)</f>
        <v>399.27243614974</v>
      </c>
      <c r="AF17" s="12" t="n">
        <f aca="false">Inputs!$B$104+Inputs!$C$104/1000*CHOOSE(Inputs!$D$104,Forecast!AF30,Forecast!AF35,Forecast!AF43,Forecast!AF58)</f>
        <v>262.352992093024</v>
      </c>
      <c r="AG17" s="12" t="n">
        <f aca="false">Inputs!$B$104+Inputs!$C$104/1000*CHOOSE(Inputs!$D$104,Forecast!AG30,Forecast!AG35,Forecast!AG43,Forecast!AG58)</f>
        <v>281.442018260405</v>
      </c>
      <c r="AH17" s="12" t="n">
        <f aca="false">Inputs!$B$104+Inputs!$C$104/1000*CHOOSE(Inputs!$D$104,Forecast!AH30,Forecast!AH35,Forecast!AH43,Forecast!AH58)</f>
        <v>459.782241003274</v>
      </c>
      <c r="AI17" s="12" t="n">
        <f aca="false">Inputs!$B$104+Inputs!$C$104/1000*CHOOSE(Inputs!$D$104,Forecast!AI30,Forecast!AI35,Forecast!AI43,Forecast!AI58)</f>
        <v>344.293347662063</v>
      </c>
      <c r="AJ17" s="12" t="n">
        <f aca="false">Inputs!$B$104+Inputs!$C$104/1000*CHOOSE(Inputs!$D$104,Forecast!AJ30,Forecast!AJ35,Forecast!AJ43,Forecast!AJ58)</f>
        <v>282.172619753461</v>
      </c>
      <c r="AK17" s="12" t="n">
        <f aca="false">Inputs!$B$104+Inputs!$C$104/1000*CHOOSE(Inputs!$D$104,Forecast!AK30,Forecast!AK35,Forecast!AK43,Forecast!AK58)</f>
        <v>302.661898354861</v>
      </c>
      <c r="AL17" s="12" t="n">
        <f aca="false">Inputs!$B$104+Inputs!$C$104/1000*CHOOSE(Inputs!$D$104,Forecast!AL30,Forecast!AL35,Forecast!AL43,Forecast!AL58)</f>
        <v>324.451987485172</v>
      </c>
      <c r="AM17" s="12" t="n">
        <f aca="false">Inputs!$B$104+Inputs!$C$104/1000*CHOOSE(Inputs!$D$104,Forecast!AM30,Forecast!AM35,Forecast!AM43,Forecast!AM58)</f>
        <v>347.329605784947</v>
      </c>
    </row>
    <row r="18" customFormat="false" ht="15" hidden="false" customHeight="false" outlineLevel="0" collapsed="false">
      <c r="A18" s="6" t="str">
        <f aca="false">Inputs!A105</f>
        <v>Founder / contractor pay (optional)</v>
      </c>
      <c r="B18" s="11" t="n">
        <f aca="false">Inputs!D105</f>
        <v>1</v>
      </c>
      <c r="D18" s="12" t="n">
        <f aca="false">Inputs!$B$105+Inputs!$C$105/1000*CHOOSE(Inputs!$D$105,Forecast!D30,Forecast!D35,Forecast!D43,Forecast!D58)</f>
        <v>0</v>
      </c>
      <c r="E18" s="12" t="n">
        <f aca="false">Inputs!$B$105+Inputs!$C$105/1000*CHOOSE(Inputs!$D$105,Forecast!E30,Forecast!E35,Forecast!E43,Forecast!E58)</f>
        <v>0</v>
      </c>
      <c r="F18" s="12" t="n">
        <f aca="false">Inputs!$B$105+Inputs!$C$105/1000*CHOOSE(Inputs!$D$105,Forecast!F30,Forecast!F35,Forecast!F43,Forecast!F58)</f>
        <v>0</v>
      </c>
      <c r="G18" s="12" t="n">
        <f aca="false">Inputs!$B$105+Inputs!$C$105/1000*CHOOSE(Inputs!$D$105,Forecast!G30,Forecast!G35,Forecast!G43,Forecast!G58)</f>
        <v>0</v>
      </c>
      <c r="H18" s="12" t="n">
        <f aca="false">Inputs!$B$105+Inputs!$C$105/1000*CHOOSE(Inputs!$D$105,Forecast!H30,Forecast!H35,Forecast!H43,Forecast!H58)</f>
        <v>0</v>
      </c>
      <c r="I18" s="12" t="n">
        <f aca="false">Inputs!$B$105+Inputs!$C$105/1000*CHOOSE(Inputs!$D$105,Forecast!I30,Forecast!I35,Forecast!I43,Forecast!I58)</f>
        <v>0</v>
      </c>
      <c r="J18" s="12" t="n">
        <f aca="false">Inputs!$B$105+Inputs!$C$105/1000*CHOOSE(Inputs!$D$105,Forecast!J30,Forecast!J35,Forecast!J43,Forecast!J58)</f>
        <v>0</v>
      </c>
      <c r="K18" s="12" t="n">
        <f aca="false">Inputs!$B$105+Inputs!$C$105/1000*CHOOSE(Inputs!$D$105,Forecast!K30,Forecast!K35,Forecast!K43,Forecast!K58)</f>
        <v>0</v>
      </c>
      <c r="L18" s="12" t="n">
        <f aca="false">Inputs!$B$105+Inputs!$C$105/1000*CHOOSE(Inputs!$D$105,Forecast!L30,Forecast!L35,Forecast!L43,Forecast!L58)</f>
        <v>0</v>
      </c>
      <c r="M18" s="12" t="n">
        <f aca="false">Inputs!$B$105+Inputs!$C$105/1000*CHOOSE(Inputs!$D$105,Forecast!M30,Forecast!M35,Forecast!M43,Forecast!M58)</f>
        <v>0</v>
      </c>
      <c r="N18" s="12" t="n">
        <f aca="false">Inputs!$B$105+Inputs!$C$105/1000*CHOOSE(Inputs!$D$105,Forecast!N30,Forecast!N35,Forecast!N43,Forecast!N58)</f>
        <v>0</v>
      </c>
      <c r="O18" s="12" t="n">
        <f aca="false">Inputs!$B$105+Inputs!$C$105/1000*CHOOSE(Inputs!$D$105,Forecast!O30,Forecast!O35,Forecast!O43,Forecast!O58)</f>
        <v>0</v>
      </c>
      <c r="P18" s="12" t="n">
        <f aca="false">Inputs!$B$105+Inputs!$C$105/1000*CHOOSE(Inputs!$D$105,Forecast!P30,Forecast!P35,Forecast!P43,Forecast!P58)</f>
        <v>0</v>
      </c>
      <c r="Q18" s="12" t="n">
        <f aca="false">Inputs!$B$105+Inputs!$C$105/1000*CHOOSE(Inputs!$D$105,Forecast!Q30,Forecast!Q35,Forecast!Q43,Forecast!Q58)</f>
        <v>0</v>
      </c>
      <c r="R18" s="12" t="n">
        <f aca="false">Inputs!$B$105+Inputs!$C$105/1000*CHOOSE(Inputs!$D$105,Forecast!R30,Forecast!R35,Forecast!R43,Forecast!R58)</f>
        <v>0</v>
      </c>
      <c r="S18" s="12" t="n">
        <f aca="false">Inputs!$B$105+Inputs!$C$105/1000*CHOOSE(Inputs!$D$105,Forecast!S30,Forecast!S35,Forecast!S43,Forecast!S58)</f>
        <v>0</v>
      </c>
      <c r="T18" s="12" t="n">
        <f aca="false">Inputs!$B$105+Inputs!$C$105/1000*CHOOSE(Inputs!$D$105,Forecast!T30,Forecast!T35,Forecast!T43,Forecast!T58)</f>
        <v>0</v>
      </c>
      <c r="U18" s="12" t="n">
        <f aca="false">Inputs!$B$105+Inputs!$C$105/1000*CHOOSE(Inputs!$D$105,Forecast!U30,Forecast!U35,Forecast!U43,Forecast!U58)</f>
        <v>0</v>
      </c>
      <c r="V18" s="12" t="n">
        <f aca="false">Inputs!$B$105+Inputs!$C$105/1000*CHOOSE(Inputs!$D$105,Forecast!V30,Forecast!V35,Forecast!V43,Forecast!V58)</f>
        <v>0</v>
      </c>
      <c r="W18" s="12" t="n">
        <f aca="false">Inputs!$B$105+Inputs!$C$105/1000*CHOOSE(Inputs!$D$105,Forecast!W30,Forecast!W35,Forecast!W43,Forecast!W58)</f>
        <v>0</v>
      </c>
      <c r="X18" s="12" t="n">
        <f aca="false">Inputs!$B$105+Inputs!$C$105/1000*CHOOSE(Inputs!$D$105,Forecast!X30,Forecast!X35,Forecast!X43,Forecast!X58)</f>
        <v>0</v>
      </c>
      <c r="Y18" s="12" t="n">
        <f aca="false">Inputs!$B$105+Inputs!$C$105/1000*CHOOSE(Inputs!$D$105,Forecast!Y30,Forecast!Y35,Forecast!Y43,Forecast!Y58)</f>
        <v>0</v>
      </c>
      <c r="Z18" s="12" t="n">
        <f aca="false">Inputs!$B$105+Inputs!$C$105/1000*CHOOSE(Inputs!$D$105,Forecast!Z30,Forecast!Z35,Forecast!Z43,Forecast!Z58)</f>
        <v>0</v>
      </c>
      <c r="AA18" s="12" t="n">
        <f aca="false">Inputs!$B$105+Inputs!$C$105/1000*CHOOSE(Inputs!$D$105,Forecast!AA30,Forecast!AA35,Forecast!AA43,Forecast!AA58)</f>
        <v>0</v>
      </c>
      <c r="AB18" s="12" t="n">
        <f aca="false">Inputs!$B$105+Inputs!$C$105/1000*CHOOSE(Inputs!$D$105,Forecast!AB30,Forecast!AB35,Forecast!AB43,Forecast!AB58)</f>
        <v>0</v>
      </c>
      <c r="AC18" s="12" t="n">
        <f aca="false">Inputs!$B$105+Inputs!$C$105/1000*CHOOSE(Inputs!$D$105,Forecast!AC30,Forecast!AC35,Forecast!AC43,Forecast!AC58)</f>
        <v>0</v>
      </c>
      <c r="AD18" s="12" t="n">
        <f aca="false">Inputs!$B$105+Inputs!$C$105/1000*CHOOSE(Inputs!$D$105,Forecast!AD30,Forecast!AD35,Forecast!AD43,Forecast!AD58)</f>
        <v>0</v>
      </c>
      <c r="AE18" s="12" t="n">
        <f aca="false">Inputs!$B$105+Inputs!$C$105/1000*CHOOSE(Inputs!$D$105,Forecast!AE30,Forecast!AE35,Forecast!AE43,Forecast!AE58)</f>
        <v>0</v>
      </c>
      <c r="AF18" s="12" t="n">
        <f aca="false">Inputs!$B$105+Inputs!$C$105/1000*CHOOSE(Inputs!$D$105,Forecast!AF30,Forecast!AF35,Forecast!AF43,Forecast!AF58)</f>
        <v>0</v>
      </c>
      <c r="AG18" s="12" t="n">
        <f aca="false">Inputs!$B$105+Inputs!$C$105/1000*CHOOSE(Inputs!$D$105,Forecast!AG30,Forecast!AG35,Forecast!AG43,Forecast!AG58)</f>
        <v>0</v>
      </c>
      <c r="AH18" s="12" t="n">
        <f aca="false">Inputs!$B$105+Inputs!$C$105/1000*CHOOSE(Inputs!$D$105,Forecast!AH30,Forecast!AH35,Forecast!AH43,Forecast!AH58)</f>
        <v>0</v>
      </c>
      <c r="AI18" s="12" t="n">
        <f aca="false">Inputs!$B$105+Inputs!$C$105/1000*CHOOSE(Inputs!$D$105,Forecast!AI30,Forecast!AI35,Forecast!AI43,Forecast!AI58)</f>
        <v>0</v>
      </c>
      <c r="AJ18" s="12" t="n">
        <f aca="false">Inputs!$B$105+Inputs!$C$105/1000*CHOOSE(Inputs!$D$105,Forecast!AJ30,Forecast!AJ35,Forecast!AJ43,Forecast!AJ58)</f>
        <v>0</v>
      </c>
      <c r="AK18" s="12" t="n">
        <f aca="false">Inputs!$B$105+Inputs!$C$105/1000*CHOOSE(Inputs!$D$105,Forecast!AK30,Forecast!AK35,Forecast!AK43,Forecast!AK58)</f>
        <v>0</v>
      </c>
      <c r="AL18" s="12" t="n">
        <f aca="false">Inputs!$B$105+Inputs!$C$105/1000*CHOOSE(Inputs!$D$105,Forecast!AL30,Forecast!AL35,Forecast!AL43,Forecast!AL58)</f>
        <v>0</v>
      </c>
      <c r="AM18" s="12" t="n">
        <f aca="false">Inputs!$B$105+Inputs!$C$105/1000*CHOOSE(Inputs!$D$105,Forecast!AM30,Forecast!AM35,Forecast!AM43,Forecast!AM58)</f>
        <v>0</v>
      </c>
    </row>
    <row r="19" customFormat="false" ht="15" hidden="false" customHeight="false" outlineLevel="0" collapsed="false">
      <c r="A19" s="3" t="s">
        <v>1054</v>
      </c>
      <c r="D19" s="8" t="n">
        <f aca="false">SUM(D7:D18)</f>
        <v>663.987951862785</v>
      </c>
      <c r="E19" s="8" t="n">
        <f aca="false">SUM(E7:E18)</f>
        <v>785.270692121586</v>
      </c>
      <c r="F19" s="8" t="n">
        <f aca="false">SUM(F7:F18)</f>
        <v>595.855473928629</v>
      </c>
      <c r="G19" s="8" t="n">
        <f aca="false">SUM(G7:G18)</f>
        <v>695.439327925164</v>
      </c>
      <c r="H19" s="8" t="n">
        <f aca="false">SUM(H7:H18)</f>
        <v>627.133440669764</v>
      </c>
      <c r="I19" s="8" t="n">
        <f aca="false">SUM(I7:I18)</f>
        <v>640.210336671243</v>
      </c>
      <c r="J19" s="8" t="n">
        <f aca="false">SUM(J7:J18)</f>
        <v>744.464998766519</v>
      </c>
      <c r="K19" s="8" t="n">
        <f aca="false">SUM(K7:K18)</f>
        <v>682.808806406808</v>
      </c>
      <c r="L19" s="8" t="n">
        <f aca="false">SUM(L7:L18)</f>
        <v>650.192096822962</v>
      </c>
      <c r="M19" s="8" t="n">
        <f aca="false">SUM(M7:M18)</f>
        <v>665.200092807063</v>
      </c>
      <c r="N19" s="8" t="n">
        <f aca="false">SUM(N7:N18)</f>
        <v>681.553651986479</v>
      </c>
      <c r="O19" s="8" t="n">
        <f aca="false">SUM(O7:O18)</f>
        <v>699.143199589378</v>
      </c>
      <c r="P19" s="8" t="n">
        <f aca="false">SUM(P7:P18)</f>
        <v>780.949026293054</v>
      </c>
      <c r="Q19" s="8" t="n">
        <f aca="false">SUM(Q7:Q18)</f>
        <v>975.22950716654</v>
      </c>
      <c r="R19" s="8" t="n">
        <f aca="false">SUM(R7:R18)</f>
        <v>655.341713139163</v>
      </c>
      <c r="S19" s="8" t="n">
        <f aca="false">SUM(S7:S18)</f>
        <v>816.859829767734</v>
      </c>
      <c r="T19" s="8" t="n">
        <f aca="false">SUM(T7:T18)</f>
        <v>701.92622755769</v>
      </c>
      <c r="U19" s="8" t="n">
        <f aca="false">SUM(U7:U18)</f>
        <v>720.010501635363</v>
      </c>
      <c r="V19" s="8" t="n">
        <f aca="false">SUM(V7:V18)</f>
        <v>878.539223501696</v>
      </c>
      <c r="W19" s="8" t="n">
        <f aca="false">SUM(W7:W18)</f>
        <v>779.102984729612</v>
      </c>
      <c r="X19" s="8" t="n">
        <f aca="false">SUM(X7:X18)</f>
        <v>725.792178777385</v>
      </c>
      <c r="Y19" s="8" t="n">
        <f aca="false">SUM(Y7:Y18)</f>
        <v>745.531102623226</v>
      </c>
      <c r="Z19" s="8" t="n">
        <f aca="false">SUM(Z7:Z18)</f>
        <v>766.69436992974</v>
      </c>
      <c r="AA19" s="8" t="n">
        <f aca="false">SUM(AA7:AA18)</f>
        <v>789.074703332521</v>
      </c>
      <c r="AB19" s="8" t="n">
        <f aca="false">SUM(AB7:AB18)</f>
        <v>901.968182152565</v>
      </c>
      <c r="AC19" s="8" t="n">
        <f aca="false">SUM(AC7:AC18)</f>
        <v>1164.71227168258</v>
      </c>
      <c r="AD19" s="8" t="n">
        <f aca="false">SUM(AD7:AD18)</f>
        <v>716.702113627308</v>
      </c>
      <c r="AE19" s="8" t="n">
        <f aca="false">SUM(AE7:AE18)</f>
        <v>937.180416058493</v>
      </c>
      <c r="AF19" s="8" t="n">
        <f aca="false">SUM(AF7:AF18)</f>
        <v>776.80853379043</v>
      </c>
      <c r="AG19" s="8" t="n">
        <f aca="false">SUM(AG7:AG18)</f>
        <v>799.025398221442</v>
      </c>
      <c r="AH19" s="8" t="n">
        <f aca="false">SUM(AH7:AH18)</f>
        <v>1006.88923809979</v>
      </c>
      <c r="AI19" s="8" t="n">
        <f aca="false">SUM(AI7:AI18)</f>
        <v>872.121253496975</v>
      </c>
      <c r="AJ19" s="8" t="n">
        <f aca="false">SUM(AJ7:AJ18)</f>
        <v>799.207855554834</v>
      </c>
      <c r="AK19" s="8" t="n">
        <f aca="false">SUM(AK7:AK18)</f>
        <v>823.016130907894</v>
      </c>
      <c r="AL19" s="8" t="n">
        <f aca="false">SUM(AL7:AL18)</f>
        <v>848.320993239313</v>
      </c>
      <c r="AM19" s="8" t="n">
        <f aca="false">SUM(AM7:AM18)</f>
        <v>874.827876467429</v>
      </c>
    </row>
    <row r="21" customFormat="false" ht="15" hidden="false" customHeight="false" outlineLevel="0" collapsed="false">
      <c r="A21" s="3" t="s">
        <v>1055</v>
      </c>
      <c r="D21" s="8" t="n">
        <f aca="false">IF(D5=1,SUM(Inputs!$B$109:$B$111),0)</f>
        <v>6000</v>
      </c>
      <c r="E21" s="8" t="n">
        <f aca="false">IF(E5=1,SUM(Inputs!$B$109:$B$111),0)</f>
        <v>0</v>
      </c>
      <c r="F21" s="8" t="n">
        <f aca="false">IF(F5=1,SUM(Inputs!$B$109:$B$111),0)</f>
        <v>0</v>
      </c>
      <c r="G21" s="8" t="n">
        <f aca="false">IF(G5=1,SUM(Inputs!$B$109:$B$111),0)</f>
        <v>0</v>
      </c>
      <c r="H21" s="8" t="n">
        <f aca="false">IF(H5=1,SUM(Inputs!$B$109:$B$111),0)</f>
        <v>0</v>
      </c>
      <c r="I21" s="8" t="n">
        <f aca="false">IF(I5=1,SUM(Inputs!$B$109:$B$111),0)</f>
        <v>0</v>
      </c>
      <c r="J21" s="8" t="n">
        <f aca="false">IF(J5=1,SUM(Inputs!$B$109:$B$111),0)</f>
        <v>0</v>
      </c>
      <c r="K21" s="8" t="n">
        <f aca="false">IF(K5=1,SUM(Inputs!$B$109:$B$111),0)</f>
        <v>0</v>
      </c>
      <c r="L21" s="8" t="n">
        <f aca="false">IF(L5=1,SUM(Inputs!$B$109:$B$111),0)</f>
        <v>0</v>
      </c>
      <c r="M21" s="8" t="n">
        <f aca="false">IF(M5=1,SUM(Inputs!$B$109:$B$111),0)</f>
        <v>0</v>
      </c>
      <c r="N21" s="8" t="n">
        <f aca="false">IF(N5=1,SUM(Inputs!$B$109:$B$111),0)</f>
        <v>0</v>
      </c>
      <c r="O21" s="8" t="n">
        <f aca="false">IF(O5=1,SUM(Inputs!$B$109:$B$111),0)</f>
        <v>0</v>
      </c>
      <c r="P21" s="8" t="n">
        <f aca="false">IF(P5=1,SUM(Inputs!$B$109:$B$111),0)</f>
        <v>0</v>
      </c>
      <c r="Q21" s="8" t="n">
        <f aca="false">IF(Q5=1,SUM(Inputs!$B$109:$B$111),0)</f>
        <v>0</v>
      </c>
      <c r="R21" s="8" t="n">
        <f aca="false">IF(R5=1,SUM(Inputs!$B$109:$B$111),0)</f>
        <v>0</v>
      </c>
      <c r="S21" s="8" t="n">
        <f aca="false">IF(S5=1,SUM(Inputs!$B$109:$B$111),0)</f>
        <v>0</v>
      </c>
      <c r="T21" s="8" t="n">
        <f aca="false">IF(T5=1,SUM(Inputs!$B$109:$B$111),0)</f>
        <v>0</v>
      </c>
      <c r="U21" s="8" t="n">
        <f aca="false">IF(U5=1,SUM(Inputs!$B$109:$B$111),0)</f>
        <v>0</v>
      </c>
      <c r="V21" s="8" t="n">
        <f aca="false">IF(V5=1,SUM(Inputs!$B$109:$B$111),0)</f>
        <v>0</v>
      </c>
      <c r="W21" s="8" t="n">
        <f aca="false">IF(W5=1,SUM(Inputs!$B$109:$B$111),0)</f>
        <v>0</v>
      </c>
      <c r="X21" s="8" t="n">
        <f aca="false">IF(X5=1,SUM(Inputs!$B$109:$B$111),0)</f>
        <v>0</v>
      </c>
      <c r="Y21" s="8" t="n">
        <f aca="false">IF(Y5=1,SUM(Inputs!$B$109:$B$111),0)</f>
        <v>0</v>
      </c>
      <c r="Z21" s="8" t="n">
        <f aca="false">IF(Z5=1,SUM(Inputs!$B$109:$B$111),0)</f>
        <v>0</v>
      </c>
      <c r="AA21" s="8" t="n">
        <f aca="false">IF(AA5=1,SUM(Inputs!$B$109:$B$111),0)</f>
        <v>0</v>
      </c>
      <c r="AB21" s="8" t="n">
        <f aca="false">IF(AB5=1,SUM(Inputs!$B$109:$B$111),0)</f>
        <v>0</v>
      </c>
      <c r="AC21" s="8" t="n">
        <f aca="false">IF(AC5=1,SUM(Inputs!$B$109:$B$111),0)</f>
        <v>0</v>
      </c>
      <c r="AD21" s="8" t="n">
        <f aca="false">IF(AD5=1,SUM(Inputs!$B$109:$B$111),0)</f>
        <v>0</v>
      </c>
      <c r="AE21" s="8" t="n">
        <f aca="false">IF(AE5=1,SUM(Inputs!$B$109:$B$111),0)</f>
        <v>0</v>
      </c>
      <c r="AF21" s="8" t="n">
        <f aca="false">IF(AF5=1,SUM(Inputs!$B$109:$B$111),0)</f>
        <v>0</v>
      </c>
      <c r="AG21" s="8" t="n">
        <f aca="false">IF(AG5=1,SUM(Inputs!$B$109:$B$111),0)</f>
        <v>0</v>
      </c>
      <c r="AH21" s="8" t="n">
        <f aca="false">IF(AH5=1,SUM(Inputs!$B$109:$B$111),0)</f>
        <v>0</v>
      </c>
      <c r="AI21" s="8" t="n">
        <f aca="false">IF(AI5=1,SUM(Inputs!$B$109:$B$111),0)</f>
        <v>0</v>
      </c>
      <c r="AJ21" s="8" t="n">
        <f aca="false">IF(AJ5=1,SUM(Inputs!$B$109:$B$111),0)</f>
        <v>0</v>
      </c>
      <c r="AK21" s="8" t="n">
        <f aca="false">IF(AK5=1,SUM(Inputs!$B$109:$B$111),0)</f>
        <v>0</v>
      </c>
      <c r="AL21" s="8" t="n">
        <f aca="false">IF(AL5=1,SUM(Inputs!$B$109:$B$111),0)</f>
        <v>0</v>
      </c>
      <c r="AM21" s="8" t="n">
        <f aca="false">IF(AM5=1,SUM(Inputs!$B$109:$B$111),0)</f>
        <v>0</v>
      </c>
    </row>
    <row r="23" customFormat="false" ht="15" hidden="false" customHeight="false" outlineLevel="0" collapsed="false">
      <c r="A23" s="23" t="s">
        <v>1056</v>
      </c>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4"/>
      <c r="AG23" s="24"/>
      <c r="AH23" s="24"/>
      <c r="AI23" s="24"/>
      <c r="AJ23" s="24"/>
      <c r="AK23" s="24"/>
      <c r="AL23" s="24"/>
      <c r="AM23" s="24"/>
    </row>
    <row r="24" customFormat="false" ht="15" hidden="false" customHeight="false" outlineLevel="0" collapsed="false">
      <c r="A24" s="6" t="str">
        <f aca="false">Inputs!A125</f>
        <v>Cloudflare Turnstile (bot challenge, SEC-13)</v>
      </c>
      <c r="B24" s="6" t="n">
        <f aca="false">Inputs!D125</f>
        <v>1</v>
      </c>
      <c r="D24" s="13" t="n">
        <f aca="false">Scenarios!$B$45*IF(AND(D$5&gt;=Inputs!$G$125,D$5&lt;=Inputs!$H$125,OR(Inputs!$I$125=0,MONTH(Forecast!D$7)=Inputs!$I$125)),Inputs!$B$125+Inputs!$C$125/1000*CHOOSE(Inputs!$D$125,Forecast!D$30,Forecast!D$35,Forecast!D$43,Forecast!D$58),0)</f>
        <v>0</v>
      </c>
      <c r="E24" s="13" t="n">
        <f aca="false">Scenarios!$B$45*IF(AND(E$5&gt;=Inputs!$G$125,E$5&lt;=Inputs!$H$125,OR(Inputs!$I$125=0,MONTH(Forecast!E$7)=Inputs!$I$125)),Inputs!$B$125+Inputs!$C$125/1000*CHOOSE(Inputs!$D$125,Forecast!E$30,Forecast!E$35,Forecast!E$43,Forecast!E$58),0)</f>
        <v>0</v>
      </c>
      <c r="F24" s="13" t="n">
        <f aca="false">Scenarios!$B$45*IF(AND(F$5&gt;=Inputs!$G$125,F$5&lt;=Inputs!$H$125,OR(Inputs!$I$125=0,MONTH(Forecast!F$7)=Inputs!$I$125)),Inputs!$B$125+Inputs!$C$125/1000*CHOOSE(Inputs!$D$125,Forecast!F$30,Forecast!F$35,Forecast!F$43,Forecast!F$58),0)</f>
        <v>0</v>
      </c>
      <c r="G24" s="13" t="n">
        <f aca="false">Scenarios!$B$45*IF(AND(G$5&gt;=Inputs!$G$125,G$5&lt;=Inputs!$H$125,OR(Inputs!$I$125=0,MONTH(Forecast!G$7)=Inputs!$I$125)),Inputs!$B$125+Inputs!$C$125/1000*CHOOSE(Inputs!$D$125,Forecast!G$30,Forecast!G$35,Forecast!G$43,Forecast!G$58),0)</f>
        <v>0</v>
      </c>
      <c r="H24" s="13" t="n">
        <f aca="false">Scenarios!$B$45*IF(AND(H$5&gt;=Inputs!$G$125,H$5&lt;=Inputs!$H$125,OR(Inputs!$I$125=0,MONTH(Forecast!H$7)=Inputs!$I$125)),Inputs!$B$125+Inputs!$C$125/1000*CHOOSE(Inputs!$D$125,Forecast!H$30,Forecast!H$35,Forecast!H$43,Forecast!H$58),0)</f>
        <v>0</v>
      </c>
      <c r="I24" s="13" t="n">
        <f aca="false">Scenarios!$B$45*IF(AND(I$5&gt;=Inputs!$G$125,I$5&lt;=Inputs!$H$125,OR(Inputs!$I$125=0,MONTH(Forecast!I$7)=Inputs!$I$125)),Inputs!$B$125+Inputs!$C$125/1000*CHOOSE(Inputs!$D$125,Forecast!I$30,Forecast!I$35,Forecast!I$43,Forecast!I$58),0)</f>
        <v>0</v>
      </c>
      <c r="J24" s="13" t="n">
        <f aca="false">Scenarios!$B$45*IF(AND(J$5&gt;=Inputs!$G$125,J$5&lt;=Inputs!$H$125,OR(Inputs!$I$125=0,MONTH(Forecast!J$7)=Inputs!$I$125)),Inputs!$B$125+Inputs!$C$125/1000*CHOOSE(Inputs!$D$125,Forecast!J$30,Forecast!J$35,Forecast!J$43,Forecast!J$58),0)</f>
        <v>0</v>
      </c>
      <c r="K24" s="13" t="n">
        <f aca="false">Scenarios!$B$45*IF(AND(K$5&gt;=Inputs!$G$125,K$5&lt;=Inputs!$H$125,OR(Inputs!$I$125=0,MONTH(Forecast!K$7)=Inputs!$I$125)),Inputs!$B$125+Inputs!$C$125/1000*CHOOSE(Inputs!$D$125,Forecast!K$30,Forecast!K$35,Forecast!K$43,Forecast!K$58),0)</f>
        <v>0</v>
      </c>
      <c r="L24" s="13" t="n">
        <f aca="false">Scenarios!$B$45*IF(AND(L$5&gt;=Inputs!$G$125,L$5&lt;=Inputs!$H$125,OR(Inputs!$I$125=0,MONTH(Forecast!L$7)=Inputs!$I$125)),Inputs!$B$125+Inputs!$C$125/1000*CHOOSE(Inputs!$D$125,Forecast!L$30,Forecast!L$35,Forecast!L$43,Forecast!L$58),0)</f>
        <v>0</v>
      </c>
      <c r="M24" s="13" t="n">
        <f aca="false">Scenarios!$B$45*IF(AND(M$5&gt;=Inputs!$G$125,M$5&lt;=Inputs!$H$125,OR(Inputs!$I$125=0,MONTH(Forecast!M$7)=Inputs!$I$125)),Inputs!$B$125+Inputs!$C$125/1000*CHOOSE(Inputs!$D$125,Forecast!M$30,Forecast!M$35,Forecast!M$43,Forecast!M$58),0)</f>
        <v>0</v>
      </c>
      <c r="N24" s="13" t="n">
        <f aca="false">Scenarios!$B$45*IF(AND(N$5&gt;=Inputs!$G$125,N$5&lt;=Inputs!$H$125,OR(Inputs!$I$125=0,MONTH(Forecast!N$7)=Inputs!$I$125)),Inputs!$B$125+Inputs!$C$125/1000*CHOOSE(Inputs!$D$125,Forecast!N$30,Forecast!N$35,Forecast!N$43,Forecast!N$58),0)</f>
        <v>0</v>
      </c>
      <c r="O24" s="13" t="n">
        <f aca="false">Scenarios!$B$45*IF(AND(O$5&gt;=Inputs!$G$125,O$5&lt;=Inputs!$H$125,OR(Inputs!$I$125=0,MONTH(Forecast!O$7)=Inputs!$I$125)),Inputs!$B$125+Inputs!$C$125/1000*CHOOSE(Inputs!$D$125,Forecast!O$30,Forecast!O$35,Forecast!O$43,Forecast!O$58),0)</f>
        <v>0</v>
      </c>
      <c r="P24" s="13" t="n">
        <f aca="false">Scenarios!$B$45*IF(AND(P$5&gt;=Inputs!$G$125,P$5&lt;=Inputs!$H$125,OR(Inputs!$I$125=0,MONTH(Forecast!P$7)=Inputs!$I$125)),Inputs!$B$125+Inputs!$C$125/1000*CHOOSE(Inputs!$D$125,Forecast!P$30,Forecast!P$35,Forecast!P$43,Forecast!P$58),0)</f>
        <v>0</v>
      </c>
      <c r="Q24" s="13" t="n">
        <f aca="false">Scenarios!$B$45*IF(AND(Q$5&gt;=Inputs!$G$125,Q$5&lt;=Inputs!$H$125,OR(Inputs!$I$125=0,MONTH(Forecast!Q$7)=Inputs!$I$125)),Inputs!$B$125+Inputs!$C$125/1000*CHOOSE(Inputs!$D$125,Forecast!Q$30,Forecast!Q$35,Forecast!Q$43,Forecast!Q$58),0)</f>
        <v>0</v>
      </c>
      <c r="R24" s="13" t="n">
        <f aca="false">Scenarios!$B$45*IF(AND(R$5&gt;=Inputs!$G$125,R$5&lt;=Inputs!$H$125,OR(Inputs!$I$125=0,MONTH(Forecast!R$7)=Inputs!$I$125)),Inputs!$B$125+Inputs!$C$125/1000*CHOOSE(Inputs!$D$125,Forecast!R$30,Forecast!R$35,Forecast!R$43,Forecast!R$58),0)</f>
        <v>0</v>
      </c>
      <c r="S24" s="13" t="n">
        <f aca="false">Scenarios!$B$45*IF(AND(S$5&gt;=Inputs!$G$125,S$5&lt;=Inputs!$H$125,OR(Inputs!$I$125=0,MONTH(Forecast!S$7)=Inputs!$I$125)),Inputs!$B$125+Inputs!$C$125/1000*CHOOSE(Inputs!$D$125,Forecast!S$30,Forecast!S$35,Forecast!S$43,Forecast!S$58),0)</f>
        <v>0</v>
      </c>
      <c r="T24" s="13" t="n">
        <f aca="false">Scenarios!$B$45*IF(AND(T$5&gt;=Inputs!$G$125,T$5&lt;=Inputs!$H$125,OR(Inputs!$I$125=0,MONTH(Forecast!T$7)=Inputs!$I$125)),Inputs!$B$125+Inputs!$C$125/1000*CHOOSE(Inputs!$D$125,Forecast!T$30,Forecast!T$35,Forecast!T$43,Forecast!T$58),0)</f>
        <v>0</v>
      </c>
      <c r="U24" s="13" t="n">
        <f aca="false">Scenarios!$B$45*IF(AND(U$5&gt;=Inputs!$G$125,U$5&lt;=Inputs!$H$125,OR(Inputs!$I$125=0,MONTH(Forecast!U$7)=Inputs!$I$125)),Inputs!$B$125+Inputs!$C$125/1000*CHOOSE(Inputs!$D$125,Forecast!U$30,Forecast!U$35,Forecast!U$43,Forecast!U$58),0)</f>
        <v>0</v>
      </c>
      <c r="V24" s="13" t="n">
        <f aca="false">Scenarios!$B$45*IF(AND(V$5&gt;=Inputs!$G$125,V$5&lt;=Inputs!$H$125,OR(Inputs!$I$125=0,MONTH(Forecast!V$7)=Inputs!$I$125)),Inputs!$B$125+Inputs!$C$125/1000*CHOOSE(Inputs!$D$125,Forecast!V$30,Forecast!V$35,Forecast!V$43,Forecast!V$58),0)</f>
        <v>0</v>
      </c>
      <c r="W24" s="13" t="n">
        <f aca="false">Scenarios!$B$45*IF(AND(W$5&gt;=Inputs!$G$125,W$5&lt;=Inputs!$H$125,OR(Inputs!$I$125=0,MONTH(Forecast!W$7)=Inputs!$I$125)),Inputs!$B$125+Inputs!$C$125/1000*CHOOSE(Inputs!$D$125,Forecast!W$30,Forecast!W$35,Forecast!W$43,Forecast!W$58),0)</f>
        <v>0</v>
      </c>
      <c r="X24" s="13" t="n">
        <f aca="false">Scenarios!$B$45*IF(AND(X$5&gt;=Inputs!$G$125,X$5&lt;=Inputs!$H$125,OR(Inputs!$I$125=0,MONTH(Forecast!X$7)=Inputs!$I$125)),Inputs!$B$125+Inputs!$C$125/1000*CHOOSE(Inputs!$D$125,Forecast!X$30,Forecast!X$35,Forecast!X$43,Forecast!X$58),0)</f>
        <v>0</v>
      </c>
      <c r="Y24" s="13" t="n">
        <f aca="false">Scenarios!$B$45*IF(AND(Y$5&gt;=Inputs!$G$125,Y$5&lt;=Inputs!$H$125,OR(Inputs!$I$125=0,MONTH(Forecast!Y$7)=Inputs!$I$125)),Inputs!$B$125+Inputs!$C$125/1000*CHOOSE(Inputs!$D$125,Forecast!Y$30,Forecast!Y$35,Forecast!Y$43,Forecast!Y$58),0)</f>
        <v>0</v>
      </c>
      <c r="Z24" s="13" t="n">
        <f aca="false">Scenarios!$B$45*IF(AND(Z$5&gt;=Inputs!$G$125,Z$5&lt;=Inputs!$H$125,OR(Inputs!$I$125=0,MONTH(Forecast!Z$7)=Inputs!$I$125)),Inputs!$B$125+Inputs!$C$125/1000*CHOOSE(Inputs!$D$125,Forecast!Z$30,Forecast!Z$35,Forecast!Z$43,Forecast!Z$58),0)</f>
        <v>0</v>
      </c>
      <c r="AA24" s="13" t="n">
        <f aca="false">Scenarios!$B$45*IF(AND(AA$5&gt;=Inputs!$G$125,AA$5&lt;=Inputs!$H$125,OR(Inputs!$I$125=0,MONTH(Forecast!AA$7)=Inputs!$I$125)),Inputs!$B$125+Inputs!$C$125/1000*CHOOSE(Inputs!$D$125,Forecast!AA$30,Forecast!AA$35,Forecast!AA$43,Forecast!AA$58),0)</f>
        <v>0</v>
      </c>
      <c r="AB24" s="13" t="n">
        <f aca="false">Scenarios!$B$45*IF(AND(AB$5&gt;=Inputs!$G$125,AB$5&lt;=Inputs!$H$125,OR(Inputs!$I$125=0,MONTH(Forecast!AB$7)=Inputs!$I$125)),Inputs!$B$125+Inputs!$C$125/1000*CHOOSE(Inputs!$D$125,Forecast!AB$30,Forecast!AB$35,Forecast!AB$43,Forecast!AB$58),0)</f>
        <v>0</v>
      </c>
      <c r="AC24" s="13" t="n">
        <f aca="false">Scenarios!$B$45*IF(AND(AC$5&gt;=Inputs!$G$125,AC$5&lt;=Inputs!$H$125,OR(Inputs!$I$125=0,MONTH(Forecast!AC$7)=Inputs!$I$125)),Inputs!$B$125+Inputs!$C$125/1000*CHOOSE(Inputs!$D$125,Forecast!AC$30,Forecast!AC$35,Forecast!AC$43,Forecast!AC$58),0)</f>
        <v>0</v>
      </c>
      <c r="AD24" s="13" t="n">
        <f aca="false">Scenarios!$B$45*IF(AND(AD$5&gt;=Inputs!$G$125,AD$5&lt;=Inputs!$H$125,OR(Inputs!$I$125=0,MONTH(Forecast!AD$7)=Inputs!$I$125)),Inputs!$B$125+Inputs!$C$125/1000*CHOOSE(Inputs!$D$125,Forecast!AD$30,Forecast!AD$35,Forecast!AD$43,Forecast!AD$58),0)</f>
        <v>0</v>
      </c>
      <c r="AE24" s="13" t="n">
        <f aca="false">Scenarios!$B$45*IF(AND(AE$5&gt;=Inputs!$G$125,AE$5&lt;=Inputs!$H$125,OR(Inputs!$I$125=0,MONTH(Forecast!AE$7)=Inputs!$I$125)),Inputs!$B$125+Inputs!$C$125/1000*CHOOSE(Inputs!$D$125,Forecast!AE$30,Forecast!AE$35,Forecast!AE$43,Forecast!AE$58),0)</f>
        <v>0</v>
      </c>
      <c r="AF24" s="13" t="n">
        <f aca="false">Scenarios!$B$45*IF(AND(AF$5&gt;=Inputs!$G$125,AF$5&lt;=Inputs!$H$125,OR(Inputs!$I$125=0,MONTH(Forecast!AF$7)=Inputs!$I$125)),Inputs!$B$125+Inputs!$C$125/1000*CHOOSE(Inputs!$D$125,Forecast!AF$30,Forecast!AF$35,Forecast!AF$43,Forecast!AF$58),0)</f>
        <v>0</v>
      </c>
      <c r="AG24" s="13" t="n">
        <f aca="false">Scenarios!$B$45*IF(AND(AG$5&gt;=Inputs!$G$125,AG$5&lt;=Inputs!$H$125,OR(Inputs!$I$125=0,MONTH(Forecast!AG$7)=Inputs!$I$125)),Inputs!$B$125+Inputs!$C$125/1000*CHOOSE(Inputs!$D$125,Forecast!AG$30,Forecast!AG$35,Forecast!AG$43,Forecast!AG$58),0)</f>
        <v>0</v>
      </c>
      <c r="AH24" s="13" t="n">
        <f aca="false">Scenarios!$B$45*IF(AND(AH$5&gt;=Inputs!$G$125,AH$5&lt;=Inputs!$H$125,OR(Inputs!$I$125=0,MONTH(Forecast!AH$7)=Inputs!$I$125)),Inputs!$B$125+Inputs!$C$125/1000*CHOOSE(Inputs!$D$125,Forecast!AH$30,Forecast!AH$35,Forecast!AH$43,Forecast!AH$58),0)</f>
        <v>0</v>
      </c>
      <c r="AI24" s="13" t="n">
        <f aca="false">Scenarios!$B$45*IF(AND(AI$5&gt;=Inputs!$G$125,AI$5&lt;=Inputs!$H$125,OR(Inputs!$I$125=0,MONTH(Forecast!AI$7)=Inputs!$I$125)),Inputs!$B$125+Inputs!$C$125/1000*CHOOSE(Inputs!$D$125,Forecast!AI$30,Forecast!AI$35,Forecast!AI$43,Forecast!AI$58),0)</f>
        <v>0</v>
      </c>
      <c r="AJ24" s="13" t="n">
        <f aca="false">Scenarios!$B$45*IF(AND(AJ$5&gt;=Inputs!$G$125,AJ$5&lt;=Inputs!$H$125,OR(Inputs!$I$125=0,MONTH(Forecast!AJ$7)=Inputs!$I$125)),Inputs!$B$125+Inputs!$C$125/1000*CHOOSE(Inputs!$D$125,Forecast!AJ$30,Forecast!AJ$35,Forecast!AJ$43,Forecast!AJ$58),0)</f>
        <v>0</v>
      </c>
      <c r="AK24" s="13" t="n">
        <f aca="false">Scenarios!$B$45*IF(AND(AK$5&gt;=Inputs!$G$125,AK$5&lt;=Inputs!$H$125,OR(Inputs!$I$125=0,MONTH(Forecast!AK$7)=Inputs!$I$125)),Inputs!$B$125+Inputs!$C$125/1000*CHOOSE(Inputs!$D$125,Forecast!AK$30,Forecast!AK$35,Forecast!AK$43,Forecast!AK$58),0)</f>
        <v>0</v>
      </c>
      <c r="AL24" s="13" t="n">
        <f aca="false">Scenarios!$B$45*IF(AND(AL$5&gt;=Inputs!$G$125,AL$5&lt;=Inputs!$H$125,OR(Inputs!$I$125=0,MONTH(Forecast!AL$7)=Inputs!$I$125)),Inputs!$B$125+Inputs!$C$125/1000*CHOOSE(Inputs!$D$125,Forecast!AL$30,Forecast!AL$35,Forecast!AL$43,Forecast!AL$58),0)</f>
        <v>0</v>
      </c>
      <c r="AM24" s="13" t="n">
        <f aca="false">Scenarios!$B$45*IF(AND(AM$5&gt;=Inputs!$G$125,AM$5&lt;=Inputs!$H$125,OR(Inputs!$I$125=0,MONTH(Forecast!AM$7)=Inputs!$I$125)),Inputs!$B$125+Inputs!$C$125/1000*CHOOSE(Inputs!$D$125,Forecast!AM$30,Forecast!AM$35,Forecast!AM$43,Forecast!AM$58),0)</f>
        <v>0</v>
      </c>
    </row>
    <row r="25" customFormat="false" ht="15" hidden="false" customHeight="false" outlineLevel="0" collapsed="false">
      <c r="A25" s="6" t="str">
        <f aca="false">Inputs!A126</f>
        <v>Bot-protection reserve (Vercel BotID or Cloudflare Pro, only if attacked)</v>
      </c>
      <c r="B25" s="6" t="n">
        <f aca="false">Inputs!D126</f>
        <v>1</v>
      </c>
      <c r="D25" s="13" t="n">
        <f aca="false">Scenarios!$B$45*IF(AND(D$5&gt;=Inputs!$G$126,D$5&lt;=Inputs!$H$126,OR(Inputs!$I$126=0,MONTH(Forecast!D$7)=Inputs!$I$126)),Inputs!$B$126+Inputs!$C$126/1000*CHOOSE(Inputs!$D$126,Forecast!D$30,Forecast!D$35,Forecast!D$43,Forecast!D$58),0)</f>
        <v>0</v>
      </c>
      <c r="E25" s="13" t="n">
        <f aca="false">Scenarios!$B$45*IF(AND(E$5&gt;=Inputs!$G$126,E$5&lt;=Inputs!$H$126,OR(Inputs!$I$126=0,MONTH(Forecast!E$7)=Inputs!$I$126)),Inputs!$B$126+Inputs!$C$126/1000*CHOOSE(Inputs!$D$126,Forecast!E$30,Forecast!E$35,Forecast!E$43,Forecast!E$58),0)</f>
        <v>0</v>
      </c>
      <c r="F25" s="13" t="n">
        <f aca="false">Scenarios!$B$45*IF(AND(F$5&gt;=Inputs!$G$126,F$5&lt;=Inputs!$H$126,OR(Inputs!$I$126=0,MONTH(Forecast!F$7)=Inputs!$I$126)),Inputs!$B$126+Inputs!$C$126/1000*CHOOSE(Inputs!$D$126,Forecast!F$30,Forecast!F$35,Forecast!F$43,Forecast!F$58),0)</f>
        <v>0</v>
      </c>
      <c r="G25" s="13" t="n">
        <f aca="false">Scenarios!$B$45*IF(AND(G$5&gt;=Inputs!$G$126,G$5&lt;=Inputs!$H$126,OR(Inputs!$I$126=0,MONTH(Forecast!G$7)=Inputs!$I$126)),Inputs!$B$126+Inputs!$C$126/1000*CHOOSE(Inputs!$D$126,Forecast!G$30,Forecast!G$35,Forecast!G$43,Forecast!G$58),0)</f>
        <v>0</v>
      </c>
      <c r="H25" s="13" t="n">
        <f aca="false">Scenarios!$B$45*IF(AND(H$5&gt;=Inputs!$G$126,H$5&lt;=Inputs!$H$126,OR(Inputs!$I$126=0,MONTH(Forecast!H$7)=Inputs!$I$126)),Inputs!$B$126+Inputs!$C$126/1000*CHOOSE(Inputs!$D$126,Forecast!H$30,Forecast!H$35,Forecast!H$43,Forecast!H$58),0)</f>
        <v>0</v>
      </c>
      <c r="I25" s="13" t="n">
        <f aca="false">Scenarios!$B$45*IF(AND(I$5&gt;=Inputs!$G$126,I$5&lt;=Inputs!$H$126,OR(Inputs!$I$126=0,MONTH(Forecast!I$7)=Inputs!$I$126)),Inputs!$B$126+Inputs!$C$126/1000*CHOOSE(Inputs!$D$126,Forecast!I$30,Forecast!I$35,Forecast!I$43,Forecast!I$58),0)</f>
        <v>0</v>
      </c>
      <c r="J25" s="13" t="n">
        <f aca="false">Scenarios!$B$45*IF(AND(J$5&gt;=Inputs!$G$126,J$5&lt;=Inputs!$H$126,OR(Inputs!$I$126=0,MONTH(Forecast!J$7)=Inputs!$I$126)),Inputs!$B$126+Inputs!$C$126/1000*CHOOSE(Inputs!$D$126,Forecast!J$30,Forecast!J$35,Forecast!J$43,Forecast!J$58),0)</f>
        <v>25</v>
      </c>
      <c r="K25" s="13" t="n">
        <f aca="false">Scenarios!$B$45*IF(AND(K$5&gt;=Inputs!$G$126,K$5&lt;=Inputs!$H$126,OR(Inputs!$I$126=0,MONTH(Forecast!K$7)=Inputs!$I$126)),Inputs!$B$126+Inputs!$C$126/1000*CHOOSE(Inputs!$D$126,Forecast!K$30,Forecast!K$35,Forecast!K$43,Forecast!K$58),0)</f>
        <v>25</v>
      </c>
      <c r="L25" s="13" t="n">
        <f aca="false">Scenarios!$B$45*IF(AND(L$5&gt;=Inputs!$G$126,L$5&lt;=Inputs!$H$126,OR(Inputs!$I$126=0,MONTH(Forecast!L$7)=Inputs!$I$126)),Inputs!$B$126+Inputs!$C$126/1000*CHOOSE(Inputs!$D$126,Forecast!L$30,Forecast!L$35,Forecast!L$43,Forecast!L$58),0)</f>
        <v>25</v>
      </c>
      <c r="M25" s="13" t="n">
        <f aca="false">Scenarios!$B$45*IF(AND(M$5&gt;=Inputs!$G$126,M$5&lt;=Inputs!$H$126,OR(Inputs!$I$126=0,MONTH(Forecast!M$7)=Inputs!$I$126)),Inputs!$B$126+Inputs!$C$126/1000*CHOOSE(Inputs!$D$126,Forecast!M$30,Forecast!M$35,Forecast!M$43,Forecast!M$58),0)</f>
        <v>25</v>
      </c>
      <c r="N25" s="13" t="n">
        <f aca="false">Scenarios!$B$45*IF(AND(N$5&gt;=Inputs!$G$126,N$5&lt;=Inputs!$H$126,OR(Inputs!$I$126=0,MONTH(Forecast!N$7)=Inputs!$I$126)),Inputs!$B$126+Inputs!$C$126/1000*CHOOSE(Inputs!$D$126,Forecast!N$30,Forecast!N$35,Forecast!N$43,Forecast!N$58),0)</f>
        <v>25</v>
      </c>
      <c r="O25" s="13" t="n">
        <f aca="false">Scenarios!$B$45*IF(AND(O$5&gt;=Inputs!$G$126,O$5&lt;=Inputs!$H$126,OR(Inputs!$I$126=0,MONTH(Forecast!O$7)=Inputs!$I$126)),Inputs!$B$126+Inputs!$C$126/1000*CHOOSE(Inputs!$D$126,Forecast!O$30,Forecast!O$35,Forecast!O$43,Forecast!O$58),0)</f>
        <v>25</v>
      </c>
      <c r="P25" s="13" t="n">
        <f aca="false">Scenarios!$B$45*IF(AND(P$5&gt;=Inputs!$G$126,P$5&lt;=Inputs!$H$126,OR(Inputs!$I$126=0,MONTH(Forecast!P$7)=Inputs!$I$126)),Inputs!$B$126+Inputs!$C$126/1000*CHOOSE(Inputs!$D$126,Forecast!P$30,Forecast!P$35,Forecast!P$43,Forecast!P$58),0)</f>
        <v>25</v>
      </c>
      <c r="Q25" s="13" t="n">
        <f aca="false">Scenarios!$B$45*IF(AND(Q$5&gt;=Inputs!$G$126,Q$5&lt;=Inputs!$H$126,OR(Inputs!$I$126=0,MONTH(Forecast!Q$7)=Inputs!$I$126)),Inputs!$B$126+Inputs!$C$126/1000*CHOOSE(Inputs!$D$126,Forecast!Q$30,Forecast!Q$35,Forecast!Q$43,Forecast!Q$58),0)</f>
        <v>25</v>
      </c>
      <c r="R25" s="13" t="n">
        <f aca="false">Scenarios!$B$45*IF(AND(R$5&gt;=Inputs!$G$126,R$5&lt;=Inputs!$H$126,OR(Inputs!$I$126=0,MONTH(Forecast!R$7)=Inputs!$I$126)),Inputs!$B$126+Inputs!$C$126/1000*CHOOSE(Inputs!$D$126,Forecast!R$30,Forecast!R$35,Forecast!R$43,Forecast!R$58),0)</f>
        <v>25</v>
      </c>
      <c r="S25" s="13" t="n">
        <f aca="false">Scenarios!$B$45*IF(AND(S$5&gt;=Inputs!$G$126,S$5&lt;=Inputs!$H$126,OR(Inputs!$I$126=0,MONTH(Forecast!S$7)=Inputs!$I$126)),Inputs!$B$126+Inputs!$C$126/1000*CHOOSE(Inputs!$D$126,Forecast!S$30,Forecast!S$35,Forecast!S$43,Forecast!S$58),0)</f>
        <v>25</v>
      </c>
      <c r="T25" s="13" t="n">
        <f aca="false">Scenarios!$B$45*IF(AND(T$5&gt;=Inputs!$G$126,T$5&lt;=Inputs!$H$126,OR(Inputs!$I$126=0,MONTH(Forecast!T$7)=Inputs!$I$126)),Inputs!$B$126+Inputs!$C$126/1000*CHOOSE(Inputs!$D$126,Forecast!T$30,Forecast!T$35,Forecast!T$43,Forecast!T$58),0)</f>
        <v>25</v>
      </c>
      <c r="U25" s="13" t="n">
        <f aca="false">Scenarios!$B$45*IF(AND(U$5&gt;=Inputs!$G$126,U$5&lt;=Inputs!$H$126,OR(Inputs!$I$126=0,MONTH(Forecast!U$7)=Inputs!$I$126)),Inputs!$B$126+Inputs!$C$126/1000*CHOOSE(Inputs!$D$126,Forecast!U$30,Forecast!U$35,Forecast!U$43,Forecast!U$58),0)</f>
        <v>25</v>
      </c>
      <c r="V25" s="13" t="n">
        <f aca="false">Scenarios!$B$45*IF(AND(V$5&gt;=Inputs!$G$126,V$5&lt;=Inputs!$H$126,OR(Inputs!$I$126=0,MONTH(Forecast!V$7)=Inputs!$I$126)),Inputs!$B$126+Inputs!$C$126/1000*CHOOSE(Inputs!$D$126,Forecast!V$30,Forecast!V$35,Forecast!V$43,Forecast!V$58),0)</f>
        <v>25</v>
      </c>
      <c r="W25" s="13" t="n">
        <f aca="false">Scenarios!$B$45*IF(AND(W$5&gt;=Inputs!$G$126,W$5&lt;=Inputs!$H$126,OR(Inputs!$I$126=0,MONTH(Forecast!W$7)=Inputs!$I$126)),Inputs!$B$126+Inputs!$C$126/1000*CHOOSE(Inputs!$D$126,Forecast!W$30,Forecast!W$35,Forecast!W$43,Forecast!W$58),0)</f>
        <v>25</v>
      </c>
      <c r="X25" s="13" t="n">
        <f aca="false">Scenarios!$B$45*IF(AND(X$5&gt;=Inputs!$G$126,X$5&lt;=Inputs!$H$126,OR(Inputs!$I$126=0,MONTH(Forecast!X$7)=Inputs!$I$126)),Inputs!$B$126+Inputs!$C$126/1000*CHOOSE(Inputs!$D$126,Forecast!X$30,Forecast!X$35,Forecast!X$43,Forecast!X$58),0)</f>
        <v>25</v>
      </c>
      <c r="Y25" s="13" t="n">
        <f aca="false">Scenarios!$B$45*IF(AND(Y$5&gt;=Inputs!$G$126,Y$5&lt;=Inputs!$H$126,OR(Inputs!$I$126=0,MONTH(Forecast!Y$7)=Inputs!$I$126)),Inputs!$B$126+Inputs!$C$126/1000*CHOOSE(Inputs!$D$126,Forecast!Y$30,Forecast!Y$35,Forecast!Y$43,Forecast!Y$58),0)</f>
        <v>25</v>
      </c>
      <c r="Z25" s="13" t="n">
        <f aca="false">Scenarios!$B$45*IF(AND(Z$5&gt;=Inputs!$G$126,Z$5&lt;=Inputs!$H$126,OR(Inputs!$I$126=0,MONTH(Forecast!Z$7)=Inputs!$I$126)),Inputs!$B$126+Inputs!$C$126/1000*CHOOSE(Inputs!$D$126,Forecast!Z$30,Forecast!Z$35,Forecast!Z$43,Forecast!Z$58),0)</f>
        <v>25</v>
      </c>
      <c r="AA25" s="13" t="n">
        <f aca="false">Scenarios!$B$45*IF(AND(AA$5&gt;=Inputs!$G$126,AA$5&lt;=Inputs!$H$126,OR(Inputs!$I$126=0,MONTH(Forecast!AA$7)=Inputs!$I$126)),Inputs!$B$126+Inputs!$C$126/1000*CHOOSE(Inputs!$D$126,Forecast!AA$30,Forecast!AA$35,Forecast!AA$43,Forecast!AA$58),0)</f>
        <v>25</v>
      </c>
      <c r="AB25" s="13" t="n">
        <f aca="false">Scenarios!$B$45*IF(AND(AB$5&gt;=Inputs!$G$126,AB$5&lt;=Inputs!$H$126,OR(Inputs!$I$126=0,MONTH(Forecast!AB$7)=Inputs!$I$126)),Inputs!$B$126+Inputs!$C$126/1000*CHOOSE(Inputs!$D$126,Forecast!AB$30,Forecast!AB$35,Forecast!AB$43,Forecast!AB$58),0)</f>
        <v>25</v>
      </c>
      <c r="AC25" s="13" t="n">
        <f aca="false">Scenarios!$B$45*IF(AND(AC$5&gt;=Inputs!$G$126,AC$5&lt;=Inputs!$H$126,OR(Inputs!$I$126=0,MONTH(Forecast!AC$7)=Inputs!$I$126)),Inputs!$B$126+Inputs!$C$126/1000*CHOOSE(Inputs!$D$126,Forecast!AC$30,Forecast!AC$35,Forecast!AC$43,Forecast!AC$58),0)</f>
        <v>25</v>
      </c>
      <c r="AD25" s="13" t="n">
        <f aca="false">Scenarios!$B$45*IF(AND(AD$5&gt;=Inputs!$G$126,AD$5&lt;=Inputs!$H$126,OR(Inputs!$I$126=0,MONTH(Forecast!AD$7)=Inputs!$I$126)),Inputs!$B$126+Inputs!$C$126/1000*CHOOSE(Inputs!$D$126,Forecast!AD$30,Forecast!AD$35,Forecast!AD$43,Forecast!AD$58),0)</f>
        <v>25</v>
      </c>
      <c r="AE25" s="13" t="n">
        <f aca="false">Scenarios!$B$45*IF(AND(AE$5&gt;=Inputs!$G$126,AE$5&lt;=Inputs!$H$126,OR(Inputs!$I$126=0,MONTH(Forecast!AE$7)=Inputs!$I$126)),Inputs!$B$126+Inputs!$C$126/1000*CHOOSE(Inputs!$D$126,Forecast!AE$30,Forecast!AE$35,Forecast!AE$43,Forecast!AE$58),0)</f>
        <v>25</v>
      </c>
      <c r="AF25" s="13" t="n">
        <f aca="false">Scenarios!$B$45*IF(AND(AF$5&gt;=Inputs!$G$126,AF$5&lt;=Inputs!$H$126,OR(Inputs!$I$126=0,MONTH(Forecast!AF$7)=Inputs!$I$126)),Inputs!$B$126+Inputs!$C$126/1000*CHOOSE(Inputs!$D$126,Forecast!AF$30,Forecast!AF$35,Forecast!AF$43,Forecast!AF$58),0)</f>
        <v>25</v>
      </c>
      <c r="AG25" s="13" t="n">
        <f aca="false">Scenarios!$B$45*IF(AND(AG$5&gt;=Inputs!$G$126,AG$5&lt;=Inputs!$H$126,OR(Inputs!$I$126=0,MONTH(Forecast!AG$7)=Inputs!$I$126)),Inputs!$B$126+Inputs!$C$126/1000*CHOOSE(Inputs!$D$126,Forecast!AG$30,Forecast!AG$35,Forecast!AG$43,Forecast!AG$58),0)</f>
        <v>25</v>
      </c>
      <c r="AH25" s="13" t="n">
        <f aca="false">Scenarios!$B$45*IF(AND(AH$5&gt;=Inputs!$G$126,AH$5&lt;=Inputs!$H$126,OR(Inputs!$I$126=0,MONTH(Forecast!AH$7)=Inputs!$I$126)),Inputs!$B$126+Inputs!$C$126/1000*CHOOSE(Inputs!$D$126,Forecast!AH$30,Forecast!AH$35,Forecast!AH$43,Forecast!AH$58),0)</f>
        <v>25</v>
      </c>
      <c r="AI25" s="13" t="n">
        <f aca="false">Scenarios!$B$45*IF(AND(AI$5&gt;=Inputs!$G$126,AI$5&lt;=Inputs!$H$126,OR(Inputs!$I$126=0,MONTH(Forecast!AI$7)=Inputs!$I$126)),Inputs!$B$126+Inputs!$C$126/1000*CHOOSE(Inputs!$D$126,Forecast!AI$30,Forecast!AI$35,Forecast!AI$43,Forecast!AI$58),0)</f>
        <v>25</v>
      </c>
      <c r="AJ25" s="13" t="n">
        <f aca="false">Scenarios!$B$45*IF(AND(AJ$5&gt;=Inputs!$G$126,AJ$5&lt;=Inputs!$H$126,OR(Inputs!$I$126=0,MONTH(Forecast!AJ$7)=Inputs!$I$126)),Inputs!$B$126+Inputs!$C$126/1000*CHOOSE(Inputs!$D$126,Forecast!AJ$30,Forecast!AJ$35,Forecast!AJ$43,Forecast!AJ$58),0)</f>
        <v>25</v>
      </c>
      <c r="AK25" s="13" t="n">
        <f aca="false">Scenarios!$B$45*IF(AND(AK$5&gt;=Inputs!$G$126,AK$5&lt;=Inputs!$H$126,OR(Inputs!$I$126=0,MONTH(Forecast!AK$7)=Inputs!$I$126)),Inputs!$B$126+Inputs!$C$126/1000*CHOOSE(Inputs!$D$126,Forecast!AK$30,Forecast!AK$35,Forecast!AK$43,Forecast!AK$58),0)</f>
        <v>25</v>
      </c>
      <c r="AL25" s="13" t="n">
        <f aca="false">Scenarios!$B$45*IF(AND(AL$5&gt;=Inputs!$G$126,AL$5&lt;=Inputs!$H$126,OR(Inputs!$I$126=0,MONTH(Forecast!AL$7)=Inputs!$I$126)),Inputs!$B$126+Inputs!$C$126/1000*CHOOSE(Inputs!$D$126,Forecast!AL$30,Forecast!AL$35,Forecast!AL$43,Forecast!AL$58),0)</f>
        <v>25</v>
      </c>
      <c r="AM25" s="13" t="n">
        <f aca="false">Scenarios!$B$45*IF(AND(AM$5&gt;=Inputs!$G$126,AM$5&lt;=Inputs!$H$126,OR(Inputs!$I$126=0,MONTH(Forecast!AM$7)=Inputs!$I$126)),Inputs!$B$126+Inputs!$C$126/1000*CHOOSE(Inputs!$D$126,Forecast!AM$30,Forecast!AM$35,Forecast!AM$43,Forecast!AM$58),0)</f>
        <v>25</v>
      </c>
    </row>
    <row r="26" customFormat="false" ht="15" hidden="false" customHeight="false" outlineLevel="0" collapsed="false">
      <c r="A26" s="6" t="str">
        <f aca="false">Inputs!A127</f>
        <v>Rate-limit store (Upstash Redis or extra Postgres)</v>
      </c>
      <c r="B26" s="6" t="n">
        <f aca="false">Inputs!D127</f>
        <v>1</v>
      </c>
      <c r="D26" s="13" t="n">
        <f aca="false">Scenarios!$B$45*IF(AND(D$5&gt;=Inputs!$G$127,D$5&lt;=Inputs!$H$127,OR(Inputs!$I$127=0,MONTH(Forecast!D$7)=Inputs!$I$127)),Inputs!$B$127+Inputs!$C$127/1000*CHOOSE(Inputs!$D$127,Forecast!D$30,Forecast!D$35,Forecast!D$43,Forecast!D$58),0)</f>
        <v>5</v>
      </c>
      <c r="E26" s="13" t="n">
        <f aca="false">Scenarios!$B$45*IF(AND(E$5&gt;=Inputs!$G$127,E$5&lt;=Inputs!$H$127,OR(Inputs!$I$127=0,MONTH(Forecast!E$7)=Inputs!$I$127)),Inputs!$B$127+Inputs!$C$127/1000*CHOOSE(Inputs!$D$127,Forecast!E$30,Forecast!E$35,Forecast!E$43,Forecast!E$58),0)</f>
        <v>5</v>
      </c>
      <c r="F26" s="13" t="n">
        <f aca="false">Scenarios!$B$45*IF(AND(F$5&gt;=Inputs!$G$127,F$5&lt;=Inputs!$H$127,OR(Inputs!$I$127=0,MONTH(Forecast!F$7)=Inputs!$I$127)),Inputs!$B$127+Inputs!$C$127/1000*CHOOSE(Inputs!$D$127,Forecast!F$30,Forecast!F$35,Forecast!F$43,Forecast!F$58),0)</f>
        <v>5</v>
      </c>
      <c r="G26" s="13" t="n">
        <f aca="false">Scenarios!$B$45*IF(AND(G$5&gt;=Inputs!$G$127,G$5&lt;=Inputs!$H$127,OR(Inputs!$I$127=0,MONTH(Forecast!G$7)=Inputs!$I$127)),Inputs!$B$127+Inputs!$C$127/1000*CHOOSE(Inputs!$D$127,Forecast!G$30,Forecast!G$35,Forecast!G$43,Forecast!G$58),0)</f>
        <v>5</v>
      </c>
      <c r="H26" s="13" t="n">
        <f aca="false">Scenarios!$B$45*IF(AND(H$5&gt;=Inputs!$G$127,H$5&lt;=Inputs!$H$127,OR(Inputs!$I$127=0,MONTH(Forecast!H$7)=Inputs!$I$127)),Inputs!$B$127+Inputs!$C$127/1000*CHOOSE(Inputs!$D$127,Forecast!H$30,Forecast!H$35,Forecast!H$43,Forecast!H$58),0)</f>
        <v>5</v>
      </c>
      <c r="I26" s="13" t="n">
        <f aca="false">Scenarios!$B$45*IF(AND(I$5&gt;=Inputs!$G$127,I$5&lt;=Inputs!$H$127,OR(Inputs!$I$127=0,MONTH(Forecast!I$7)=Inputs!$I$127)),Inputs!$B$127+Inputs!$C$127/1000*CHOOSE(Inputs!$D$127,Forecast!I$30,Forecast!I$35,Forecast!I$43,Forecast!I$58),0)</f>
        <v>5</v>
      </c>
      <c r="J26" s="13" t="n">
        <f aca="false">Scenarios!$B$45*IF(AND(J$5&gt;=Inputs!$G$127,J$5&lt;=Inputs!$H$127,OR(Inputs!$I$127=0,MONTH(Forecast!J$7)=Inputs!$I$127)),Inputs!$B$127+Inputs!$C$127/1000*CHOOSE(Inputs!$D$127,Forecast!J$30,Forecast!J$35,Forecast!J$43,Forecast!J$58),0)</f>
        <v>5</v>
      </c>
      <c r="K26" s="13" t="n">
        <f aca="false">Scenarios!$B$45*IF(AND(K$5&gt;=Inputs!$G$127,K$5&lt;=Inputs!$H$127,OR(Inputs!$I$127=0,MONTH(Forecast!K$7)=Inputs!$I$127)),Inputs!$B$127+Inputs!$C$127/1000*CHOOSE(Inputs!$D$127,Forecast!K$30,Forecast!K$35,Forecast!K$43,Forecast!K$58),0)</f>
        <v>5</v>
      </c>
      <c r="L26" s="13" t="n">
        <f aca="false">Scenarios!$B$45*IF(AND(L$5&gt;=Inputs!$G$127,L$5&lt;=Inputs!$H$127,OR(Inputs!$I$127=0,MONTH(Forecast!L$7)=Inputs!$I$127)),Inputs!$B$127+Inputs!$C$127/1000*CHOOSE(Inputs!$D$127,Forecast!L$30,Forecast!L$35,Forecast!L$43,Forecast!L$58),0)</f>
        <v>5</v>
      </c>
      <c r="M26" s="13" t="n">
        <f aca="false">Scenarios!$B$45*IF(AND(M$5&gt;=Inputs!$G$127,M$5&lt;=Inputs!$H$127,OR(Inputs!$I$127=0,MONTH(Forecast!M$7)=Inputs!$I$127)),Inputs!$B$127+Inputs!$C$127/1000*CHOOSE(Inputs!$D$127,Forecast!M$30,Forecast!M$35,Forecast!M$43,Forecast!M$58),0)</f>
        <v>5</v>
      </c>
      <c r="N26" s="13" t="n">
        <f aca="false">Scenarios!$B$45*IF(AND(N$5&gt;=Inputs!$G$127,N$5&lt;=Inputs!$H$127,OR(Inputs!$I$127=0,MONTH(Forecast!N$7)=Inputs!$I$127)),Inputs!$B$127+Inputs!$C$127/1000*CHOOSE(Inputs!$D$127,Forecast!N$30,Forecast!N$35,Forecast!N$43,Forecast!N$58),0)</f>
        <v>5</v>
      </c>
      <c r="O26" s="13" t="n">
        <f aca="false">Scenarios!$B$45*IF(AND(O$5&gt;=Inputs!$G$127,O$5&lt;=Inputs!$H$127,OR(Inputs!$I$127=0,MONTH(Forecast!O$7)=Inputs!$I$127)),Inputs!$B$127+Inputs!$C$127/1000*CHOOSE(Inputs!$D$127,Forecast!O$30,Forecast!O$35,Forecast!O$43,Forecast!O$58),0)</f>
        <v>5</v>
      </c>
      <c r="P26" s="13" t="n">
        <f aca="false">Scenarios!$B$45*IF(AND(P$5&gt;=Inputs!$G$127,P$5&lt;=Inputs!$H$127,OR(Inputs!$I$127=0,MONTH(Forecast!P$7)=Inputs!$I$127)),Inputs!$B$127+Inputs!$C$127/1000*CHOOSE(Inputs!$D$127,Forecast!P$30,Forecast!P$35,Forecast!P$43,Forecast!P$58),0)</f>
        <v>5</v>
      </c>
      <c r="Q26" s="13" t="n">
        <f aca="false">Scenarios!$B$45*IF(AND(Q$5&gt;=Inputs!$G$127,Q$5&lt;=Inputs!$H$127,OR(Inputs!$I$127=0,MONTH(Forecast!Q$7)=Inputs!$I$127)),Inputs!$B$127+Inputs!$C$127/1000*CHOOSE(Inputs!$D$127,Forecast!Q$30,Forecast!Q$35,Forecast!Q$43,Forecast!Q$58),0)</f>
        <v>5</v>
      </c>
      <c r="R26" s="13" t="n">
        <f aca="false">Scenarios!$B$45*IF(AND(R$5&gt;=Inputs!$G$127,R$5&lt;=Inputs!$H$127,OR(Inputs!$I$127=0,MONTH(Forecast!R$7)=Inputs!$I$127)),Inputs!$B$127+Inputs!$C$127/1000*CHOOSE(Inputs!$D$127,Forecast!R$30,Forecast!R$35,Forecast!R$43,Forecast!R$58),0)</f>
        <v>5</v>
      </c>
      <c r="S26" s="13" t="n">
        <f aca="false">Scenarios!$B$45*IF(AND(S$5&gt;=Inputs!$G$127,S$5&lt;=Inputs!$H$127,OR(Inputs!$I$127=0,MONTH(Forecast!S$7)=Inputs!$I$127)),Inputs!$B$127+Inputs!$C$127/1000*CHOOSE(Inputs!$D$127,Forecast!S$30,Forecast!S$35,Forecast!S$43,Forecast!S$58),0)</f>
        <v>5</v>
      </c>
      <c r="T26" s="13" t="n">
        <f aca="false">Scenarios!$B$45*IF(AND(T$5&gt;=Inputs!$G$127,T$5&lt;=Inputs!$H$127,OR(Inputs!$I$127=0,MONTH(Forecast!T$7)=Inputs!$I$127)),Inputs!$B$127+Inputs!$C$127/1000*CHOOSE(Inputs!$D$127,Forecast!T$30,Forecast!T$35,Forecast!T$43,Forecast!T$58),0)</f>
        <v>5</v>
      </c>
      <c r="U26" s="13" t="n">
        <f aca="false">Scenarios!$B$45*IF(AND(U$5&gt;=Inputs!$G$127,U$5&lt;=Inputs!$H$127,OR(Inputs!$I$127=0,MONTH(Forecast!U$7)=Inputs!$I$127)),Inputs!$B$127+Inputs!$C$127/1000*CHOOSE(Inputs!$D$127,Forecast!U$30,Forecast!U$35,Forecast!U$43,Forecast!U$58),0)</f>
        <v>5</v>
      </c>
      <c r="V26" s="13" t="n">
        <f aca="false">Scenarios!$B$45*IF(AND(V$5&gt;=Inputs!$G$127,V$5&lt;=Inputs!$H$127,OR(Inputs!$I$127=0,MONTH(Forecast!V$7)=Inputs!$I$127)),Inputs!$B$127+Inputs!$C$127/1000*CHOOSE(Inputs!$D$127,Forecast!V$30,Forecast!V$35,Forecast!V$43,Forecast!V$58),0)</f>
        <v>5</v>
      </c>
      <c r="W26" s="13" t="n">
        <f aca="false">Scenarios!$B$45*IF(AND(W$5&gt;=Inputs!$G$127,W$5&lt;=Inputs!$H$127,OR(Inputs!$I$127=0,MONTH(Forecast!W$7)=Inputs!$I$127)),Inputs!$B$127+Inputs!$C$127/1000*CHOOSE(Inputs!$D$127,Forecast!W$30,Forecast!W$35,Forecast!W$43,Forecast!W$58),0)</f>
        <v>5</v>
      </c>
      <c r="X26" s="13" t="n">
        <f aca="false">Scenarios!$B$45*IF(AND(X$5&gt;=Inputs!$G$127,X$5&lt;=Inputs!$H$127,OR(Inputs!$I$127=0,MONTH(Forecast!X$7)=Inputs!$I$127)),Inputs!$B$127+Inputs!$C$127/1000*CHOOSE(Inputs!$D$127,Forecast!X$30,Forecast!X$35,Forecast!X$43,Forecast!X$58),0)</f>
        <v>5</v>
      </c>
      <c r="Y26" s="13" t="n">
        <f aca="false">Scenarios!$B$45*IF(AND(Y$5&gt;=Inputs!$G$127,Y$5&lt;=Inputs!$H$127,OR(Inputs!$I$127=0,MONTH(Forecast!Y$7)=Inputs!$I$127)),Inputs!$B$127+Inputs!$C$127/1000*CHOOSE(Inputs!$D$127,Forecast!Y$30,Forecast!Y$35,Forecast!Y$43,Forecast!Y$58),0)</f>
        <v>5</v>
      </c>
      <c r="Z26" s="13" t="n">
        <f aca="false">Scenarios!$B$45*IF(AND(Z$5&gt;=Inputs!$G$127,Z$5&lt;=Inputs!$H$127,OR(Inputs!$I$127=0,MONTH(Forecast!Z$7)=Inputs!$I$127)),Inputs!$B$127+Inputs!$C$127/1000*CHOOSE(Inputs!$D$127,Forecast!Z$30,Forecast!Z$35,Forecast!Z$43,Forecast!Z$58),0)</f>
        <v>5</v>
      </c>
      <c r="AA26" s="13" t="n">
        <f aca="false">Scenarios!$B$45*IF(AND(AA$5&gt;=Inputs!$G$127,AA$5&lt;=Inputs!$H$127,OR(Inputs!$I$127=0,MONTH(Forecast!AA$7)=Inputs!$I$127)),Inputs!$B$127+Inputs!$C$127/1000*CHOOSE(Inputs!$D$127,Forecast!AA$30,Forecast!AA$35,Forecast!AA$43,Forecast!AA$58),0)</f>
        <v>5</v>
      </c>
      <c r="AB26" s="13" t="n">
        <f aca="false">Scenarios!$B$45*IF(AND(AB$5&gt;=Inputs!$G$127,AB$5&lt;=Inputs!$H$127,OR(Inputs!$I$127=0,MONTH(Forecast!AB$7)=Inputs!$I$127)),Inputs!$B$127+Inputs!$C$127/1000*CHOOSE(Inputs!$D$127,Forecast!AB$30,Forecast!AB$35,Forecast!AB$43,Forecast!AB$58),0)</f>
        <v>5</v>
      </c>
      <c r="AC26" s="13" t="n">
        <f aca="false">Scenarios!$B$45*IF(AND(AC$5&gt;=Inputs!$G$127,AC$5&lt;=Inputs!$H$127,OR(Inputs!$I$127=0,MONTH(Forecast!AC$7)=Inputs!$I$127)),Inputs!$B$127+Inputs!$C$127/1000*CHOOSE(Inputs!$D$127,Forecast!AC$30,Forecast!AC$35,Forecast!AC$43,Forecast!AC$58),0)</f>
        <v>5</v>
      </c>
      <c r="AD26" s="13" t="n">
        <f aca="false">Scenarios!$B$45*IF(AND(AD$5&gt;=Inputs!$G$127,AD$5&lt;=Inputs!$H$127,OR(Inputs!$I$127=0,MONTH(Forecast!AD$7)=Inputs!$I$127)),Inputs!$B$127+Inputs!$C$127/1000*CHOOSE(Inputs!$D$127,Forecast!AD$30,Forecast!AD$35,Forecast!AD$43,Forecast!AD$58),0)</f>
        <v>5</v>
      </c>
      <c r="AE26" s="13" t="n">
        <f aca="false">Scenarios!$B$45*IF(AND(AE$5&gt;=Inputs!$G$127,AE$5&lt;=Inputs!$H$127,OR(Inputs!$I$127=0,MONTH(Forecast!AE$7)=Inputs!$I$127)),Inputs!$B$127+Inputs!$C$127/1000*CHOOSE(Inputs!$D$127,Forecast!AE$30,Forecast!AE$35,Forecast!AE$43,Forecast!AE$58),0)</f>
        <v>5</v>
      </c>
      <c r="AF26" s="13" t="n">
        <f aca="false">Scenarios!$B$45*IF(AND(AF$5&gt;=Inputs!$G$127,AF$5&lt;=Inputs!$H$127,OR(Inputs!$I$127=0,MONTH(Forecast!AF$7)=Inputs!$I$127)),Inputs!$B$127+Inputs!$C$127/1000*CHOOSE(Inputs!$D$127,Forecast!AF$30,Forecast!AF$35,Forecast!AF$43,Forecast!AF$58),0)</f>
        <v>5</v>
      </c>
      <c r="AG26" s="13" t="n">
        <f aca="false">Scenarios!$B$45*IF(AND(AG$5&gt;=Inputs!$G$127,AG$5&lt;=Inputs!$H$127,OR(Inputs!$I$127=0,MONTH(Forecast!AG$7)=Inputs!$I$127)),Inputs!$B$127+Inputs!$C$127/1000*CHOOSE(Inputs!$D$127,Forecast!AG$30,Forecast!AG$35,Forecast!AG$43,Forecast!AG$58),0)</f>
        <v>5</v>
      </c>
      <c r="AH26" s="13" t="n">
        <f aca="false">Scenarios!$B$45*IF(AND(AH$5&gt;=Inputs!$G$127,AH$5&lt;=Inputs!$H$127,OR(Inputs!$I$127=0,MONTH(Forecast!AH$7)=Inputs!$I$127)),Inputs!$B$127+Inputs!$C$127/1000*CHOOSE(Inputs!$D$127,Forecast!AH$30,Forecast!AH$35,Forecast!AH$43,Forecast!AH$58),0)</f>
        <v>5</v>
      </c>
      <c r="AI26" s="13" t="n">
        <f aca="false">Scenarios!$B$45*IF(AND(AI$5&gt;=Inputs!$G$127,AI$5&lt;=Inputs!$H$127,OR(Inputs!$I$127=0,MONTH(Forecast!AI$7)=Inputs!$I$127)),Inputs!$B$127+Inputs!$C$127/1000*CHOOSE(Inputs!$D$127,Forecast!AI$30,Forecast!AI$35,Forecast!AI$43,Forecast!AI$58),0)</f>
        <v>5</v>
      </c>
      <c r="AJ26" s="13" t="n">
        <f aca="false">Scenarios!$B$45*IF(AND(AJ$5&gt;=Inputs!$G$127,AJ$5&lt;=Inputs!$H$127,OR(Inputs!$I$127=0,MONTH(Forecast!AJ$7)=Inputs!$I$127)),Inputs!$B$127+Inputs!$C$127/1000*CHOOSE(Inputs!$D$127,Forecast!AJ$30,Forecast!AJ$35,Forecast!AJ$43,Forecast!AJ$58),0)</f>
        <v>5</v>
      </c>
      <c r="AK26" s="13" t="n">
        <f aca="false">Scenarios!$B$45*IF(AND(AK$5&gt;=Inputs!$G$127,AK$5&lt;=Inputs!$H$127,OR(Inputs!$I$127=0,MONTH(Forecast!AK$7)=Inputs!$I$127)),Inputs!$B$127+Inputs!$C$127/1000*CHOOSE(Inputs!$D$127,Forecast!AK$30,Forecast!AK$35,Forecast!AK$43,Forecast!AK$58),0)</f>
        <v>5</v>
      </c>
      <c r="AL26" s="13" t="n">
        <f aca="false">Scenarios!$B$45*IF(AND(AL$5&gt;=Inputs!$G$127,AL$5&lt;=Inputs!$H$127,OR(Inputs!$I$127=0,MONTH(Forecast!AL$7)=Inputs!$I$127)),Inputs!$B$127+Inputs!$C$127/1000*CHOOSE(Inputs!$D$127,Forecast!AL$30,Forecast!AL$35,Forecast!AL$43,Forecast!AL$58),0)</f>
        <v>5</v>
      </c>
      <c r="AM26" s="13" t="n">
        <f aca="false">Scenarios!$B$45*IF(AND(AM$5&gt;=Inputs!$G$127,AM$5&lt;=Inputs!$H$127,OR(Inputs!$I$127=0,MONTH(Forecast!AM$7)=Inputs!$I$127)),Inputs!$B$127+Inputs!$C$127/1000*CHOOSE(Inputs!$D$127,Forecast!AM$30,Forecast!AM$35,Forecast!AM$43,Forecast!AM$58),0)</f>
        <v>5</v>
      </c>
    </row>
    <row r="27" customFormat="false" ht="15" hidden="false" customHeight="false" outlineLevel="0" collapsed="false">
      <c r="A27" s="6" t="str">
        <f aca="false">Inputs!A128</f>
        <v>Error and spend alerting add-on (SEC-09; Sentry Team already in Monitoring line)</v>
      </c>
      <c r="B27" s="6" t="n">
        <f aca="false">Inputs!D128</f>
        <v>1</v>
      </c>
      <c r="D27" s="13" t="n">
        <f aca="false">Scenarios!$B$45*IF(AND(D$5&gt;=Inputs!$G$128,D$5&lt;=Inputs!$H$128,OR(Inputs!$I$128=0,MONTH(Forecast!D$7)=Inputs!$I$128)),Inputs!$B$128+Inputs!$C$128/1000*CHOOSE(Inputs!$D$128,Forecast!D$30,Forecast!D$35,Forecast!D$43,Forecast!D$58),0)</f>
        <v>10</v>
      </c>
      <c r="E27" s="13" t="n">
        <f aca="false">Scenarios!$B$45*IF(AND(E$5&gt;=Inputs!$G$128,E$5&lt;=Inputs!$H$128,OR(Inputs!$I$128=0,MONTH(Forecast!E$7)=Inputs!$I$128)),Inputs!$B$128+Inputs!$C$128/1000*CHOOSE(Inputs!$D$128,Forecast!E$30,Forecast!E$35,Forecast!E$43,Forecast!E$58),0)</f>
        <v>10</v>
      </c>
      <c r="F27" s="13" t="n">
        <f aca="false">Scenarios!$B$45*IF(AND(F$5&gt;=Inputs!$G$128,F$5&lt;=Inputs!$H$128,OR(Inputs!$I$128=0,MONTH(Forecast!F$7)=Inputs!$I$128)),Inputs!$B$128+Inputs!$C$128/1000*CHOOSE(Inputs!$D$128,Forecast!F$30,Forecast!F$35,Forecast!F$43,Forecast!F$58),0)</f>
        <v>10</v>
      </c>
      <c r="G27" s="13" t="n">
        <f aca="false">Scenarios!$B$45*IF(AND(G$5&gt;=Inputs!$G$128,G$5&lt;=Inputs!$H$128,OR(Inputs!$I$128=0,MONTH(Forecast!G$7)=Inputs!$I$128)),Inputs!$B$128+Inputs!$C$128/1000*CHOOSE(Inputs!$D$128,Forecast!G$30,Forecast!G$35,Forecast!G$43,Forecast!G$58),0)</f>
        <v>10</v>
      </c>
      <c r="H27" s="13" t="n">
        <f aca="false">Scenarios!$B$45*IF(AND(H$5&gt;=Inputs!$G$128,H$5&lt;=Inputs!$H$128,OR(Inputs!$I$128=0,MONTH(Forecast!H$7)=Inputs!$I$128)),Inputs!$B$128+Inputs!$C$128/1000*CHOOSE(Inputs!$D$128,Forecast!H$30,Forecast!H$35,Forecast!H$43,Forecast!H$58),0)</f>
        <v>10</v>
      </c>
      <c r="I27" s="13" t="n">
        <f aca="false">Scenarios!$B$45*IF(AND(I$5&gt;=Inputs!$G$128,I$5&lt;=Inputs!$H$128,OR(Inputs!$I$128=0,MONTH(Forecast!I$7)=Inputs!$I$128)),Inputs!$B$128+Inputs!$C$128/1000*CHOOSE(Inputs!$D$128,Forecast!I$30,Forecast!I$35,Forecast!I$43,Forecast!I$58),0)</f>
        <v>10</v>
      </c>
      <c r="J27" s="13" t="n">
        <f aca="false">Scenarios!$B$45*IF(AND(J$5&gt;=Inputs!$G$128,J$5&lt;=Inputs!$H$128,OR(Inputs!$I$128=0,MONTH(Forecast!J$7)=Inputs!$I$128)),Inputs!$B$128+Inputs!$C$128/1000*CHOOSE(Inputs!$D$128,Forecast!J$30,Forecast!J$35,Forecast!J$43,Forecast!J$58),0)</f>
        <v>10</v>
      </c>
      <c r="K27" s="13" t="n">
        <f aca="false">Scenarios!$B$45*IF(AND(K$5&gt;=Inputs!$G$128,K$5&lt;=Inputs!$H$128,OR(Inputs!$I$128=0,MONTH(Forecast!K$7)=Inputs!$I$128)),Inputs!$B$128+Inputs!$C$128/1000*CHOOSE(Inputs!$D$128,Forecast!K$30,Forecast!K$35,Forecast!K$43,Forecast!K$58),0)</f>
        <v>10</v>
      </c>
      <c r="L27" s="13" t="n">
        <f aca="false">Scenarios!$B$45*IF(AND(L$5&gt;=Inputs!$G$128,L$5&lt;=Inputs!$H$128,OR(Inputs!$I$128=0,MONTH(Forecast!L$7)=Inputs!$I$128)),Inputs!$B$128+Inputs!$C$128/1000*CHOOSE(Inputs!$D$128,Forecast!L$30,Forecast!L$35,Forecast!L$43,Forecast!L$58),0)</f>
        <v>10</v>
      </c>
      <c r="M27" s="13" t="n">
        <f aca="false">Scenarios!$B$45*IF(AND(M$5&gt;=Inputs!$G$128,M$5&lt;=Inputs!$H$128,OR(Inputs!$I$128=0,MONTH(Forecast!M$7)=Inputs!$I$128)),Inputs!$B$128+Inputs!$C$128/1000*CHOOSE(Inputs!$D$128,Forecast!M$30,Forecast!M$35,Forecast!M$43,Forecast!M$58),0)</f>
        <v>10</v>
      </c>
      <c r="N27" s="13" t="n">
        <f aca="false">Scenarios!$B$45*IF(AND(N$5&gt;=Inputs!$G$128,N$5&lt;=Inputs!$H$128,OR(Inputs!$I$128=0,MONTH(Forecast!N$7)=Inputs!$I$128)),Inputs!$B$128+Inputs!$C$128/1000*CHOOSE(Inputs!$D$128,Forecast!N$30,Forecast!N$35,Forecast!N$43,Forecast!N$58),0)</f>
        <v>10</v>
      </c>
      <c r="O27" s="13" t="n">
        <f aca="false">Scenarios!$B$45*IF(AND(O$5&gt;=Inputs!$G$128,O$5&lt;=Inputs!$H$128,OR(Inputs!$I$128=0,MONTH(Forecast!O$7)=Inputs!$I$128)),Inputs!$B$128+Inputs!$C$128/1000*CHOOSE(Inputs!$D$128,Forecast!O$30,Forecast!O$35,Forecast!O$43,Forecast!O$58),0)</f>
        <v>10</v>
      </c>
      <c r="P27" s="13" t="n">
        <f aca="false">Scenarios!$B$45*IF(AND(P$5&gt;=Inputs!$G$128,P$5&lt;=Inputs!$H$128,OR(Inputs!$I$128=0,MONTH(Forecast!P$7)=Inputs!$I$128)),Inputs!$B$128+Inputs!$C$128/1000*CHOOSE(Inputs!$D$128,Forecast!P$30,Forecast!P$35,Forecast!P$43,Forecast!P$58),0)</f>
        <v>10</v>
      </c>
      <c r="Q27" s="13" t="n">
        <f aca="false">Scenarios!$B$45*IF(AND(Q$5&gt;=Inputs!$G$128,Q$5&lt;=Inputs!$H$128,OR(Inputs!$I$128=0,MONTH(Forecast!Q$7)=Inputs!$I$128)),Inputs!$B$128+Inputs!$C$128/1000*CHOOSE(Inputs!$D$128,Forecast!Q$30,Forecast!Q$35,Forecast!Q$43,Forecast!Q$58),0)</f>
        <v>10</v>
      </c>
      <c r="R27" s="13" t="n">
        <f aca="false">Scenarios!$B$45*IF(AND(R$5&gt;=Inputs!$G$128,R$5&lt;=Inputs!$H$128,OR(Inputs!$I$128=0,MONTH(Forecast!R$7)=Inputs!$I$128)),Inputs!$B$128+Inputs!$C$128/1000*CHOOSE(Inputs!$D$128,Forecast!R$30,Forecast!R$35,Forecast!R$43,Forecast!R$58),0)</f>
        <v>10</v>
      </c>
      <c r="S27" s="13" t="n">
        <f aca="false">Scenarios!$B$45*IF(AND(S$5&gt;=Inputs!$G$128,S$5&lt;=Inputs!$H$128,OR(Inputs!$I$128=0,MONTH(Forecast!S$7)=Inputs!$I$128)),Inputs!$B$128+Inputs!$C$128/1000*CHOOSE(Inputs!$D$128,Forecast!S$30,Forecast!S$35,Forecast!S$43,Forecast!S$58),0)</f>
        <v>10</v>
      </c>
      <c r="T27" s="13" t="n">
        <f aca="false">Scenarios!$B$45*IF(AND(T$5&gt;=Inputs!$G$128,T$5&lt;=Inputs!$H$128,OR(Inputs!$I$128=0,MONTH(Forecast!T$7)=Inputs!$I$128)),Inputs!$B$128+Inputs!$C$128/1000*CHOOSE(Inputs!$D$128,Forecast!T$30,Forecast!T$35,Forecast!T$43,Forecast!T$58),0)</f>
        <v>10</v>
      </c>
      <c r="U27" s="13" t="n">
        <f aca="false">Scenarios!$B$45*IF(AND(U$5&gt;=Inputs!$G$128,U$5&lt;=Inputs!$H$128,OR(Inputs!$I$128=0,MONTH(Forecast!U$7)=Inputs!$I$128)),Inputs!$B$128+Inputs!$C$128/1000*CHOOSE(Inputs!$D$128,Forecast!U$30,Forecast!U$35,Forecast!U$43,Forecast!U$58),0)</f>
        <v>10</v>
      </c>
      <c r="V27" s="13" t="n">
        <f aca="false">Scenarios!$B$45*IF(AND(V$5&gt;=Inputs!$G$128,V$5&lt;=Inputs!$H$128,OR(Inputs!$I$128=0,MONTH(Forecast!V$7)=Inputs!$I$128)),Inputs!$B$128+Inputs!$C$128/1000*CHOOSE(Inputs!$D$128,Forecast!V$30,Forecast!V$35,Forecast!V$43,Forecast!V$58),0)</f>
        <v>10</v>
      </c>
      <c r="W27" s="13" t="n">
        <f aca="false">Scenarios!$B$45*IF(AND(W$5&gt;=Inputs!$G$128,W$5&lt;=Inputs!$H$128,OR(Inputs!$I$128=0,MONTH(Forecast!W$7)=Inputs!$I$128)),Inputs!$B$128+Inputs!$C$128/1000*CHOOSE(Inputs!$D$128,Forecast!W$30,Forecast!W$35,Forecast!W$43,Forecast!W$58),0)</f>
        <v>10</v>
      </c>
      <c r="X27" s="13" t="n">
        <f aca="false">Scenarios!$B$45*IF(AND(X$5&gt;=Inputs!$G$128,X$5&lt;=Inputs!$H$128,OR(Inputs!$I$128=0,MONTH(Forecast!X$7)=Inputs!$I$128)),Inputs!$B$128+Inputs!$C$128/1000*CHOOSE(Inputs!$D$128,Forecast!X$30,Forecast!X$35,Forecast!X$43,Forecast!X$58),0)</f>
        <v>10</v>
      </c>
      <c r="Y27" s="13" t="n">
        <f aca="false">Scenarios!$B$45*IF(AND(Y$5&gt;=Inputs!$G$128,Y$5&lt;=Inputs!$H$128,OR(Inputs!$I$128=0,MONTH(Forecast!Y$7)=Inputs!$I$128)),Inputs!$B$128+Inputs!$C$128/1000*CHOOSE(Inputs!$D$128,Forecast!Y$30,Forecast!Y$35,Forecast!Y$43,Forecast!Y$58),0)</f>
        <v>10</v>
      </c>
      <c r="Z27" s="13" t="n">
        <f aca="false">Scenarios!$B$45*IF(AND(Z$5&gt;=Inputs!$G$128,Z$5&lt;=Inputs!$H$128,OR(Inputs!$I$128=0,MONTH(Forecast!Z$7)=Inputs!$I$128)),Inputs!$B$128+Inputs!$C$128/1000*CHOOSE(Inputs!$D$128,Forecast!Z$30,Forecast!Z$35,Forecast!Z$43,Forecast!Z$58),0)</f>
        <v>10</v>
      </c>
      <c r="AA27" s="13" t="n">
        <f aca="false">Scenarios!$B$45*IF(AND(AA$5&gt;=Inputs!$G$128,AA$5&lt;=Inputs!$H$128,OR(Inputs!$I$128=0,MONTH(Forecast!AA$7)=Inputs!$I$128)),Inputs!$B$128+Inputs!$C$128/1000*CHOOSE(Inputs!$D$128,Forecast!AA$30,Forecast!AA$35,Forecast!AA$43,Forecast!AA$58),0)</f>
        <v>10</v>
      </c>
      <c r="AB27" s="13" t="n">
        <f aca="false">Scenarios!$B$45*IF(AND(AB$5&gt;=Inputs!$G$128,AB$5&lt;=Inputs!$H$128,OR(Inputs!$I$128=0,MONTH(Forecast!AB$7)=Inputs!$I$128)),Inputs!$B$128+Inputs!$C$128/1000*CHOOSE(Inputs!$D$128,Forecast!AB$30,Forecast!AB$35,Forecast!AB$43,Forecast!AB$58),0)</f>
        <v>10</v>
      </c>
      <c r="AC27" s="13" t="n">
        <f aca="false">Scenarios!$B$45*IF(AND(AC$5&gt;=Inputs!$G$128,AC$5&lt;=Inputs!$H$128,OR(Inputs!$I$128=0,MONTH(Forecast!AC$7)=Inputs!$I$128)),Inputs!$B$128+Inputs!$C$128/1000*CHOOSE(Inputs!$D$128,Forecast!AC$30,Forecast!AC$35,Forecast!AC$43,Forecast!AC$58),0)</f>
        <v>10</v>
      </c>
      <c r="AD27" s="13" t="n">
        <f aca="false">Scenarios!$B$45*IF(AND(AD$5&gt;=Inputs!$G$128,AD$5&lt;=Inputs!$H$128,OR(Inputs!$I$128=0,MONTH(Forecast!AD$7)=Inputs!$I$128)),Inputs!$B$128+Inputs!$C$128/1000*CHOOSE(Inputs!$D$128,Forecast!AD$30,Forecast!AD$35,Forecast!AD$43,Forecast!AD$58),0)</f>
        <v>10</v>
      </c>
      <c r="AE27" s="13" t="n">
        <f aca="false">Scenarios!$B$45*IF(AND(AE$5&gt;=Inputs!$G$128,AE$5&lt;=Inputs!$H$128,OR(Inputs!$I$128=0,MONTH(Forecast!AE$7)=Inputs!$I$128)),Inputs!$B$128+Inputs!$C$128/1000*CHOOSE(Inputs!$D$128,Forecast!AE$30,Forecast!AE$35,Forecast!AE$43,Forecast!AE$58),0)</f>
        <v>10</v>
      </c>
      <c r="AF27" s="13" t="n">
        <f aca="false">Scenarios!$B$45*IF(AND(AF$5&gt;=Inputs!$G$128,AF$5&lt;=Inputs!$H$128,OR(Inputs!$I$128=0,MONTH(Forecast!AF$7)=Inputs!$I$128)),Inputs!$B$128+Inputs!$C$128/1000*CHOOSE(Inputs!$D$128,Forecast!AF$30,Forecast!AF$35,Forecast!AF$43,Forecast!AF$58),0)</f>
        <v>10</v>
      </c>
      <c r="AG27" s="13" t="n">
        <f aca="false">Scenarios!$B$45*IF(AND(AG$5&gt;=Inputs!$G$128,AG$5&lt;=Inputs!$H$128,OR(Inputs!$I$128=0,MONTH(Forecast!AG$7)=Inputs!$I$128)),Inputs!$B$128+Inputs!$C$128/1000*CHOOSE(Inputs!$D$128,Forecast!AG$30,Forecast!AG$35,Forecast!AG$43,Forecast!AG$58),0)</f>
        <v>10</v>
      </c>
      <c r="AH27" s="13" t="n">
        <f aca="false">Scenarios!$B$45*IF(AND(AH$5&gt;=Inputs!$G$128,AH$5&lt;=Inputs!$H$128,OR(Inputs!$I$128=0,MONTH(Forecast!AH$7)=Inputs!$I$128)),Inputs!$B$128+Inputs!$C$128/1000*CHOOSE(Inputs!$D$128,Forecast!AH$30,Forecast!AH$35,Forecast!AH$43,Forecast!AH$58),0)</f>
        <v>10</v>
      </c>
      <c r="AI27" s="13" t="n">
        <f aca="false">Scenarios!$B$45*IF(AND(AI$5&gt;=Inputs!$G$128,AI$5&lt;=Inputs!$H$128,OR(Inputs!$I$128=0,MONTH(Forecast!AI$7)=Inputs!$I$128)),Inputs!$B$128+Inputs!$C$128/1000*CHOOSE(Inputs!$D$128,Forecast!AI$30,Forecast!AI$35,Forecast!AI$43,Forecast!AI$58),0)</f>
        <v>10</v>
      </c>
      <c r="AJ27" s="13" t="n">
        <f aca="false">Scenarios!$B$45*IF(AND(AJ$5&gt;=Inputs!$G$128,AJ$5&lt;=Inputs!$H$128,OR(Inputs!$I$128=0,MONTH(Forecast!AJ$7)=Inputs!$I$128)),Inputs!$B$128+Inputs!$C$128/1000*CHOOSE(Inputs!$D$128,Forecast!AJ$30,Forecast!AJ$35,Forecast!AJ$43,Forecast!AJ$58),0)</f>
        <v>10</v>
      </c>
      <c r="AK27" s="13" t="n">
        <f aca="false">Scenarios!$B$45*IF(AND(AK$5&gt;=Inputs!$G$128,AK$5&lt;=Inputs!$H$128,OR(Inputs!$I$128=0,MONTH(Forecast!AK$7)=Inputs!$I$128)),Inputs!$B$128+Inputs!$C$128/1000*CHOOSE(Inputs!$D$128,Forecast!AK$30,Forecast!AK$35,Forecast!AK$43,Forecast!AK$58),0)</f>
        <v>10</v>
      </c>
      <c r="AL27" s="13" t="n">
        <f aca="false">Scenarios!$B$45*IF(AND(AL$5&gt;=Inputs!$G$128,AL$5&lt;=Inputs!$H$128,OR(Inputs!$I$128=0,MONTH(Forecast!AL$7)=Inputs!$I$128)),Inputs!$B$128+Inputs!$C$128/1000*CHOOSE(Inputs!$D$128,Forecast!AL$30,Forecast!AL$35,Forecast!AL$43,Forecast!AL$58),0)</f>
        <v>10</v>
      </c>
      <c r="AM27" s="13" t="n">
        <f aca="false">Scenarios!$B$45*IF(AND(AM$5&gt;=Inputs!$G$128,AM$5&lt;=Inputs!$H$128,OR(Inputs!$I$128=0,MONTH(Forecast!AM$7)=Inputs!$I$128)),Inputs!$B$128+Inputs!$C$128/1000*CHOOSE(Inputs!$D$128,Forecast!AM$30,Forecast!AM$35,Forecast!AM$43,Forecast!AM$58),0)</f>
        <v>10</v>
      </c>
    </row>
    <row r="28" customFormat="false" ht="15" hidden="false" customHeight="false" outlineLevel="0" collapsed="false">
      <c r="A28" s="6" t="str">
        <f aca="false">Inputs!A129</f>
        <v>Data / BI: Metabase OSS host</v>
      </c>
      <c r="B28" s="6" t="n">
        <f aca="false">Inputs!D129</f>
        <v>1</v>
      </c>
      <c r="D28" s="13" t="n">
        <f aca="false">Scenarios!$B$45*IF(AND(D$5&gt;=Inputs!$G$129,D$5&lt;=Inputs!$H$129,OR(Inputs!$I$129=0,MONTH(Forecast!D$7)=Inputs!$I$129)),Inputs!$B$129+Inputs!$C$129/1000*CHOOSE(Inputs!$D$129,Forecast!D$30,Forecast!D$35,Forecast!D$43,Forecast!D$58),0)</f>
        <v>7.5</v>
      </c>
      <c r="E28" s="13" t="n">
        <f aca="false">Scenarios!$B$45*IF(AND(E$5&gt;=Inputs!$G$129,E$5&lt;=Inputs!$H$129,OR(Inputs!$I$129=0,MONTH(Forecast!E$7)=Inputs!$I$129)),Inputs!$B$129+Inputs!$C$129/1000*CHOOSE(Inputs!$D$129,Forecast!E$30,Forecast!E$35,Forecast!E$43,Forecast!E$58),0)</f>
        <v>7.5</v>
      </c>
      <c r="F28" s="13" t="n">
        <f aca="false">Scenarios!$B$45*IF(AND(F$5&gt;=Inputs!$G$129,F$5&lt;=Inputs!$H$129,OR(Inputs!$I$129=0,MONTH(Forecast!F$7)=Inputs!$I$129)),Inputs!$B$129+Inputs!$C$129/1000*CHOOSE(Inputs!$D$129,Forecast!F$30,Forecast!F$35,Forecast!F$43,Forecast!F$58),0)</f>
        <v>7.5</v>
      </c>
      <c r="G28" s="13" t="n">
        <f aca="false">Scenarios!$B$45*IF(AND(G$5&gt;=Inputs!$G$129,G$5&lt;=Inputs!$H$129,OR(Inputs!$I$129=0,MONTH(Forecast!G$7)=Inputs!$I$129)),Inputs!$B$129+Inputs!$C$129/1000*CHOOSE(Inputs!$D$129,Forecast!G$30,Forecast!G$35,Forecast!G$43,Forecast!G$58),0)</f>
        <v>7.5</v>
      </c>
      <c r="H28" s="13" t="n">
        <f aca="false">Scenarios!$B$45*IF(AND(H$5&gt;=Inputs!$G$129,H$5&lt;=Inputs!$H$129,OR(Inputs!$I$129=0,MONTH(Forecast!H$7)=Inputs!$I$129)),Inputs!$B$129+Inputs!$C$129/1000*CHOOSE(Inputs!$D$129,Forecast!H$30,Forecast!H$35,Forecast!H$43,Forecast!H$58),0)</f>
        <v>7.5</v>
      </c>
      <c r="I28" s="13" t="n">
        <f aca="false">Scenarios!$B$45*IF(AND(I$5&gt;=Inputs!$G$129,I$5&lt;=Inputs!$H$129,OR(Inputs!$I$129=0,MONTH(Forecast!I$7)=Inputs!$I$129)),Inputs!$B$129+Inputs!$C$129/1000*CHOOSE(Inputs!$D$129,Forecast!I$30,Forecast!I$35,Forecast!I$43,Forecast!I$58),0)</f>
        <v>7.5</v>
      </c>
      <c r="J28" s="13" t="n">
        <f aca="false">Scenarios!$B$45*IF(AND(J$5&gt;=Inputs!$G$129,J$5&lt;=Inputs!$H$129,OR(Inputs!$I$129=0,MONTH(Forecast!J$7)=Inputs!$I$129)),Inputs!$B$129+Inputs!$C$129/1000*CHOOSE(Inputs!$D$129,Forecast!J$30,Forecast!J$35,Forecast!J$43,Forecast!J$58),0)</f>
        <v>7.5</v>
      </c>
      <c r="K28" s="13" t="n">
        <f aca="false">Scenarios!$B$45*IF(AND(K$5&gt;=Inputs!$G$129,K$5&lt;=Inputs!$H$129,OR(Inputs!$I$129=0,MONTH(Forecast!K$7)=Inputs!$I$129)),Inputs!$B$129+Inputs!$C$129/1000*CHOOSE(Inputs!$D$129,Forecast!K$30,Forecast!K$35,Forecast!K$43,Forecast!K$58),0)</f>
        <v>7.5</v>
      </c>
      <c r="L28" s="13" t="n">
        <f aca="false">Scenarios!$B$45*IF(AND(L$5&gt;=Inputs!$G$129,L$5&lt;=Inputs!$H$129,OR(Inputs!$I$129=0,MONTH(Forecast!L$7)=Inputs!$I$129)),Inputs!$B$129+Inputs!$C$129/1000*CHOOSE(Inputs!$D$129,Forecast!L$30,Forecast!L$35,Forecast!L$43,Forecast!L$58),0)</f>
        <v>7.5</v>
      </c>
      <c r="M28" s="13" t="n">
        <f aca="false">Scenarios!$B$45*IF(AND(M$5&gt;=Inputs!$G$129,M$5&lt;=Inputs!$H$129,OR(Inputs!$I$129=0,MONTH(Forecast!M$7)=Inputs!$I$129)),Inputs!$B$129+Inputs!$C$129/1000*CHOOSE(Inputs!$D$129,Forecast!M$30,Forecast!M$35,Forecast!M$43,Forecast!M$58),0)</f>
        <v>7.5</v>
      </c>
      <c r="N28" s="13" t="n">
        <f aca="false">Scenarios!$B$45*IF(AND(N$5&gt;=Inputs!$G$129,N$5&lt;=Inputs!$H$129,OR(Inputs!$I$129=0,MONTH(Forecast!N$7)=Inputs!$I$129)),Inputs!$B$129+Inputs!$C$129/1000*CHOOSE(Inputs!$D$129,Forecast!N$30,Forecast!N$35,Forecast!N$43,Forecast!N$58),0)</f>
        <v>7.5</v>
      </c>
      <c r="O28" s="13" t="n">
        <f aca="false">Scenarios!$B$45*IF(AND(O$5&gt;=Inputs!$G$129,O$5&lt;=Inputs!$H$129,OR(Inputs!$I$129=0,MONTH(Forecast!O$7)=Inputs!$I$129)),Inputs!$B$129+Inputs!$C$129/1000*CHOOSE(Inputs!$D$129,Forecast!O$30,Forecast!O$35,Forecast!O$43,Forecast!O$58),0)</f>
        <v>7.5</v>
      </c>
      <c r="P28" s="13" t="n">
        <f aca="false">Scenarios!$B$45*IF(AND(P$5&gt;=Inputs!$G$129,P$5&lt;=Inputs!$H$129,OR(Inputs!$I$129=0,MONTH(Forecast!P$7)=Inputs!$I$129)),Inputs!$B$129+Inputs!$C$129/1000*CHOOSE(Inputs!$D$129,Forecast!P$30,Forecast!P$35,Forecast!P$43,Forecast!P$58),0)</f>
        <v>7.5</v>
      </c>
      <c r="Q28" s="13" t="n">
        <f aca="false">Scenarios!$B$45*IF(AND(Q$5&gt;=Inputs!$G$129,Q$5&lt;=Inputs!$H$129,OR(Inputs!$I$129=0,MONTH(Forecast!Q$7)=Inputs!$I$129)),Inputs!$B$129+Inputs!$C$129/1000*CHOOSE(Inputs!$D$129,Forecast!Q$30,Forecast!Q$35,Forecast!Q$43,Forecast!Q$58),0)</f>
        <v>7.5</v>
      </c>
      <c r="R28" s="13" t="n">
        <f aca="false">Scenarios!$B$45*IF(AND(R$5&gt;=Inputs!$G$129,R$5&lt;=Inputs!$H$129,OR(Inputs!$I$129=0,MONTH(Forecast!R$7)=Inputs!$I$129)),Inputs!$B$129+Inputs!$C$129/1000*CHOOSE(Inputs!$D$129,Forecast!R$30,Forecast!R$35,Forecast!R$43,Forecast!R$58),0)</f>
        <v>7.5</v>
      </c>
      <c r="S28" s="13" t="n">
        <f aca="false">Scenarios!$B$45*IF(AND(S$5&gt;=Inputs!$G$129,S$5&lt;=Inputs!$H$129,OR(Inputs!$I$129=0,MONTH(Forecast!S$7)=Inputs!$I$129)),Inputs!$B$129+Inputs!$C$129/1000*CHOOSE(Inputs!$D$129,Forecast!S$30,Forecast!S$35,Forecast!S$43,Forecast!S$58),0)</f>
        <v>7.5</v>
      </c>
      <c r="T28" s="13" t="n">
        <f aca="false">Scenarios!$B$45*IF(AND(T$5&gt;=Inputs!$G$129,T$5&lt;=Inputs!$H$129,OR(Inputs!$I$129=0,MONTH(Forecast!T$7)=Inputs!$I$129)),Inputs!$B$129+Inputs!$C$129/1000*CHOOSE(Inputs!$D$129,Forecast!T$30,Forecast!T$35,Forecast!T$43,Forecast!T$58),0)</f>
        <v>7.5</v>
      </c>
      <c r="U28" s="13" t="n">
        <f aca="false">Scenarios!$B$45*IF(AND(U$5&gt;=Inputs!$G$129,U$5&lt;=Inputs!$H$129,OR(Inputs!$I$129=0,MONTH(Forecast!U$7)=Inputs!$I$129)),Inputs!$B$129+Inputs!$C$129/1000*CHOOSE(Inputs!$D$129,Forecast!U$30,Forecast!U$35,Forecast!U$43,Forecast!U$58),0)</f>
        <v>7.5</v>
      </c>
      <c r="V28" s="13" t="n">
        <f aca="false">Scenarios!$B$45*IF(AND(V$5&gt;=Inputs!$G$129,V$5&lt;=Inputs!$H$129,OR(Inputs!$I$129=0,MONTH(Forecast!V$7)=Inputs!$I$129)),Inputs!$B$129+Inputs!$C$129/1000*CHOOSE(Inputs!$D$129,Forecast!V$30,Forecast!V$35,Forecast!V$43,Forecast!V$58),0)</f>
        <v>7.5</v>
      </c>
      <c r="W28" s="13" t="n">
        <f aca="false">Scenarios!$B$45*IF(AND(W$5&gt;=Inputs!$G$129,W$5&lt;=Inputs!$H$129,OR(Inputs!$I$129=0,MONTH(Forecast!W$7)=Inputs!$I$129)),Inputs!$B$129+Inputs!$C$129/1000*CHOOSE(Inputs!$D$129,Forecast!W$30,Forecast!W$35,Forecast!W$43,Forecast!W$58),0)</f>
        <v>7.5</v>
      </c>
      <c r="X28" s="13" t="n">
        <f aca="false">Scenarios!$B$45*IF(AND(X$5&gt;=Inputs!$G$129,X$5&lt;=Inputs!$H$129,OR(Inputs!$I$129=0,MONTH(Forecast!X$7)=Inputs!$I$129)),Inputs!$B$129+Inputs!$C$129/1000*CHOOSE(Inputs!$D$129,Forecast!X$30,Forecast!X$35,Forecast!X$43,Forecast!X$58),0)</f>
        <v>7.5</v>
      </c>
      <c r="Y28" s="13" t="n">
        <f aca="false">Scenarios!$B$45*IF(AND(Y$5&gt;=Inputs!$G$129,Y$5&lt;=Inputs!$H$129,OR(Inputs!$I$129=0,MONTH(Forecast!Y$7)=Inputs!$I$129)),Inputs!$B$129+Inputs!$C$129/1000*CHOOSE(Inputs!$D$129,Forecast!Y$30,Forecast!Y$35,Forecast!Y$43,Forecast!Y$58),0)</f>
        <v>7.5</v>
      </c>
      <c r="Z28" s="13" t="n">
        <f aca="false">Scenarios!$B$45*IF(AND(Z$5&gt;=Inputs!$G$129,Z$5&lt;=Inputs!$H$129,OR(Inputs!$I$129=0,MONTH(Forecast!Z$7)=Inputs!$I$129)),Inputs!$B$129+Inputs!$C$129/1000*CHOOSE(Inputs!$D$129,Forecast!Z$30,Forecast!Z$35,Forecast!Z$43,Forecast!Z$58),0)</f>
        <v>7.5</v>
      </c>
      <c r="AA28" s="13" t="n">
        <f aca="false">Scenarios!$B$45*IF(AND(AA$5&gt;=Inputs!$G$129,AA$5&lt;=Inputs!$H$129,OR(Inputs!$I$129=0,MONTH(Forecast!AA$7)=Inputs!$I$129)),Inputs!$B$129+Inputs!$C$129/1000*CHOOSE(Inputs!$D$129,Forecast!AA$30,Forecast!AA$35,Forecast!AA$43,Forecast!AA$58),0)</f>
        <v>7.5</v>
      </c>
      <c r="AB28" s="13" t="n">
        <f aca="false">Scenarios!$B$45*IF(AND(AB$5&gt;=Inputs!$G$129,AB$5&lt;=Inputs!$H$129,OR(Inputs!$I$129=0,MONTH(Forecast!AB$7)=Inputs!$I$129)),Inputs!$B$129+Inputs!$C$129/1000*CHOOSE(Inputs!$D$129,Forecast!AB$30,Forecast!AB$35,Forecast!AB$43,Forecast!AB$58),0)</f>
        <v>7.5</v>
      </c>
      <c r="AC28" s="13" t="n">
        <f aca="false">Scenarios!$B$45*IF(AND(AC$5&gt;=Inputs!$G$129,AC$5&lt;=Inputs!$H$129,OR(Inputs!$I$129=0,MONTH(Forecast!AC$7)=Inputs!$I$129)),Inputs!$B$129+Inputs!$C$129/1000*CHOOSE(Inputs!$D$129,Forecast!AC$30,Forecast!AC$35,Forecast!AC$43,Forecast!AC$58),0)</f>
        <v>7.5</v>
      </c>
      <c r="AD28" s="13" t="n">
        <f aca="false">Scenarios!$B$45*IF(AND(AD$5&gt;=Inputs!$G$129,AD$5&lt;=Inputs!$H$129,OR(Inputs!$I$129=0,MONTH(Forecast!AD$7)=Inputs!$I$129)),Inputs!$B$129+Inputs!$C$129/1000*CHOOSE(Inputs!$D$129,Forecast!AD$30,Forecast!AD$35,Forecast!AD$43,Forecast!AD$58),0)</f>
        <v>7.5</v>
      </c>
      <c r="AE28" s="13" t="n">
        <f aca="false">Scenarios!$B$45*IF(AND(AE$5&gt;=Inputs!$G$129,AE$5&lt;=Inputs!$H$129,OR(Inputs!$I$129=0,MONTH(Forecast!AE$7)=Inputs!$I$129)),Inputs!$B$129+Inputs!$C$129/1000*CHOOSE(Inputs!$D$129,Forecast!AE$30,Forecast!AE$35,Forecast!AE$43,Forecast!AE$58),0)</f>
        <v>7.5</v>
      </c>
      <c r="AF28" s="13" t="n">
        <f aca="false">Scenarios!$B$45*IF(AND(AF$5&gt;=Inputs!$G$129,AF$5&lt;=Inputs!$H$129,OR(Inputs!$I$129=0,MONTH(Forecast!AF$7)=Inputs!$I$129)),Inputs!$B$129+Inputs!$C$129/1000*CHOOSE(Inputs!$D$129,Forecast!AF$30,Forecast!AF$35,Forecast!AF$43,Forecast!AF$58),0)</f>
        <v>7.5</v>
      </c>
      <c r="AG28" s="13" t="n">
        <f aca="false">Scenarios!$B$45*IF(AND(AG$5&gt;=Inputs!$G$129,AG$5&lt;=Inputs!$H$129,OR(Inputs!$I$129=0,MONTH(Forecast!AG$7)=Inputs!$I$129)),Inputs!$B$129+Inputs!$C$129/1000*CHOOSE(Inputs!$D$129,Forecast!AG$30,Forecast!AG$35,Forecast!AG$43,Forecast!AG$58),0)</f>
        <v>7.5</v>
      </c>
      <c r="AH28" s="13" t="n">
        <f aca="false">Scenarios!$B$45*IF(AND(AH$5&gt;=Inputs!$G$129,AH$5&lt;=Inputs!$H$129,OR(Inputs!$I$129=0,MONTH(Forecast!AH$7)=Inputs!$I$129)),Inputs!$B$129+Inputs!$C$129/1000*CHOOSE(Inputs!$D$129,Forecast!AH$30,Forecast!AH$35,Forecast!AH$43,Forecast!AH$58),0)</f>
        <v>7.5</v>
      </c>
      <c r="AI28" s="13" t="n">
        <f aca="false">Scenarios!$B$45*IF(AND(AI$5&gt;=Inputs!$G$129,AI$5&lt;=Inputs!$H$129,OR(Inputs!$I$129=0,MONTH(Forecast!AI$7)=Inputs!$I$129)),Inputs!$B$129+Inputs!$C$129/1000*CHOOSE(Inputs!$D$129,Forecast!AI$30,Forecast!AI$35,Forecast!AI$43,Forecast!AI$58),0)</f>
        <v>7.5</v>
      </c>
      <c r="AJ28" s="13" t="n">
        <f aca="false">Scenarios!$B$45*IF(AND(AJ$5&gt;=Inputs!$G$129,AJ$5&lt;=Inputs!$H$129,OR(Inputs!$I$129=0,MONTH(Forecast!AJ$7)=Inputs!$I$129)),Inputs!$B$129+Inputs!$C$129/1000*CHOOSE(Inputs!$D$129,Forecast!AJ$30,Forecast!AJ$35,Forecast!AJ$43,Forecast!AJ$58),0)</f>
        <v>7.5</v>
      </c>
      <c r="AK28" s="13" t="n">
        <f aca="false">Scenarios!$B$45*IF(AND(AK$5&gt;=Inputs!$G$129,AK$5&lt;=Inputs!$H$129,OR(Inputs!$I$129=0,MONTH(Forecast!AK$7)=Inputs!$I$129)),Inputs!$B$129+Inputs!$C$129/1000*CHOOSE(Inputs!$D$129,Forecast!AK$30,Forecast!AK$35,Forecast!AK$43,Forecast!AK$58),0)</f>
        <v>7.5</v>
      </c>
      <c r="AL28" s="13" t="n">
        <f aca="false">Scenarios!$B$45*IF(AND(AL$5&gt;=Inputs!$G$129,AL$5&lt;=Inputs!$H$129,OR(Inputs!$I$129=0,MONTH(Forecast!AL$7)=Inputs!$I$129)),Inputs!$B$129+Inputs!$C$129/1000*CHOOSE(Inputs!$D$129,Forecast!AL$30,Forecast!AL$35,Forecast!AL$43,Forecast!AL$58),0)</f>
        <v>7.5</v>
      </c>
      <c r="AM28" s="13" t="n">
        <f aca="false">Scenarios!$B$45*IF(AND(AM$5&gt;=Inputs!$G$129,AM$5&lt;=Inputs!$H$129,OR(Inputs!$I$129=0,MONTH(Forecast!AM$7)=Inputs!$I$129)),Inputs!$B$129+Inputs!$C$129/1000*CHOOSE(Inputs!$D$129,Forecast!AM$30,Forecast!AM$35,Forecast!AM$43,Forecast!AM$58),0)</f>
        <v>7.5</v>
      </c>
    </row>
    <row r="29" customFormat="false" ht="15" hidden="false" customHeight="false" outlineLevel="0" collapsed="false">
      <c r="A29" s="6" t="str">
        <f aca="false">Inputs!A130</f>
        <v>Data / BI: evaluation runs (OpenRouter golden-set)</v>
      </c>
      <c r="B29" s="6" t="n">
        <f aca="false">Inputs!D130</f>
        <v>1</v>
      </c>
      <c r="D29" s="13" t="n">
        <f aca="false">Scenarios!$B$45*IF(AND(D$5&gt;=Inputs!$G$130,D$5&lt;=Inputs!$H$130,OR(Inputs!$I$130=0,MONTH(Forecast!D$7)=Inputs!$I$130)),Inputs!$B$130+Inputs!$C$130/1000*CHOOSE(Inputs!$D$130,Forecast!D$30,Forecast!D$35,Forecast!D$43,Forecast!D$58),0)</f>
        <v>0</v>
      </c>
      <c r="E29" s="13" t="n">
        <f aca="false">Scenarios!$B$45*IF(AND(E$5&gt;=Inputs!$G$130,E$5&lt;=Inputs!$H$130,OR(Inputs!$I$130=0,MONTH(Forecast!E$7)=Inputs!$I$130)),Inputs!$B$130+Inputs!$C$130/1000*CHOOSE(Inputs!$D$130,Forecast!E$30,Forecast!E$35,Forecast!E$43,Forecast!E$58),0)</f>
        <v>40</v>
      </c>
      <c r="F29" s="13" t="n">
        <f aca="false">Scenarios!$B$45*IF(AND(F$5&gt;=Inputs!$G$130,F$5&lt;=Inputs!$H$130,OR(Inputs!$I$130=0,MONTH(Forecast!F$7)=Inputs!$I$130)),Inputs!$B$130+Inputs!$C$130/1000*CHOOSE(Inputs!$D$130,Forecast!F$30,Forecast!F$35,Forecast!F$43,Forecast!F$58),0)</f>
        <v>40</v>
      </c>
      <c r="G29" s="13" t="n">
        <f aca="false">Scenarios!$B$45*IF(AND(G$5&gt;=Inputs!$G$130,G$5&lt;=Inputs!$H$130,OR(Inputs!$I$130=0,MONTH(Forecast!G$7)=Inputs!$I$130)),Inputs!$B$130+Inputs!$C$130/1000*CHOOSE(Inputs!$D$130,Forecast!G$30,Forecast!G$35,Forecast!G$43,Forecast!G$58),0)</f>
        <v>40</v>
      </c>
      <c r="H29" s="13" t="n">
        <f aca="false">Scenarios!$B$45*IF(AND(H$5&gt;=Inputs!$G$130,H$5&lt;=Inputs!$H$130,OR(Inputs!$I$130=0,MONTH(Forecast!H$7)=Inputs!$I$130)),Inputs!$B$130+Inputs!$C$130/1000*CHOOSE(Inputs!$D$130,Forecast!H$30,Forecast!H$35,Forecast!H$43,Forecast!H$58),0)</f>
        <v>40</v>
      </c>
      <c r="I29" s="13" t="n">
        <f aca="false">Scenarios!$B$45*IF(AND(I$5&gt;=Inputs!$G$130,I$5&lt;=Inputs!$H$130,OR(Inputs!$I$130=0,MONTH(Forecast!I$7)=Inputs!$I$130)),Inputs!$B$130+Inputs!$C$130/1000*CHOOSE(Inputs!$D$130,Forecast!I$30,Forecast!I$35,Forecast!I$43,Forecast!I$58),0)</f>
        <v>40</v>
      </c>
      <c r="J29" s="13" t="n">
        <f aca="false">Scenarios!$B$45*IF(AND(J$5&gt;=Inputs!$G$130,J$5&lt;=Inputs!$H$130,OR(Inputs!$I$130=0,MONTH(Forecast!J$7)=Inputs!$I$130)),Inputs!$B$130+Inputs!$C$130/1000*CHOOSE(Inputs!$D$130,Forecast!J$30,Forecast!J$35,Forecast!J$43,Forecast!J$58),0)</f>
        <v>40</v>
      </c>
      <c r="K29" s="13" t="n">
        <f aca="false">Scenarios!$B$45*IF(AND(K$5&gt;=Inputs!$G$130,K$5&lt;=Inputs!$H$130,OR(Inputs!$I$130=0,MONTH(Forecast!K$7)=Inputs!$I$130)),Inputs!$B$130+Inputs!$C$130/1000*CHOOSE(Inputs!$D$130,Forecast!K$30,Forecast!K$35,Forecast!K$43,Forecast!K$58),0)</f>
        <v>40</v>
      </c>
      <c r="L29" s="13" t="n">
        <f aca="false">Scenarios!$B$45*IF(AND(L$5&gt;=Inputs!$G$130,L$5&lt;=Inputs!$H$130,OR(Inputs!$I$130=0,MONTH(Forecast!L$7)=Inputs!$I$130)),Inputs!$B$130+Inputs!$C$130/1000*CHOOSE(Inputs!$D$130,Forecast!L$30,Forecast!L$35,Forecast!L$43,Forecast!L$58),0)</f>
        <v>40</v>
      </c>
      <c r="M29" s="13" t="n">
        <f aca="false">Scenarios!$B$45*IF(AND(M$5&gt;=Inputs!$G$130,M$5&lt;=Inputs!$H$130,OR(Inputs!$I$130=0,MONTH(Forecast!M$7)=Inputs!$I$130)),Inputs!$B$130+Inputs!$C$130/1000*CHOOSE(Inputs!$D$130,Forecast!M$30,Forecast!M$35,Forecast!M$43,Forecast!M$58),0)</f>
        <v>40</v>
      </c>
      <c r="N29" s="13" t="n">
        <f aca="false">Scenarios!$B$45*IF(AND(N$5&gt;=Inputs!$G$130,N$5&lt;=Inputs!$H$130,OR(Inputs!$I$130=0,MONTH(Forecast!N$7)=Inputs!$I$130)),Inputs!$B$130+Inputs!$C$130/1000*CHOOSE(Inputs!$D$130,Forecast!N$30,Forecast!N$35,Forecast!N$43,Forecast!N$58),0)</f>
        <v>40</v>
      </c>
      <c r="O29" s="13" t="n">
        <f aca="false">Scenarios!$B$45*IF(AND(O$5&gt;=Inputs!$G$130,O$5&lt;=Inputs!$H$130,OR(Inputs!$I$130=0,MONTH(Forecast!O$7)=Inputs!$I$130)),Inputs!$B$130+Inputs!$C$130/1000*CHOOSE(Inputs!$D$130,Forecast!O$30,Forecast!O$35,Forecast!O$43,Forecast!O$58),0)</f>
        <v>40</v>
      </c>
      <c r="P29" s="13" t="n">
        <f aca="false">Scenarios!$B$45*IF(AND(P$5&gt;=Inputs!$G$130,P$5&lt;=Inputs!$H$130,OR(Inputs!$I$130=0,MONTH(Forecast!P$7)=Inputs!$I$130)),Inputs!$B$130+Inputs!$C$130/1000*CHOOSE(Inputs!$D$130,Forecast!P$30,Forecast!P$35,Forecast!P$43,Forecast!P$58),0)</f>
        <v>40</v>
      </c>
      <c r="Q29" s="13" t="n">
        <f aca="false">Scenarios!$B$45*IF(AND(Q$5&gt;=Inputs!$G$130,Q$5&lt;=Inputs!$H$130,OR(Inputs!$I$130=0,MONTH(Forecast!Q$7)=Inputs!$I$130)),Inputs!$B$130+Inputs!$C$130/1000*CHOOSE(Inputs!$D$130,Forecast!Q$30,Forecast!Q$35,Forecast!Q$43,Forecast!Q$58),0)</f>
        <v>40</v>
      </c>
      <c r="R29" s="13" t="n">
        <f aca="false">Scenarios!$B$45*IF(AND(R$5&gt;=Inputs!$G$130,R$5&lt;=Inputs!$H$130,OR(Inputs!$I$130=0,MONTH(Forecast!R$7)=Inputs!$I$130)),Inputs!$B$130+Inputs!$C$130/1000*CHOOSE(Inputs!$D$130,Forecast!R$30,Forecast!R$35,Forecast!R$43,Forecast!R$58),0)</f>
        <v>40</v>
      </c>
      <c r="S29" s="13" t="n">
        <f aca="false">Scenarios!$B$45*IF(AND(S$5&gt;=Inputs!$G$130,S$5&lt;=Inputs!$H$130,OR(Inputs!$I$130=0,MONTH(Forecast!S$7)=Inputs!$I$130)),Inputs!$B$130+Inputs!$C$130/1000*CHOOSE(Inputs!$D$130,Forecast!S$30,Forecast!S$35,Forecast!S$43,Forecast!S$58),0)</f>
        <v>40</v>
      </c>
      <c r="T29" s="13" t="n">
        <f aca="false">Scenarios!$B$45*IF(AND(T$5&gt;=Inputs!$G$130,T$5&lt;=Inputs!$H$130,OR(Inputs!$I$130=0,MONTH(Forecast!T$7)=Inputs!$I$130)),Inputs!$B$130+Inputs!$C$130/1000*CHOOSE(Inputs!$D$130,Forecast!T$30,Forecast!T$35,Forecast!T$43,Forecast!T$58),0)</f>
        <v>40</v>
      </c>
      <c r="U29" s="13" t="n">
        <f aca="false">Scenarios!$B$45*IF(AND(U$5&gt;=Inputs!$G$130,U$5&lt;=Inputs!$H$130,OR(Inputs!$I$130=0,MONTH(Forecast!U$7)=Inputs!$I$130)),Inputs!$B$130+Inputs!$C$130/1000*CHOOSE(Inputs!$D$130,Forecast!U$30,Forecast!U$35,Forecast!U$43,Forecast!U$58),0)</f>
        <v>40</v>
      </c>
      <c r="V29" s="13" t="n">
        <f aca="false">Scenarios!$B$45*IF(AND(V$5&gt;=Inputs!$G$130,V$5&lt;=Inputs!$H$130,OR(Inputs!$I$130=0,MONTH(Forecast!V$7)=Inputs!$I$130)),Inputs!$B$130+Inputs!$C$130/1000*CHOOSE(Inputs!$D$130,Forecast!V$30,Forecast!V$35,Forecast!V$43,Forecast!V$58),0)</f>
        <v>40</v>
      </c>
      <c r="W29" s="13" t="n">
        <f aca="false">Scenarios!$B$45*IF(AND(W$5&gt;=Inputs!$G$130,W$5&lt;=Inputs!$H$130,OR(Inputs!$I$130=0,MONTH(Forecast!W$7)=Inputs!$I$130)),Inputs!$B$130+Inputs!$C$130/1000*CHOOSE(Inputs!$D$130,Forecast!W$30,Forecast!W$35,Forecast!W$43,Forecast!W$58),0)</f>
        <v>40</v>
      </c>
      <c r="X29" s="13" t="n">
        <f aca="false">Scenarios!$B$45*IF(AND(X$5&gt;=Inputs!$G$130,X$5&lt;=Inputs!$H$130,OR(Inputs!$I$130=0,MONTH(Forecast!X$7)=Inputs!$I$130)),Inputs!$B$130+Inputs!$C$130/1000*CHOOSE(Inputs!$D$130,Forecast!X$30,Forecast!X$35,Forecast!X$43,Forecast!X$58),0)</f>
        <v>40</v>
      </c>
      <c r="Y29" s="13" t="n">
        <f aca="false">Scenarios!$B$45*IF(AND(Y$5&gt;=Inputs!$G$130,Y$5&lt;=Inputs!$H$130,OR(Inputs!$I$130=0,MONTH(Forecast!Y$7)=Inputs!$I$130)),Inputs!$B$130+Inputs!$C$130/1000*CHOOSE(Inputs!$D$130,Forecast!Y$30,Forecast!Y$35,Forecast!Y$43,Forecast!Y$58),0)</f>
        <v>40</v>
      </c>
      <c r="Z29" s="13" t="n">
        <f aca="false">Scenarios!$B$45*IF(AND(Z$5&gt;=Inputs!$G$130,Z$5&lt;=Inputs!$H$130,OR(Inputs!$I$130=0,MONTH(Forecast!Z$7)=Inputs!$I$130)),Inputs!$B$130+Inputs!$C$130/1000*CHOOSE(Inputs!$D$130,Forecast!Z$30,Forecast!Z$35,Forecast!Z$43,Forecast!Z$58),0)</f>
        <v>40</v>
      </c>
      <c r="AA29" s="13" t="n">
        <f aca="false">Scenarios!$B$45*IF(AND(AA$5&gt;=Inputs!$G$130,AA$5&lt;=Inputs!$H$130,OR(Inputs!$I$130=0,MONTH(Forecast!AA$7)=Inputs!$I$130)),Inputs!$B$130+Inputs!$C$130/1000*CHOOSE(Inputs!$D$130,Forecast!AA$30,Forecast!AA$35,Forecast!AA$43,Forecast!AA$58),0)</f>
        <v>40</v>
      </c>
      <c r="AB29" s="13" t="n">
        <f aca="false">Scenarios!$B$45*IF(AND(AB$5&gt;=Inputs!$G$130,AB$5&lt;=Inputs!$H$130,OR(Inputs!$I$130=0,MONTH(Forecast!AB$7)=Inputs!$I$130)),Inputs!$B$130+Inputs!$C$130/1000*CHOOSE(Inputs!$D$130,Forecast!AB$30,Forecast!AB$35,Forecast!AB$43,Forecast!AB$58),0)</f>
        <v>40</v>
      </c>
      <c r="AC29" s="13" t="n">
        <f aca="false">Scenarios!$B$45*IF(AND(AC$5&gt;=Inputs!$G$130,AC$5&lt;=Inputs!$H$130,OR(Inputs!$I$130=0,MONTH(Forecast!AC$7)=Inputs!$I$130)),Inputs!$B$130+Inputs!$C$130/1000*CHOOSE(Inputs!$D$130,Forecast!AC$30,Forecast!AC$35,Forecast!AC$43,Forecast!AC$58),0)</f>
        <v>40</v>
      </c>
      <c r="AD29" s="13" t="n">
        <f aca="false">Scenarios!$B$45*IF(AND(AD$5&gt;=Inputs!$G$130,AD$5&lt;=Inputs!$H$130,OR(Inputs!$I$130=0,MONTH(Forecast!AD$7)=Inputs!$I$130)),Inputs!$B$130+Inputs!$C$130/1000*CHOOSE(Inputs!$D$130,Forecast!AD$30,Forecast!AD$35,Forecast!AD$43,Forecast!AD$58),0)</f>
        <v>40</v>
      </c>
      <c r="AE29" s="13" t="n">
        <f aca="false">Scenarios!$B$45*IF(AND(AE$5&gt;=Inputs!$G$130,AE$5&lt;=Inputs!$H$130,OR(Inputs!$I$130=0,MONTH(Forecast!AE$7)=Inputs!$I$130)),Inputs!$B$130+Inputs!$C$130/1000*CHOOSE(Inputs!$D$130,Forecast!AE$30,Forecast!AE$35,Forecast!AE$43,Forecast!AE$58),0)</f>
        <v>40</v>
      </c>
      <c r="AF29" s="13" t="n">
        <f aca="false">Scenarios!$B$45*IF(AND(AF$5&gt;=Inputs!$G$130,AF$5&lt;=Inputs!$H$130,OR(Inputs!$I$130=0,MONTH(Forecast!AF$7)=Inputs!$I$130)),Inputs!$B$130+Inputs!$C$130/1000*CHOOSE(Inputs!$D$130,Forecast!AF$30,Forecast!AF$35,Forecast!AF$43,Forecast!AF$58),0)</f>
        <v>40</v>
      </c>
      <c r="AG29" s="13" t="n">
        <f aca="false">Scenarios!$B$45*IF(AND(AG$5&gt;=Inputs!$G$130,AG$5&lt;=Inputs!$H$130,OR(Inputs!$I$130=0,MONTH(Forecast!AG$7)=Inputs!$I$130)),Inputs!$B$130+Inputs!$C$130/1000*CHOOSE(Inputs!$D$130,Forecast!AG$30,Forecast!AG$35,Forecast!AG$43,Forecast!AG$58),0)</f>
        <v>40</v>
      </c>
      <c r="AH29" s="13" t="n">
        <f aca="false">Scenarios!$B$45*IF(AND(AH$5&gt;=Inputs!$G$130,AH$5&lt;=Inputs!$H$130,OR(Inputs!$I$130=0,MONTH(Forecast!AH$7)=Inputs!$I$130)),Inputs!$B$130+Inputs!$C$130/1000*CHOOSE(Inputs!$D$130,Forecast!AH$30,Forecast!AH$35,Forecast!AH$43,Forecast!AH$58),0)</f>
        <v>40</v>
      </c>
      <c r="AI29" s="13" t="n">
        <f aca="false">Scenarios!$B$45*IF(AND(AI$5&gt;=Inputs!$G$130,AI$5&lt;=Inputs!$H$130,OR(Inputs!$I$130=0,MONTH(Forecast!AI$7)=Inputs!$I$130)),Inputs!$B$130+Inputs!$C$130/1000*CHOOSE(Inputs!$D$130,Forecast!AI$30,Forecast!AI$35,Forecast!AI$43,Forecast!AI$58),0)</f>
        <v>40</v>
      </c>
      <c r="AJ29" s="13" t="n">
        <f aca="false">Scenarios!$B$45*IF(AND(AJ$5&gt;=Inputs!$G$130,AJ$5&lt;=Inputs!$H$130,OR(Inputs!$I$130=0,MONTH(Forecast!AJ$7)=Inputs!$I$130)),Inputs!$B$130+Inputs!$C$130/1000*CHOOSE(Inputs!$D$130,Forecast!AJ$30,Forecast!AJ$35,Forecast!AJ$43,Forecast!AJ$58),0)</f>
        <v>40</v>
      </c>
      <c r="AK29" s="13" t="n">
        <f aca="false">Scenarios!$B$45*IF(AND(AK$5&gt;=Inputs!$G$130,AK$5&lt;=Inputs!$H$130,OR(Inputs!$I$130=0,MONTH(Forecast!AK$7)=Inputs!$I$130)),Inputs!$B$130+Inputs!$C$130/1000*CHOOSE(Inputs!$D$130,Forecast!AK$30,Forecast!AK$35,Forecast!AK$43,Forecast!AK$58),0)</f>
        <v>40</v>
      </c>
      <c r="AL29" s="13" t="n">
        <f aca="false">Scenarios!$B$45*IF(AND(AL$5&gt;=Inputs!$G$130,AL$5&lt;=Inputs!$H$130,OR(Inputs!$I$130=0,MONTH(Forecast!AL$7)=Inputs!$I$130)),Inputs!$B$130+Inputs!$C$130/1000*CHOOSE(Inputs!$D$130,Forecast!AL$30,Forecast!AL$35,Forecast!AL$43,Forecast!AL$58),0)</f>
        <v>40</v>
      </c>
      <c r="AM29" s="13" t="n">
        <f aca="false">Scenarios!$B$45*IF(AND(AM$5&gt;=Inputs!$G$130,AM$5&lt;=Inputs!$H$130,OR(Inputs!$I$130=0,MONTH(Forecast!AM$7)=Inputs!$I$130)),Inputs!$B$130+Inputs!$C$130/1000*CHOOSE(Inputs!$D$130,Forecast!AM$30,Forecast!AM$35,Forecast!AM$43,Forecast!AM$58),0)</f>
        <v>40</v>
      </c>
    </row>
    <row r="30" customFormat="false" ht="15" hidden="false" customHeight="false" outlineLevel="0" collapsed="false">
      <c r="A30" s="6" t="str">
        <f aca="false">Inputs!A131</f>
        <v>Support tooling stage 1: shared inbox (about $7) - inside existing $25 Support line</v>
      </c>
      <c r="B30" s="6" t="n">
        <f aca="false">Inputs!D131</f>
        <v>1</v>
      </c>
      <c r="D30" s="13" t="n">
        <f aca="false">Scenarios!$B$45*IF(AND(D$5&gt;=Inputs!$G$131,D$5&lt;=Inputs!$H$131,OR(Inputs!$I$131=0,MONTH(Forecast!D$7)=Inputs!$I$131)),Inputs!$B$131+Inputs!$C$131/1000*CHOOSE(Inputs!$D$131,Forecast!D$30,Forecast!D$35,Forecast!D$43,Forecast!D$58),0)</f>
        <v>0</v>
      </c>
      <c r="E30" s="13" t="n">
        <f aca="false">Scenarios!$B$45*IF(AND(E$5&gt;=Inputs!$G$131,E$5&lt;=Inputs!$H$131,OR(Inputs!$I$131=0,MONTH(Forecast!E$7)=Inputs!$I$131)),Inputs!$B$131+Inputs!$C$131/1000*CHOOSE(Inputs!$D$131,Forecast!E$30,Forecast!E$35,Forecast!E$43,Forecast!E$58),0)</f>
        <v>0</v>
      </c>
      <c r="F30" s="13" t="n">
        <f aca="false">Scenarios!$B$45*IF(AND(F$5&gt;=Inputs!$G$131,F$5&lt;=Inputs!$H$131,OR(Inputs!$I$131=0,MONTH(Forecast!F$7)=Inputs!$I$131)),Inputs!$B$131+Inputs!$C$131/1000*CHOOSE(Inputs!$D$131,Forecast!F$30,Forecast!F$35,Forecast!F$43,Forecast!F$58),0)</f>
        <v>0</v>
      </c>
      <c r="G30" s="13" t="n">
        <f aca="false">Scenarios!$B$45*IF(AND(G$5&gt;=Inputs!$G$131,G$5&lt;=Inputs!$H$131,OR(Inputs!$I$131=0,MONTH(Forecast!G$7)=Inputs!$I$131)),Inputs!$B$131+Inputs!$C$131/1000*CHOOSE(Inputs!$D$131,Forecast!G$30,Forecast!G$35,Forecast!G$43,Forecast!G$58),0)</f>
        <v>0</v>
      </c>
      <c r="H30" s="13" t="n">
        <f aca="false">Scenarios!$B$45*IF(AND(H$5&gt;=Inputs!$G$131,H$5&lt;=Inputs!$H$131,OR(Inputs!$I$131=0,MONTH(Forecast!H$7)=Inputs!$I$131)),Inputs!$B$131+Inputs!$C$131/1000*CHOOSE(Inputs!$D$131,Forecast!H$30,Forecast!H$35,Forecast!H$43,Forecast!H$58),0)</f>
        <v>0</v>
      </c>
      <c r="I30" s="13" t="n">
        <f aca="false">Scenarios!$B$45*IF(AND(I$5&gt;=Inputs!$G$131,I$5&lt;=Inputs!$H$131,OR(Inputs!$I$131=0,MONTH(Forecast!I$7)=Inputs!$I$131)),Inputs!$B$131+Inputs!$C$131/1000*CHOOSE(Inputs!$D$131,Forecast!I$30,Forecast!I$35,Forecast!I$43,Forecast!I$58),0)</f>
        <v>0</v>
      </c>
      <c r="J30" s="13" t="n">
        <f aca="false">Scenarios!$B$45*IF(AND(J$5&gt;=Inputs!$G$131,J$5&lt;=Inputs!$H$131,OR(Inputs!$I$131=0,MONTH(Forecast!J$7)=Inputs!$I$131)),Inputs!$B$131+Inputs!$C$131/1000*CHOOSE(Inputs!$D$131,Forecast!J$30,Forecast!J$35,Forecast!J$43,Forecast!J$58),0)</f>
        <v>0</v>
      </c>
      <c r="K30" s="13" t="n">
        <f aca="false">Scenarios!$B$45*IF(AND(K$5&gt;=Inputs!$G$131,K$5&lt;=Inputs!$H$131,OR(Inputs!$I$131=0,MONTH(Forecast!K$7)=Inputs!$I$131)),Inputs!$B$131+Inputs!$C$131/1000*CHOOSE(Inputs!$D$131,Forecast!K$30,Forecast!K$35,Forecast!K$43,Forecast!K$58),0)</f>
        <v>0</v>
      </c>
      <c r="L30" s="13" t="n">
        <f aca="false">Scenarios!$B$45*IF(AND(L$5&gt;=Inputs!$G$131,L$5&lt;=Inputs!$H$131,OR(Inputs!$I$131=0,MONTH(Forecast!L$7)=Inputs!$I$131)),Inputs!$B$131+Inputs!$C$131/1000*CHOOSE(Inputs!$D$131,Forecast!L$30,Forecast!L$35,Forecast!L$43,Forecast!L$58),0)</f>
        <v>0</v>
      </c>
      <c r="M30" s="13" t="n">
        <f aca="false">Scenarios!$B$45*IF(AND(M$5&gt;=Inputs!$G$131,M$5&lt;=Inputs!$H$131,OR(Inputs!$I$131=0,MONTH(Forecast!M$7)=Inputs!$I$131)),Inputs!$B$131+Inputs!$C$131/1000*CHOOSE(Inputs!$D$131,Forecast!M$30,Forecast!M$35,Forecast!M$43,Forecast!M$58),0)</f>
        <v>0</v>
      </c>
      <c r="N30" s="13" t="n">
        <f aca="false">Scenarios!$B$45*IF(AND(N$5&gt;=Inputs!$G$131,N$5&lt;=Inputs!$H$131,OR(Inputs!$I$131=0,MONTH(Forecast!N$7)=Inputs!$I$131)),Inputs!$B$131+Inputs!$C$131/1000*CHOOSE(Inputs!$D$131,Forecast!N$30,Forecast!N$35,Forecast!N$43,Forecast!N$58),0)</f>
        <v>0</v>
      </c>
      <c r="O30" s="13" t="n">
        <f aca="false">Scenarios!$B$45*IF(AND(O$5&gt;=Inputs!$G$131,O$5&lt;=Inputs!$H$131,OR(Inputs!$I$131=0,MONTH(Forecast!O$7)=Inputs!$I$131)),Inputs!$B$131+Inputs!$C$131/1000*CHOOSE(Inputs!$D$131,Forecast!O$30,Forecast!O$35,Forecast!O$43,Forecast!O$58),0)</f>
        <v>0</v>
      </c>
      <c r="P30" s="13" t="n">
        <f aca="false">Scenarios!$B$45*IF(AND(P$5&gt;=Inputs!$G$131,P$5&lt;=Inputs!$H$131,OR(Inputs!$I$131=0,MONTH(Forecast!P$7)=Inputs!$I$131)),Inputs!$B$131+Inputs!$C$131/1000*CHOOSE(Inputs!$D$131,Forecast!P$30,Forecast!P$35,Forecast!P$43,Forecast!P$58),0)</f>
        <v>0</v>
      </c>
      <c r="Q30" s="13" t="n">
        <f aca="false">Scenarios!$B$45*IF(AND(Q$5&gt;=Inputs!$G$131,Q$5&lt;=Inputs!$H$131,OR(Inputs!$I$131=0,MONTH(Forecast!Q$7)=Inputs!$I$131)),Inputs!$B$131+Inputs!$C$131/1000*CHOOSE(Inputs!$D$131,Forecast!Q$30,Forecast!Q$35,Forecast!Q$43,Forecast!Q$58),0)</f>
        <v>0</v>
      </c>
      <c r="R30" s="13" t="n">
        <f aca="false">Scenarios!$B$45*IF(AND(R$5&gt;=Inputs!$G$131,R$5&lt;=Inputs!$H$131,OR(Inputs!$I$131=0,MONTH(Forecast!R$7)=Inputs!$I$131)),Inputs!$B$131+Inputs!$C$131/1000*CHOOSE(Inputs!$D$131,Forecast!R$30,Forecast!R$35,Forecast!R$43,Forecast!R$58),0)</f>
        <v>0</v>
      </c>
      <c r="S30" s="13" t="n">
        <f aca="false">Scenarios!$B$45*IF(AND(S$5&gt;=Inputs!$G$131,S$5&lt;=Inputs!$H$131,OR(Inputs!$I$131=0,MONTH(Forecast!S$7)=Inputs!$I$131)),Inputs!$B$131+Inputs!$C$131/1000*CHOOSE(Inputs!$D$131,Forecast!S$30,Forecast!S$35,Forecast!S$43,Forecast!S$58),0)</f>
        <v>0</v>
      </c>
      <c r="T30" s="13" t="n">
        <f aca="false">Scenarios!$B$45*IF(AND(T$5&gt;=Inputs!$G$131,T$5&lt;=Inputs!$H$131,OR(Inputs!$I$131=0,MONTH(Forecast!T$7)=Inputs!$I$131)),Inputs!$B$131+Inputs!$C$131/1000*CHOOSE(Inputs!$D$131,Forecast!T$30,Forecast!T$35,Forecast!T$43,Forecast!T$58),0)</f>
        <v>0</v>
      </c>
      <c r="U30" s="13" t="n">
        <f aca="false">Scenarios!$B$45*IF(AND(U$5&gt;=Inputs!$G$131,U$5&lt;=Inputs!$H$131,OR(Inputs!$I$131=0,MONTH(Forecast!U$7)=Inputs!$I$131)),Inputs!$B$131+Inputs!$C$131/1000*CHOOSE(Inputs!$D$131,Forecast!U$30,Forecast!U$35,Forecast!U$43,Forecast!U$58),0)</f>
        <v>0</v>
      </c>
      <c r="V30" s="13" t="n">
        <f aca="false">Scenarios!$B$45*IF(AND(V$5&gt;=Inputs!$G$131,V$5&lt;=Inputs!$H$131,OR(Inputs!$I$131=0,MONTH(Forecast!V$7)=Inputs!$I$131)),Inputs!$B$131+Inputs!$C$131/1000*CHOOSE(Inputs!$D$131,Forecast!V$30,Forecast!V$35,Forecast!V$43,Forecast!V$58),0)</f>
        <v>0</v>
      </c>
      <c r="W30" s="13" t="n">
        <f aca="false">Scenarios!$B$45*IF(AND(W$5&gt;=Inputs!$G$131,W$5&lt;=Inputs!$H$131,OR(Inputs!$I$131=0,MONTH(Forecast!W$7)=Inputs!$I$131)),Inputs!$B$131+Inputs!$C$131/1000*CHOOSE(Inputs!$D$131,Forecast!W$30,Forecast!W$35,Forecast!W$43,Forecast!W$58),0)</f>
        <v>0</v>
      </c>
      <c r="X30" s="13" t="n">
        <f aca="false">Scenarios!$B$45*IF(AND(X$5&gt;=Inputs!$G$131,X$5&lt;=Inputs!$H$131,OR(Inputs!$I$131=0,MONTH(Forecast!X$7)=Inputs!$I$131)),Inputs!$B$131+Inputs!$C$131/1000*CHOOSE(Inputs!$D$131,Forecast!X$30,Forecast!X$35,Forecast!X$43,Forecast!X$58),0)</f>
        <v>0</v>
      </c>
      <c r="Y30" s="13" t="n">
        <f aca="false">Scenarios!$B$45*IF(AND(Y$5&gt;=Inputs!$G$131,Y$5&lt;=Inputs!$H$131,OR(Inputs!$I$131=0,MONTH(Forecast!Y$7)=Inputs!$I$131)),Inputs!$B$131+Inputs!$C$131/1000*CHOOSE(Inputs!$D$131,Forecast!Y$30,Forecast!Y$35,Forecast!Y$43,Forecast!Y$58),0)</f>
        <v>0</v>
      </c>
      <c r="Z30" s="13" t="n">
        <f aca="false">Scenarios!$B$45*IF(AND(Z$5&gt;=Inputs!$G$131,Z$5&lt;=Inputs!$H$131,OR(Inputs!$I$131=0,MONTH(Forecast!Z$7)=Inputs!$I$131)),Inputs!$B$131+Inputs!$C$131/1000*CHOOSE(Inputs!$D$131,Forecast!Z$30,Forecast!Z$35,Forecast!Z$43,Forecast!Z$58),0)</f>
        <v>0</v>
      </c>
      <c r="AA30" s="13" t="n">
        <f aca="false">Scenarios!$B$45*IF(AND(AA$5&gt;=Inputs!$G$131,AA$5&lt;=Inputs!$H$131,OR(Inputs!$I$131=0,MONTH(Forecast!AA$7)=Inputs!$I$131)),Inputs!$B$131+Inputs!$C$131/1000*CHOOSE(Inputs!$D$131,Forecast!AA$30,Forecast!AA$35,Forecast!AA$43,Forecast!AA$58),0)</f>
        <v>0</v>
      </c>
      <c r="AB30" s="13" t="n">
        <f aca="false">Scenarios!$B$45*IF(AND(AB$5&gt;=Inputs!$G$131,AB$5&lt;=Inputs!$H$131,OR(Inputs!$I$131=0,MONTH(Forecast!AB$7)=Inputs!$I$131)),Inputs!$B$131+Inputs!$C$131/1000*CHOOSE(Inputs!$D$131,Forecast!AB$30,Forecast!AB$35,Forecast!AB$43,Forecast!AB$58),0)</f>
        <v>0</v>
      </c>
      <c r="AC30" s="13" t="n">
        <f aca="false">Scenarios!$B$45*IF(AND(AC$5&gt;=Inputs!$G$131,AC$5&lt;=Inputs!$H$131,OR(Inputs!$I$131=0,MONTH(Forecast!AC$7)=Inputs!$I$131)),Inputs!$B$131+Inputs!$C$131/1000*CHOOSE(Inputs!$D$131,Forecast!AC$30,Forecast!AC$35,Forecast!AC$43,Forecast!AC$58),0)</f>
        <v>0</v>
      </c>
      <c r="AD30" s="13" t="n">
        <f aca="false">Scenarios!$B$45*IF(AND(AD$5&gt;=Inputs!$G$131,AD$5&lt;=Inputs!$H$131,OR(Inputs!$I$131=0,MONTH(Forecast!AD$7)=Inputs!$I$131)),Inputs!$B$131+Inputs!$C$131/1000*CHOOSE(Inputs!$D$131,Forecast!AD$30,Forecast!AD$35,Forecast!AD$43,Forecast!AD$58),0)</f>
        <v>0</v>
      </c>
      <c r="AE30" s="13" t="n">
        <f aca="false">Scenarios!$B$45*IF(AND(AE$5&gt;=Inputs!$G$131,AE$5&lt;=Inputs!$H$131,OR(Inputs!$I$131=0,MONTH(Forecast!AE$7)=Inputs!$I$131)),Inputs!$B$131+Inputs!$C$131/1000*CHOOSE(Inputs!$D$131,Forecast!AE$30,Forecast!AE$35,Forecast!AE$43,Forecast!AE$58),0)</f>
        <v>0</v>
      </c>
      <c r="AF30" s="13" t="n">
        <f aca="false">Scenarios!$B$45*IF(AND(AF$5&gt;=Inputs!$G$131,AF$5&lt;=Inputs!$H$131,OR(Inputs!$I$131=0,MONTH(Forecast!AF$7)=Inputs!$I$131)),Inputs!$B$131+Inputs!$C$131/1000*CHOOSE(Inputs!$D$131,Forecast!AF$30,Forecast!AF$35,Forecast!AF$43,Forecast!AF$58),0)</f>
        <v>0</v>
      </c>
      <c r="AG30" s="13" t="n">
        <f aca="false">Scenarios!$B$45*IF(AND(AG$5&gt;=Inputs!$G$131,AG$5&lt;=Inputs!$H$131,OR(Inputs!$I$131=0,MONTH(Forecast!AG$7)=Inputs!$I$131)),Inputs!$B$131+Inputs!$C$131/1000*CHOOSE(Inputs!$D$131,Forecast!AG$30,Forecast!AG$35,Forecast!AG$43,Forecast!AG$58),0)</f>
        <v>0</v>
      </c>
      <c r="AH30" s="13" t="n">
        <f aca="false">Scenarios!$B$45*IF(AND(AH$5&gt;=Inputs!$G$131,AH$5&lt;=Inputs!$H$131,OR(Inputs!$I$131=0,MONTH(Forecast!AH$7)=Inputs!$I$131)),Inputs!$B$131+Inputs!$C$131/1000*CHOOSE(Inputs!$D$131,Forecast!AH$30,Forecast!AH$35,Forecast!AH$43,Forecast!AH$58),0)</f>
        <v>0</v>
      </c>
      <c r="AI30" s="13" t="n">
        <f aca="false">Scenarios!$B$45*IF(AND(AI$5&gt;=Inputs!$G$131,AI$5&lt;=Inputs!$H$131,OR(Inputs!$I$131=0,MONTH(Forecast!AI$7)=Inputs!$I$131)),Inputs!$B$131+Inputs!$C$131/1000*CHOOSE(Inputs!$D$131,Forecast!AI$30,Forecast!AI$35,Forecast!AI$43,Forecast!AI$58),0)</f>
        <v>0</v>
      </c>
      <c r="AJ30" s="13" t="n">
        <f aca="false">Scenarios!$B$45*IF(AND(AJ$5&gt;=Inputs!$G$131,AJ$5&lt;=Inputs!$H$131,OR(Inputs!$I$131=0,MONTH(Forecast!AJ$7)=Inputs!$I$131)),Inputs!$B$131+Inputs!$C$131/1000*CHOOSE(Inputs!$D$131,Forecast!AJ$30,Forecast!AJ$35,Forecast!AJ$43,Forecast!AJ$58),0)</f>
        <v>0</v>
      </c>
      <c r="AK30" s="13" t="n">
        <f aca="false">Scenarios!$B$45*IF(AND(AK$5&gt;=Inputs!$G$131,AK$5&lt;=Inputs!$H$131,OR(Inputs!$I$131=0,MONTH(Forecast!AK$7)=Inputs!$I$131)),Inputs!$B$131+Inputs!$C$131/1000*CHOOSE(Inputs!$D$131,Forecast!AK$30,Forecast!AK$35,Forecast!AK$43,Forecast!AK$58),0)</f>
        <v>0</v>
      </c>
      <c r="AL30" s="13" t="n">
        <f aca="false">Scenarios!$B$45*IF(AND(AL$5&gt;=Inputs!$G$131,AL$5&lt;=Inputs!$H$131,OR(Inputs!$I$131=0,MONTH(Forecast!AL$7)=Inputs!$I$131)),Inputs!$B$131+Inputs!$C$131/1000*CHOOSE(Inputs!$D$131,Forecast!AL$30,Forecast!AL$35,Forecast!AL$43,Forecast!AL$58),0)</f>
        <v>0</v>
      </c>
      <c r="AM30" s="13" t="n">
        <f aca="false">Scenarios!$B$45*IF(AND(AM$5&gt;=Inputs!$G$131,AM$5&lt;=Inputs!$H$131,OR(Inputs!$I$131=0,MONTH(Forecast!AM$7)=Inputs!$I$131)),Inputs!$B$131+Inputs!$C$131/1000*CHOOSE(Inputs!$D$131,Forecast!AM$30,Forecast!AM$35,Forecast!AM$43,Forecast!AM$58),0)</f>
        <v>0</v>
      </c>
    </row>
    <row r="31" customFormat="false" ht="15" hidden="false" customHeight="false" outlineLevel="0" collapsed="false">
      <c r="A31" s="6" t="str">
        <f aca="false">Inputs!A132</f>
        <v>Support tooling stage 2: Help Scout Standard (about $22) - inside existing $25 Support line</v>
      </c>
      <c r="B31" s="6" t="n">
        <f aca="false">Inputs!D132</f>
        <v>1</v>
      </c>
      <c r="D31" s="13" t="n">
        <f aca="false">Scenarios!$B$45*IF(AND(D$5&gt;=Inputs!$G$132,D$5&lt;=Inputs!$H$132,OR(Inputs!$I$132=0,MONTH(Forecast!D$7)=Inputs!$I$132)),Inputs!$B$132+Inputs!$C$132/1000*CHOOSE(Inputs!$D$132,Forecast!D$30,Forecast!D$35,Forecast!D$43,Forecast!D$58),0)</f>
        <v>0</v>
      </c>
      <c r="E31" s="13" t="n">
        <f aca="false">Scenarios!$B$45*IF(AND(E$5&gt;=Inputs!$G$132,E$5&lt;=Inputs!$H$132,OR(Inputs!$I$132=0,MONTH(Forecast!E$7)=Inputs!$I$132)),Inputs!$B$132+Inputs!$C$132/1000*CHOOSE(Inputs!$D$132,Forecast!E$30,Forecast!E$35,Forecast!E$43,Forecast!E$58),0)</f>
        <v>0</v>
      </c>
      <c r="F31" s="13" t="n">
        <f aca="false">Scenarios!$B$45*IF(AND(F$5&gt;=Inputs!$G$132,F$5&lt;=Inputs!$H$132,OR(Inputs!$I$132=0,MONTH(Forecast!F$7)=Inputs!$I$132)),Inputs!$B$132+Inputs!$C$132/1000*CHOOSE(Inputs!$D$132,Forecast!F$30,Forecast!F$35,Forecast!F$43,Forecast!F$58),0)</f>
        <v>0</v>
      </c>
      <c r="G31" s="13" t="n">
        <f aca="false">Scenarios!$B$45*IF(AND(G$5&gt;=Inputs!$G$132,G$5&lt;=Inputs!$H$132,OR(Inputs!$I$132=0,MONTH(Forecast!G$7)=Inputs!$I$132)),Inputs!$B$132+Inputs!$C$132/1000*CHOOSE(Inputs!$D$132,Forecast!G$30,Forecast!G$35,Forecast!G$43,Forecast!G$58),0)</f>
        <v>0</v>
      </c>
      <c r="H31" s="13" t="n">
        <f aca="false">Scenarios!$B$45*IF(AND(H$5&gt;=Inputs!$G$132,H$5&lt;=Inputs!$H$132,OR(Inputs!$I$132=0,MONTH(Forecast!H$7)=Inputs!$I$132)),Inputs!$B$132+Inputs!$C$132/1000*CHOOSE(Inputs!$D$132,Forecast!H$30,Forecast!H$35,Forecast!H$43,Forecast!H$58),0)</f>
        <v>0</v>
      </c>
      <c r="I31" s="13" t="n">
        <f aca="false">Scenarios!$B$45*IF(AND(I$5&gt;=Inputs!$G$132,I$5&lt;=Inputs!$H$132,OR(Inputs!$I$132=0,MONTH(Forecast!I$7)=Inputs!$I$132)),Inputs!$B$132+Inputs!$C$132/1000*CHOOSE(Inputs!$D$132,Forecast!I$30,Forecast!I$35,Forecast!I$43,Forecast!I$58),0)</f>
        <v>0</v>
      </c>
      <c r="J31" s="13" t="n">
        <f aca="false">Scenarios!$B$45*IF(AND(J$5&gt;=Inputs!$G$132,J$5&lt;=Inputs!$H$132,OR(Inputs!$I$132=0,MONTH(Forecast!J$7)=Inputs!$I$132)),Inputs!$B$132+Inputs!$C$132/1000*CHOOSE(Inputs!$D$132,Forecast!J$30,Forecast!J$35,Forecast!J$43,Forecast!J$58),0)</f>
        <v>0</v>
      </c>
      <c r="K31" s="13" t="n">
        <f aca="false">Scenarios!$B$45*IF(AND(K$5&gt;=Inputs!$G$132,K$5&lt;=Inputs!$H$132,OR(Inputs!$I$132=0,MONTH(Forecast!K$7)=Inputs!$I$132)),Inputs!$B$132+Inputs!$C$132/1000*CHOOSE(Inputs!$D$132,Forecast!K$30,Forecast!K$35,Forecast!K$43,Forecast!K$58),0)</f>
        <v>0</v>
      </c>
      <c r="L31" s="13" t="n">
        <f aca="false">Scenarios!$B$45*IF(AND(L$5&gt;=Inputs!$G$132,L$5&lt;=Inputs!$H$132,OR(Inputs!$I$132=0,MONTH(Forecast!L$7)=Inputs!$I$132)),Inputs!$B$132+Inputs!$C$132/1000*CHOOSE(Inputs!$D$132,Forecast!L$30,Forecast!L$35,Forecast!L$43,Forecast!L$58),0)</f>
        <v>0</v>
      </c>
      <c r="M31" s="13" t="n">
        <f aca="false">Scenarios!$B$45*IF(AND(M$5&gt;=Inputs!$G$132,M$5&lt;=Inputs!$H$132,OR(Inputs!$I$132=0,MONTH(Forecast!M$7)=Inputs!$I$132)),Inputs!$B$132+Inputs!$C$132/1000*CHOOSE(Inputs!$D$132,Forecast!M$30,Forecast!M$35,Forecast!M$43,Forecast!M$58),0)</f>
        <v>0</v>
      </c>
      <c r="N31" s="13" t="n">
        <f aca="false">Scenarios!$B$45*IF(AND(N$5&gt;=Inputs!$G$132,N$5&lt;=Inputs!$H$132,OR(Inputs!$I$132=0,MONTH(Forecast!N$7)=Inputs!$I$132)),Inputs!$B$132+Inputs!$C$132/1000*CHOOSE(Inputs!$D$132,Forecast!N$30,Forecast!N$35,Forecast!N$43,Forecast!N$58),0)</f>
        <v>0</v>
      </c>
      <c r="O31" s="13" t="n">
        <f aca="false">Scenarios!$B$45*IF(AND(O$5&gt;=Inputs!$G$132,O$5&lt;=Inputs!$H$132,OR(Inputs!$I$132=0,MONTH(Forecast!O$7)=Inputs!$I$132)),Inputs!$B$132+Inputs!$C$132/1000*CHOOSE(Inputs!$D$132,Forecast!O$30,Forecast!O$35,Forecast!O$43,Forecast!O$58),0)</f>
        <v>0</v>
      </c>
      <c r="P31" s="13" t="n">
        <f aca="false">Scenarios!$B$45*IF(AND(P$5&gt;=Inputs!$G$132,P$5&lt;=Inputs!$H$132,OR(Inputs!$I$132=0,MONTH(Forecast!P$7)=Inputs!$I$132)),Inputs!$B$132+Inputs!$C$132/1000*CHOOSE(Inputs!$D$132,Forecast!P$30,Forecast!P$35,Forecast!P$43,Forecast!P$58),0)</f>
        <v>0</v>
      </c>
      <c r="Q31" s="13" t="n">
        <f aca="false">Scenarios!$B$45*IF(AND(Q$5&gt;=Inputs!$G$132,Q$5&lt;=Inputs!$H$132,OR(Inputs!$I$132=0,MONTH(Forecast!Q$7)=Inputs!$I$132)),Inputs!$B$132+Inputs!$C$132/1000*CHOOSE(Inputs!$D$132,Forecast!Q$30,Forecast!Q$35,Forecast!Q$43,Forecast!Q$58),0)</f>
        <v>0</v>
      </c>
      <c r="R31" s="13" t="n">
        <f aca="false">Scenarios!$B$45*IF(AND(R$5&gt;=Inputs!$G$132,R$5&lt;=Inputs!$H$132,OR(Inputs!$I$132=0,MONTH(Forecast!R$7)=Inputs!$I$132)),Inputs!$B$132+Inputs!$C$132/1000*CHOOSE(Inputs!$D$132,Forecast!R$30,Forecast!R$35,Forecast!R$43,Forecast!R$58),0)</f>
        <v>0</v>
      </c>
      <c r="S31" s="13" t="n">
        <f aca="false">Scenarios!$B$45*IF(AND(S$5&gt;=Inputs!$G$132,S$5&lt;=Inputs!$H$132,OR(Inputs!$I$132=0,MONTH(Forecast!S$7)=Inputs!$I$132)),Inputs!$B$132+Inputs!$C$132/1000*CHOOSE(Inputs!$D$132,Forecast!S$30,Forecast!S$35,Forecast!S$43,Forecast!S$58),0)</f>
        <v>0</v>
      </c>
      <c r="T31" s="13" t="n">
        <f aca="false">Scenarios!$B$45*IF(AND(T$5&gt;=Inputs!$G$132,T$5&lt;=Inputs!$H$132,OR(Inputs!$I$132=0,MONTH(Forecast!T$7)=Inputs!$I$132)),Inputs!$B$132+Inputs!$C$132/1000*CHOOSE(Inputs!$D$132,Forecast!T$30,Forecast!T$35,Forecast!T$43,Forecast!T$58),0)</f>
        <v>0</v>
      </c>
      <c r="U31" s="13" t="n">
        <f aca="false">Scenarios!$B$45*IF(AND(U$5&gt;=Inputs!$G$132,U$5&lt;=Inputs!$H$132,OR(Inputs!$I$132=0,MONTH(Forecast!U$7)=Inputs!$I$132)),Inputs!$B$132+Inputs!$C$132/1000*CHOOSE(Inputs!$D$132,Forecast!U$30,Forecast!U$35,Forecast!U$43,Forecast!U$58),0)</f>
        <v>0</v>
      </c>
      <c r="V31" s="13" t="n">
        <f aca="false">Scenarios!$B$45*IF(AND(V$5&gt;=Inputs!$G$132,V$5&lt;=Inputs!$H$132,OR(Inputs!$I$132=0,MONTH(Forecast!V$7)=Inputs!$I$132)),Inputs!$B$132+Inputs!$C$132/1000*CHOOSE(Inputs!$D$132,Forecast!V$30,Forecast!V$35,Forecast!V$43,Forecast!V$58),0)</f>
        <v>0</v>
      </c>
      <c r="W31" s="13" t="n">
        <f aca="false">Scenarios!$B$45*IF(AND(W$5&gt;=Inputs!$G$132,W$5&lt;=Inputs!$H$132,OR(Inputs!$I$132=0,MONTH(Forecast!W$7)=Inputs!$I$132)),Inputs!$B$132+Inputs!$C$132/1000*CHOOSE(Inputs!$D$132,Forecast!W$30,Forecast!W$35,Forecast!W$43,Forecast!W$58),0)</f>
        <v>0</v>
      </c>
      <c r="X31" s="13" t="n">
        <f aca="false">Scenarios!$B$45*IF(AND(X$5&gt;=Inputs!$G$132,X$5&lt;=Inputs!$H$132,OR(Inputs!$I$132=0,MONTH(Forecast!X$7)=Inputs!$I$132)),Inputs!$B$132+Inputs!$C$132/1000*CHOOSE(Inputs!$D$132,Forecast!X$30,Forecast!X$35,Forecast!X$43,Forecast!X$58),0)</f>
        <v>0</v>
      </c>
      <c r="Y31" s="13" t="n">
        <f aca="false">Scenarios!$B$45*IF(AND(Y$5&gt;=Inputs!$G$132,Y$5&lt;=Inputs!$H$132,OR(Inputs!$I$132=0,MONTH(Forecast!Y$7)=Inputs!$I$132)),Inputs!$B$132+Inputs!$C$132/1000*CHOOSE(Inputs!$D$132,Forecast!Y$30,Forecast!Y$35,Forecast!Y$43,Forecast!Y$58),0)</f>
        <v>0</v>
      </c>
      <c r="Z31" s="13" t="n">
        <f aca="false">Scenarios!$B$45*IF(AND(Z$5&gt;=Inputs!$G$132,Z$5&lt;=Inputs!$H$132,OR(Inputs!$I$132=0,MONTH(Forecast!Z$7)=Inputs!$I$132)),Inputs!$B$132+Inputs!$C$132/1000*CHOOSE(Inputs!$D$132,Forecast!Z$30,Forecast!Z$35,Forecast!Z$43,Forecast!Z$58),0)</f>
        <v>0</v>
      </c>
      <c r="AA31" s="13" t="n">
        <f aca="false">Scenarios!$B$45*IF(AND(AA$5&gt;=Inputs!$G$132,AA$5&lt;=Inputs!$H$132,OR(Inputs!$I$132=0,MONTH(Forecast!AA$7)=Inputs!$I$132)),Inputs!$B$132+Inputs!$C$132/1000*CHOOSE(Inputs!$D$132,Forecast!AA$30,Forecast!AA$35,Forecast!AA$43,Forecast!AA$58),0)</f>
        <v>0</v>
      </c>
      <c r="AB31" s="13" t="n">
        <f aca="false">Scenarios!$B$45*IF(AND(AB$5&gt;=Inputs!$G$132,AB$5&lt;=Inputs!$H$132,OR(Inputs!$I$132=0,MONTH(Forecast!AB$7)=Inputs!$I$132)),Inputs!$B$132+Inputs!$C$132/1000*CHOOSE(Inputs!$D$132,Forecast!AB$30,Forecast!AB$35,Forecast!AB$43,Forecast!AB$58),0)</f>
        <v>0</v>
      </c>
      <c r="AC31" s="13" t="n">
        <f aca="false">Scenarios!$B$45*IF(AND(AC$5&gt;=Inputs!$G$132,AC$5&lt;=Inputs!$H$132,OR(Inputs!$I$132=0,MONTH(Forecast!AC$7)=Inputs!$I$132)),Inputs!$B$132+Inputs!$C$132/1000*CHOOSE(Inputs!$D$132,Forecast!AC$30,Forecast!AC$35,Forecast!AC$43,Forecast!AC$58),0)</f>
        <v>0</v>
      </c>
      <c r="AD31" s="13" t="n">
        <f aca="false">Scenarios!$B$45*IF(AND(AD$5&gt;=Inputs!$G$132,AD$5&lt;=Inputs!$H$132,OR(Inputs!$I$132=0,MONTH(Forecast!AD$7)=Inputs!$I$132)),Inputs!$B$132+Inputs!$C$132/1000*CHOOSE(Inputs!$D$132,Forecast!AD$30,Forecast!AD$35,Forecast!AD$43,Forecast!AD$58),0)</f>
        <v>0</v>
      </c>
      <c r="AE31" s="13" t="n">
        <f aca="false">Scenarios!$B$45*IF(AND(AE$5&gt;=Inputs!$G$132,AE$5&lt;=Inputs!$H$132,OR(Inputs!$I$132=0,MONTH(Forecast!AE$7)=Inputs!$I$132)),Inputs!$B$132+Inputs!$C$132/1000*CHOOSE(Inputs!$D$132,Forecast!AE$30,Forecast!AE$35,Forecast!AE$43,Forecast!AE$58),0)</f>
        <v>0</v>
      </c>
      <c r="AF31" s="13" t="n">
        <f aca="false">Scenarios!$B$45*IF(AND(AF$5&gt;=Inputs!$G$132,AF$5&lt;=Inputs!$H$132,OR(Inputs!$I$132=0,MONTH(Forecast!AF$7)=Inputs!$I$132)),Inputs!$B$132+Inputs!$C$132/1000*CHOOSE(Inputs!$D$132,Forecast!AF$30,Forecast!AF$35,Forecast!AF$43,Forecast!AF$58),0)</f>
        <v>0</v>
      </c>
      <c r="AG31" s="13" t="n">
        <f aca="false">Scenarios!$B$45*IF(AND(AG$5&gt;=Inputs!$G$132,AG$5&lt;=Inputs!$H$132,OR(Inputs!$I$132=0,MONTH(Forecast!AG$7)=Inputs!$I$132)),Inputs!$B$132+Inputs!$C$132/1000*CHOOSE(Inputs!$D$132,Forecast!AG$30,Forecast!AG$35,Forecast!AG$43,Forecast!AG$58),0)</f>
        <v>0</v>
      </c>
      <c r="AH31" s="13" t="n">
        <f aca="false">Scenarios!$B$45*IF(AND(AH$5&gt;=Inputs!$G$132,AH$5&lt;=Inputs!$H$132,OR(Inputs!$I$132=0,MONTH(Forecast!AH$7)=Inputs!$I$132)),Inputs!$B$132+Inputs!$C$132/1000*CHOOSE(Inputs!$D$132,Forecast!AH$30,Forecast!AH$35,Forecast!AH$43,Forecast!AH$58),0)</f>
        <v>0</v>
      </c>
      <c r="AI31" s="13" t="n">
        <f aca="false">Scenarios!$B$45*IF(AND(AI$5&gt;=Inputs!$G$132,AI$5&lt;=Inputs!$H$132,OR(Inputs!$I$132=0,MONTH(Forecast!AI$7)=Inputs!$I$132)),Inputs!$B$132+Inputs!$C$132/1000*CHOOSE(Inputs!$D$132,Forecast!AI$30,Forecast!AI$35,Forecast!AI$43,Forecast!AI$58),0)</f>
        <v>0</v>
      </c>
      <c r="AJ31" s="13" t="n">
        <f aca="false">Scenarios!$B$45*IF(AND(AJ$5&gt;=Inputs!$G$132,AJ$5&lt;=Inputs!$H$132,OR(Inputs!$I$132=0,MONTH(Forecast!AJ$7)=Inputs!$I$132)),Inputs!$B$132+Inputs!$C$132/1000*CHOOSE(Inputs!$D$132,Forecast!AJ$30,Forecast!AJ$35,Forecast!AJ$43,Forecast!AJ$58),0)</f>
        <v>0</v>
      </c>
      <c r="AK31" s="13" t="n">
        <f aca="false">Scenarios!$B$45*IF(AND(AK$5&gt;=Inputs!$G$132,AK$5&lt;=Inputs!$H$132,OR(Inputs!$I$132=0,MONTH(Forecast!AK$7)=Inputs!$I$132)),Inputs!$B$132+Inputs!$C$132/1000*CHOOSE(Inputs!$D$132,Forecast!AK$30,Forecast!AK$35,Forecast!AK$43,Forecast!AK$58),0)</f>
        <v>0</v>
      </c>
      <c r="AL31" s="13" t="n">
        <f aca="false">Scenarios!$B$45*IF(AND(AL$5&gt;=Inputs!$G$132,AL$5&lt;=Inputs!$H$132,OR(Inputs!$I$132=0,MONTH(Forecast!AL$7)=Inputs!$I$132)),Inputs!$B$132+Inputs!$C$132/1000*CHOOSE(Inputs!$D$132,Forecast!AL$30,Forecast!AL$35,Forecast!AL$43,Forecast!AL$58),0)</f>
        <v>0</v>
      </c>
      <c r="AM31" s="13" t="n">
        <f aca="false">Scenarios!$B$45*IF(AND(AM$5&gt;=Inputs!$G$132,AM$5&lt;=Inputs!$H$132,OR(Inputs!$I$132=0,MONTH(Forecast!AM$7)=Inputs!$I$132)),Inputs!$B$132+Inputs!$C$132/1000*CHOOSE(Inputs!$D$132,Forecast!AM$30,Forecast!AM$35,Forecast!AM$43,Forecast!AM$58),0)</f>
        <v>0</v>
      </c>
    </row>
    <row r="32" customFormat="false" ht="15" hidden="false" customHeight="false" outlineLevel="0" collapsed="false">
      <c r="A32" s="6" t="str">
        <f aca="false">Inputs!A133</f>
        <v>Support tooling stage 3: chat + knowledge base (Crisp Pro about $25)</v>
      </c>
      <c r="B32" s="6" t="n">
        <f aca="false">Inputs!D133</f>
        <v>1</v>
      </c>
      <c r="D32" s="13" t="n">
        <f aca="false">Scenarios!$B$45*IF(AND(D$5&gt;=Inputs!$G$133,D$5&lt;=Inputs!$H$133,OR(Inputs!$I$133=0,MONTH(Forecast!D$7)=Inputs!$I$133)),Inputs!$B$133+Inputs!$C$133/1000*CHOOSE(Inputs!$D$133,Forecast!D$30,Forecast!D$35,Forecast!D$43,Forecast!D$58),0)</f>
        <v>0</v>
      </c>
      <c r="E32" s="13" t="n">
        <f aca="false">Scenarios!$B$45*IF(AND(E$5&gt;=Inputs!$G$133,E$5&lt;=Inputs!$H$133,OR(Inputs!$I$133=0,MONTH(Forecast!E$7)=Inputs!$I$133)),Inputs!$B$133+Inputs!$C$133/1000*CHOOSE(Inputs!$D$133,Forecast!E$30,Forecast!E$35,Forecast!E$43,Forecast!E$58),0)</f>
        <v>0</v>
      </c>
      <c r="F32" s="13" t="n">
        <f aca="false">Scenarios!$B$45*IF(AND(F$5&gt;=Inputs!$G$133,F$5&lt;=Inputs!$H$133,OR(Inputs!$I$133=0,MONTH(Forecast!F$7)=Inputs!$I$133)),Inputs!$B$133+Inputs!$C$133/1000*CHOOSE(Inputs!$D$133,Forecast!F$30,Forecast!F$35,Forecast!F$43,Forecast!F$58),0)</f>
        <v>0</v>
      </c>
      <c r="G32" s="13" t="n">
        <f aca="false">Scenarios!$B$45*IF(AND(G$5&gt;=Inputs!$G$133,G$5&lt;=Inputs!$H$133,OR(Inputs!$I$133=0,MONTH(Forecast!G$7)=Inputs!$I$133)),Inputs!$B$133+Inputs!$C$133/1000*CHOOSE(Inputs!$D$133,Forecast!G$30,Forecast!G$35,Forecast!G$43,Forecast!G$58),0)</f>
        <v>0</v>
      </c>
      <c r="H32" s="13" t="n">
        <f aca="false">Scenarios!$B$45*IF(AND(H$5&gt;=Inputs!$G$133,H$5&lt;=Inputs!$H$133,OR(Inputs!$I$133=0,MONTH(Forecast!H$7)=Inputs!$I$133)),Inputs!$B$133+Inputs!$C$133/1000*CHOOSE(Inputs!$D$133,Forecast!H$30,Forecast!H$35,Forecast!H$43,Forecast!H$58),0)</f>
        <v>0</v>
      </c>
      <c r="I32" s="13" t="n">
        <f aca="false">Scenarios!$B$45*IF(AND(I$5&gt;=Inputs!$G$133,I$5&lt;=Inputs!$H$133,OR(Inputs!$I$133=0,MONTH(Forecast!I$7)=Inputs!$I$133)),Inputs!$B$133+Inputs!$C$133/1000*CHOOSE(Inputs!$D$133,Forecast!I$30,Forecast!I$35,Forecast!I$43,Forecast!I$58),0)</f>
        <v>0</v>
      </c>
      <c r="J32" s="13" t="n">
        <f aca="false">Scenarios!$B$45*IF(AND(J$5&gt;=Inputs!$G$133,J$5&lt;=Inputs!$H$133,OR(Inputs!$I$133=0,MONTH(Forecast!J$7)=Inputs!$I$133)),Inputs!$B$133+Inputs!$C$133/1000*CHOOSE(Inputs!$D$133,Forecast!J$30,Forecast!J$35,Forecast!J$43,Forecast!J$58),0)</f>
        <v>0</v>
      </c>
      <c r="K32" s="13" t="n">
        <f aca="false">Scenarios!$B$45*IF(AND(K$5&gt;=Inputs!$G$133,K$5&lt;=Inputs!$H$133,OR(Inputs!$I$133=0,MONTH(Forecast!K$7)=Inputs!$I$133)),Inputs!$B$133+Inputs!$C$133/1000*CHOOSE(Inputs!$D$133,Forecast!K$30,Forecast!K$35,Forecast!K$43,Forecast!K$58),0)</f>
        <v>0</v>
      </c>
      <c r="L32" s="13" t="n">
        <f aca="false">Scenarios!$B$45*IF(AND(L$5&gt;=Inputs!$G$133,L$5&lt;=Inputs!$H$133,OR(Inputs!$I$133=0,MONTH(Forecast!L$7)=Inputs!$I$133)),Inputs!$B$133+Inputs!$C$133/1000*CHOOSE(Inputs!$D$133,Forecast!L$30,Forecast!L$35,Forecast!L$43,Forecast!L$58),0)</f>
        <v>0</v>
      </c>
      <c r="M32" s="13" t="n">
        <f aca="false">Scenarios!$B$45*IF(AND(M$5&gt;=Inputs!$G$133,M$5&lt;=Inputs!$H$133,OR(Inputs!$I$133=0,MONTH(Forecast!M$7)=Inputs!$I$133)),Inputs!$B$133+Inputs!$C$133/1000*CHOOSE(Inputs!$D$133,Forecast!M$30,Forecast!M$35,Forecast!M$43,Forecast!M$58),0)</f>
        <v>0</v>
      </c>
      <c r="N32" s="13" t="n">
        <f aca="false">Scenarios!$B$45*IF(AND(N$5&gt;=Inputs!$G$133,N$5&lt;=Inputs!$H$133,OR(Inputs!$I$133=0,MONTH(Forecast!N$7)=Inputs!$I$133)),Inputs!$B$133+Inputs!$C$133/1000*CHOOSE(Inputs!$D$133,Forecast!N$30,Forecast!N$35,Forecast!N$43,Forecast!N$58),0)</f>
        <v>0</v>
      </c>
      <c r="O32" s="13" t="n">
        <f aca="false">Scenarios!$B$45*IF(AND(O$5&gt;=Inputs!$G$133,O$5&lt;=Inputs!$H$133,OR(Inputs!$I$133=0,MONTH(Forecast!O$7)=Inputs!$I$133)),Inputs!$B$133+Inputs!$C$133/1000*CHOOSE(Inputs!$D$133,Forecast!O$30,Forecast!O$35,Forecast!O$43,Forecast!O$58),0)</f>
        <v>0</v>
      </c>
      <c r="P32" s="13" t="n">
        <f aca="false">Scenarios!$B$45*IF(AND(P$5&gt;=Inputs!$G$133,P$5&lt;=Inputs!$H$133,OR(Inputs!$I$133=0,MONTH(Forecast!P$7)=Inputs!$I$133)),Inputs!$B$133+Inputs!$C$133/1000*CHOOSE(Inputs!$D$133,Forecast!P$30,Forecast!P$35,Forecast!P$43,Forecast!P$58),0)</f>
        <v>0</v>
      </c>
      <c r="Q32" s="13" t="n">
        <f aca="false">Scenarios!$B$45*IF(AND(Q$5&gt;=Inputs!$G$133,Q$5&lt;=Inputs!$H$133,OR(Inputs!$I$133=0,MONTH(Forecast!Q$7)=Inputs!$I$133)),Inputs!$B$133+Inputs!$C$133/1000*CHOOSE(Inputs!$D$133,Forecast!Q$30,Forecast!Q$35,Forecast!Q$43,Forecast!Q$58),0)</f>
        <v>0</v>
      </c>
      <c r="R32" s="13" t="n">
        <f aca="false">Scenarios!$B$45*IF(AND(R$5&gt;=Inputs!$G$133,R$5&lt;=Inputs!$H$133,OR(Inputs!$I$133=0,MONTH(Forecast!R$7)=Inputs!$I$133)),Inputs!$B$133+Inputs!$C$133/1000*CHOOSE(Inputs!$D$133,Forecast!R$30,Forecast!R$35,Forecast!R$43,Forecast!R$58),0)</f>
        <v>0</v>
      </c>
      <c r="S32" s="13" t="n">
        <f aca="false">Scenarios!$B$45*IF(AND(S$5&gt;=Inputs!$G$133,S$5&lt;=Inputs!$H$133,OR(Inputs!$I$133=0,MONTH(Forecast!S$7)=Inputs!$I$133)),Inputs!$B$133+Inputs!$C$133/1000*CHOOSE(Inputs!$D$133,Forecast!S$30,Forecast!S$35,Forecast!S$43,Forecast!S$58),0)</f>
        <v>0</v>
      </c>
      <c r="T32" s="13" t="n">
        <f aca="false">Scenarios!$B$45*IF(AND(T$5&gt;=Inputs!$G$133,T$5&lt;=Inputs!$H$133,OR(Inputs!$I$133=0,MONTH(Forecast!T$7)=Inputs!$I$133)),Inputs!$B$133+Inputs!$C$133/1000*CHOOSE(Inputs!$D$133,Forecast!T$30,Forecast!T$35,Forecast!T$43,Forecast!T$58),0)</f>
        <v>0</v>
      </c>
      <c r="U32" s="13" t="n">
        <f aca="false">Scenarios!$B$45*IF(AND(U$5&gt;=Inputs!$G$133,U$5&lt;=Inputs!$H$133,OR(Inputs!$I$133=0,MONTH(Forecast!U$7)=Inputs!$I$133)),Inputs!$B$133+Inputs!$C$133/1000*CHOOSE(Inputs!$D$133,Forecast!U$30,Forecast!U$35,Forecast!U$43,Forecast!U$58),0)</f>
        <v>0</v>
      </c>
      <c r="V32" s="13" t="n">
        <f aca="false">Scenarios!$B$45*IF(AND(V$5&gt;=Inputs!$G$133,V$5&lt;=Inputs!$H$133,OR(Inputs!$I$133=0,MONTH(Forecast!V$7)=Inputs!$I$133)),Inputs!$B$133+Inputs!$C$133/1000*CHOOSE(Inputs!$D$133,Forecast!V$30,Forecast!V$35,Forecast!V$43,Forecast!V$58),0)</f>
        <v>25</v>
      </c>
      <c r="W32" s="13" t="n">
        <f aca="false">Scenarios!$B$45*IF(AND(W$5&gt;=Inputs!$G$133,W$5&lt;=Inputs!$H$133,OR(Inputs!$I$133=0,MONTH(Forecast!W$7)=Inputs!$I$133)),Inputs!$B$133+Inputs!$C$133/1000*CHOOSE(Inputs!$D$133,Forecast!W$30,Forecast!W$35,Forecast!W$43,Forecast!W$58),0)</f>
        <v>25</v>
      </c>
      <c r="X32" s="13" t="n">
        <f aca="false">Scenarios!$B$45*IF(AND(X$5&gt;=Inputs!$G$133,X$5&lt;=Inputs!$H$133,OR(Inputs!$I$133=0,MONTH(Forecast!X$7)=Inputs!$I$133)),Inputs!$B$133+Inputs!$C$133/1000*CHOOSE(Inputs!$D$133,Forecast!X$30,Forecast!X$35,Forecast!X$43,Forecast!X$58),0)</f>
        <v>25</v>
      </c>
      <c r="Y32" s="13" t="n">
        <f aca="false">Scenarios!$B$45*IF(AND(Y$5&gt;=Inputs!$G$133,Y$5&lt;=Inputs!$H$133,OR(Inputs!$I$133=0,MONTH(Forecast!Y$7)=Inputs!$I$133)),Inputs!$B$133+Inputs!$C$133/1000*CHOOSE(Inputs!$D$133,Forecast!Y$30,Forecast!Y$35,Forecast!Y$43,Forecast!Y$58),0)</f>
        <v>25</v>
      </c>
      <c r="Z32" s="13" t="n">
        <f aca="false">Scenarios!$B$45*IF(AND(Z$5&gt;=Inputs!$G$133,Z$5&lt;=Inputs!$H$133,OR(Inputs!$I$133=0,MONTH(Forecast!Z$7)=Inputs!$I$133)),Inputs!$B$133+Inputs!$C$133/1000*CHOOSE(Inputs!$D$133,Forecast!Z$30,Forecast!Z$35,Forecast!Z$43,Forecast!Z$58),0)</f>
        <v>25</v>
      </c>
      <c r="AA32" s="13" t="n">
        <f aca="false">Scenarios!$B$45*IF(AND(AA$5&gt;=Inputs!$G$133,AA$5&lt;=Inputs!$H$133,OR(Inputs!$I$133=0,MONTH(Forecast!AA$7)=Inputs!$I$133)),Inputs!$B$133+Inputs!$C$133/1000*CHOOSE(Inputs!$D$133,Forecast!AA$30,Forecast!AA$35,Forecast!AA$43,Forecast!AA$58),0)</f>
        <v>25</v>
      </c>
      <c r="AB32" s="13" t="n">
        <f aca="false">Scenarios!$B$45*IF(AND(AB$5&gt;=Inputs!$G$133,AB$5&lt;=Inputs!$H$133,OR(Inputs!$I$133=0,MONTH(Forecast!AB$7)=Inputs!$I$133)),Inputs!$B$133+Inputs!$C$133/1000*CHOOSE(Inputs!$D$133,Forecast!AB$30,Forecast!AB$35,Forecast!AB$43,Forecast!AB$58),0)</f>
        <v>25</v>
      </c>
      <c r="AC32" s="13" t="n">
        <f aca="false">Scenarios!$B$45*IF(AND(AC$5&gt;=Inputs!$G$133,AC$5&lt;=Inputs!$H$133,OR(Inputs!$I$133=0,MONTH(Forecast!AC$7)=Inputs!$I$133)),Inputs!$B$133+Inputs!$C$133/1000*CHOOSE(Inputs!$D$133,Forecast!AC$30,Forecast!AC$35,Forecast!AC$43,Forecast!AC$58),0)</f>
        <v>25</v>
      </c>
      <c r="AD32" s="13" t="n">
        <f aca="false">Scenarios!$B$45*IF(AND(AD$5&gt;=Inputs!$G$133,AD$5&lt;=Inputs!$H$133,OR(Inputs!$I$133=0,MONTH(Forecast!AD$7)=Inputs!$I$133)),Inputs!$B$133+Inputs!$C$133/1000*CHOOSE(Inputs!$D$133,Forecast!AD$30,Forecast!AD$35,Forecast!AD$43,Forecast!AD$58),0)</f>
        <v>25</v>
      </c>
      <c r="AE32" s="13" t="n">
        <f aca="false">Scenarios!$B$45*IF(AND(AE$5&gt;=Inputs!$G$133,AE$5&lt;=Inputs!$H$133,OR(Inputs!$I$133=0,MONTH(Forecast!AE$7)=Inputs!$I$133)),Inputs!$B$133+Inputs!$C$133/1000*CHOOSE(Inputs!$D$133,Forecast!AE$30,Forecast!AE$35,Forecast!AE$43,Forecast!AE$58),0)</f>
        <v>25</v>
      </c>
      <c r="AF32" s="13" t="n">
        <f aca="false">Scenarios!$B$45*IF(AND(AF$5&gt;=Inputs!$G$133,AF$5&lt;=Inputs!$H$133,OR(Inputs!$I$133=0,MONTH(Forecast!AF$7)=Inputs!$I$133)),Inputs!$B$133+Inputs!$C$133/1000*CHOOSE(Inputs!$D$133,Forecast!AF$30,Forecast!AF$35,Forecast!AF$43,Forecast!AF$58),0)</f>
        <v>25</v>
      </c>
      <c r="AG32" s="13" t="n">
        <f aca="false">Scenarios!$B$45*IF(AND(AG$5&gt;=Inputs!$G$133,AG$5&lt;=Inputs!$H$133,OR(Inputs!$I$133=0,MONTH(Forecast!AG$7)=Inputs!$I$133)),Inputs!$B$133+Inputs!$C$133/1000*CHOOSE(Inputs!$D$133,Forecast!AG$30,Forecast!AG$35,Forecast!AG$43,Forecast!AG$58),0)</f>
        <v>25</v>
      </c>
      <c r="AH32" s="13" t="n">
        <f aca="false">Scenarios!$B$45*IF(AND(AH$5&gt;=Inputs!$G$133,AH$5&lt;=Inputs!$H$133,OR(Inputs!$I$133=0,MONTH(Forecast!AH$7)=Inputs!$I$133)),Inputs!$B$133+Inputs!$C$133/1000*CHOOSE(Inputs!$D$133,Forecast!AH$30,Forecast!AH$35,Forecast!AH$43,Forecast!AH$58),0)</f>
        <v>25</v>
      </c>
      <c r="AI32" s="13" t="n">
        <f aca="false">Scenarios!$B$45*IF(AND(AI$5&gt;=Inputs!$G$133,AI$5&lt;=Inputs!$H$133,OR(Inputs!$I$133=0,MONTH(Forecast!AI$7)=Inputs!$I$133)),Inputs!$B$133+Inputs!$C$133/1000*CHOOSE(Inputs!$D$133,Forecast!AI$30,Forecast!AI$35,Forecast!AI$43,Forecast!AI$58),0)</f>
        <v>25</v>
      </c>
      <c r="AJ32" s="13" t="n">
        <f aca="false">Scenarios!$B$45*IF(AND(AJ$5&gt;=Inputs!$G$133,AJ$5&lt;=Inputs!$H$133,OR(Inputs!$I$133=0,MONTH(Forecast!AJ$7)=Inputs!$I$133)),Inputs!$B$133+Inputs!$C$133/1000*CHOOSE(Inputs!$D$133,Forecast!AJ$30,Forecast!AJ$35,Forecast!AJ$43,Forecast!AJ$58),0)</f>
        <v>25</v>
      </c>
      <c r="AK32" s="13" t="n">
        <f aca="false">Scenarios!$B$45*IF(AND(AK$5&gt;=Inputs!$G$133,AK$5&lt;=Inputs!$H$133,OR(Inputs!$I$133=0,MONTH(Forecast!AK$7)=Inputs!$I$133)),Inputs!$B$133+Inputs!$C$133/1000*CHOOSE(Inputs!$D$133,Forecast!AK$30,Forecast!AK$35,Forecast!AK$43,Forecast!AK$58),0)</f>
        <v>25</v>
      </c>
      <c r="AL32" s="13" t="n">
        <f aca="false">Scenarios!$B$45*IF(AND(AL$5&gt;=Inputs!$G$133,AL$5&lt;=Inputs!$H$133,OR(Inputs!$I$133=0,MONTH(Forecast!AL$7)=Inputs!$I$133)),Inputs!$B$133+Inputs!$C$133/1000*CHOOSE(Inputs!$D$133,Forecast!AL$30,Forecast!AL$35,Forecast!AL$43,Forecast!AL$58),0)</f>
        <v>25</v>
      </c>
      <c r="AM32" s="13" t="n">
        <f aca="false">Scenarios!$B$45*IF(AND(AM$5&gt;=Inputs!$G$133,AM$5&lt;=Inputs!$H$133,OR(Inputs!$I$133=0,MONTH(Forecast!AM$7)=Inputs!$I$133)),Inputs!$B$133+Inputs!$C$133/1000*CHOOSE(Inputs!$D$133,Forecast!AM$30,Forecast!AM$35,Forecast!AM$43,Forecast!AM$58),0)</f>
        <v>25</v>
      </c>
    </row>
    <row r="33" customFormat="false" ht="15" hidden="false" customHeight="false" outlineLevel="0" collapsed="false">
      <c r="A33" s="6" t="str">
        <f aca="false">Inputs!A134</f>
        <v>Peak-season support contractor (10 h/week x 4.33 x $22.50, December)</v>
      </c>
      <c r="B33" s="6" t="n">
        <f aca="false">Inputs!D134</f>
        <v>1</v>
      </c>
      <c r="D33" s="13" t="n">
        <f aca="false">Scenarios!$B$45*IF(AND(D$5&gt;=Inputs!$G$134,D$5&lt;=Inputs!$H$134,OR(Inputs!$I$134=0,MONTH(Forecast!D$7)=Inputs!$I$134)),Inputs!$B$134+Inputs!$C$134/1000*CHOOSE(Inputs!$D$134,Forecast!D$30,Forecast!D$35,Forecast!D$43,Forecast!D$58),0)</f>
        <v>0</v>
      </c>
      <c r="E33" s="13" t="n">
        <f aca="false">Scenarios!$B$45*IF(AND(E$5&gt;=Inputs!$G$134,E$5&lt;=Inputs!$H$134,OR(Inputs!$I$134=0,MONTH(Forecast!E$7)=Inputs!$I$134)),Inputs!$B$134+Inputs!$C$134/1000*CHOOSE(Inputs!$D$134,Forecast!E$30,Forecast!E$35,Forecast!E$43,Forecast!E$58),0)</f>
        <v>975</v>
      </c>
      <c r="F33" s="13" t="n">
        <f aca="false">Scenarios!$B$45*IF(AND(F$5&gt;=Inputs!$G$134,F$5&lt;=Inputs!$H$134,OR(Inputs!$I$134=0,MONTH(Forecast!F$7)=Inputs!$I$134)),Inputs!$B$134+Inputs!$C$134/1000*CHOOSE(Inputs!$D$134,Forecast!F$30,Forecast!F$35,Forecast!F$43,Forecast!F$58),0)</f>
        <v>0</v>
      </c>
      <c r="G33" s="13" t="n">
        <f aca="false">Scenarios!$B$45*IF(AND(G$5&gt;=Inputs!$G$134,G$5&lt;=Inputs!$H$134,OR(Inputs!$I$134=0,MONTH(Forecast!G$7)=Inputs!$I$134)),Inputs!$B$134+Inputs!$C$134/1000*CHOOSE(Inputs!$D$134,Forecast!G$30,Forecast!G$35,Forecast!G$43,Forecast!G$58),0)</f>
        <v>0</v>
      </c>
      <c r="H33" s="13" t="n">
        <f aca="false">Scenarios!$B$45*IF(AND(H$5&gt;=Inputs!$G$134,H$5&lt;=Inputs!$H$134,OR(Inputs!$I$134=0,MONTH(Forecast!H$7)=Inputs!$I$134)),Inputs!$B$134+Inputs!$C$134/1000*CHOOSE(Inputs!$D$134,Forecast!H$30,Forecast!H$35,Forecast!H$43,Forecast!H$58),0)</f>
        <v>0</v>
      </c>
      <c r="I33" s="13" t="n">
        <f aca="false">Scenarios!$B$45*IF(AND(I$5&gt;=Inputs!$G$134,I$5&lt;=Inputs!$H$134,OR(Inputs!$I$134=0,MONTH(Forecast!I$7)=Inputs!$I$134)),Inputs!$B$134+Inputs!$C$134/1000*CHOOSE(Inputs!$D$134,Forecast!I$30,Forecast!I$35,Forecast!I$43,Forecast!I$58),0)</f>
        <v>0</v>
      </c>
      <c r="J33" s="13" t="n">
        <f aca="false">Scenarios!$B$45*IF(AND(J$5&gt;=Inputs!$G$134,J$5&lt;=Inputs!$H$134,OR(Inputs!$I$134=0,MONTH(Forecast!J$7)=Inputs!$I$134)),Inputs!$B$134+Inputs!$C$134/1000*CHOOSE(Inputs!$D$134,Forecast!J$30,Forecast!J$35,Forecast!J$43,Forecast!J$58),0)</f>
        <v>0</v>
      </c>
      <c r="K33" s="13" t="n">
        <f aca="false">Scenarios!$B$45*IF(AND(K$5&gt;=Inputs!$G$134,K$5&lt;=Inputs!$H$134,OR(Inputs!$I$134=0,MONTH(Forecast!K$7)=Inputs!$I$134)),Inputs!$B$134+Inputs!$C$134/1000*CHOOSE(Inputs!$D$134,Forecast!K$30,Forecast!K$35,Forecast!K$43,Forecast!K$58),0)</f>
        <v>0</v>
      </c>
      <c r="L33" s="13" t="n">
        <f aca="false">Scenarios!$B$45*IF(AND(L$5&gt;=Inputs!$G$134,L$5&lt;=Inputs!$H$134,OR(Inputs!$I$134=0,MONTH(Forecast!L$7)=Inputs!$I$134)),Inputs!$B$134+Inputs!$C$134/1000*CHOOSE(Inputs!$D$134,Forecast!L$30,Forecast!L$35,Forecast!L$43,Forecast!L$58),0)</f>
        <v>0</v>
      </c>
      <c r="M33" s="13" t="n">
        <f aca="false">Scenarios!$B$45*IF(AND(M$5&gt;=Inputs!$G$134,M$5&lt;=Inputs!$H$134,OR(Inputs!$I$134=0,MONTH(Forecast!M$7)=Inputs!$I$134)),Inputs!$B$134+Inputs!$C$134/1000*CHOOSE(Inputs!$D$134,Forecast!M$30,Forecast!M$35,Forecast!M$43,Forecast!M$58),0)</f>
        <v>0</v>
      </c>
      <c r="N33" s="13" t="n">
        <f aca="false">Scenarios!$B$45*IF(AND(N$5&gt;=Inputs!$G$134,N$5&lt;=Inputs!$H$134,OR(Inputs!$I$134=0,MONTH(Forecast!N$7)=Inputs!$I$134)),Inputs!$B$134+Inputs!$C$134/1000*CHOOSE(Inputs!$D$134,Forecast!N$30,Forecast!N$35,Forecast!N$43,Forecast!N$58),0)</f>
        <v>0</v>
      </c>
      <c r="O33" s="13" t="n">
        <f aca="false">Scenarios!$B$45*IF(AND(O$5&gt;=Inputs!$G$134,O$5&lt;=Inputs!$H$134,OR(Inputs!$I$134=0,MONTH(Forecast!O$7)=Inputs!$I$134)),Inputs!$B$134+Inputs!$C$134/1000*CHOOSE(Inputs!$D$134,Forecast!O$30,Forecast!O$35,Forecast!O$43,Forecast!O$58),0)</f>
        <v>0</v>
      </c>
      <c r="P33" s="13" t="n">
        <f aca="false">Scenarios!$B$45*IF(AND(P$5&gt;=Inputs!$G$134,P$5&lt;=Inputs!$H$134,OR(Inputs!$I$134=0,MONTH(Forecast!P$7)=Inputs!$I$134)),Inputs!$B$134+Inputs!$C$134/1000*CHOOSE(Inputs!$D$134,Forecast!P$30,Forecast!P$35,Forecast!P$43,Forecast!P$58),0)</f>
        <v>0</v>
      </c>
      <c r="Q33" s="13" t="n">
        <f aca="false">Scenarios!$B$45*IF(AND(Q$5&gt;=Inputs!$G$134,Q$5&lt;=Inputs!$H$134,OR(Inputs!$I$134=0,MONTH(Forecast!Q$7)=Inputs!$I$134)),Inputs!$B$134+Inputs!$C$134/1000*CHOOSE(Inputs!$D$134,Forecast!Q$30,Forecast!Q$35,Forecast!Q$43,Forecast!Q$58),0)</f>
        <v>975</v>
      </c>
      <c r="R33" s="13" t="n">
        <f aca="false">Scenarios!$B$45*IF(AND(R$5&gt;=Inputs!$G$134,R$5&lt;=Inputs!$H$134,OR(Inputs!$I$134=0,MONTH(Forecast!R$7)=Inputs!$I$134)),Inputs!$B$134+Inputs!$C$134/1000*CHOOSE(Inputs!$D$134,Forecast!R$30,Forecast!R$35,Forecast!R$43,Forecast!R$58),0)</f>
        <v>0</v>
      </c>
      <c r="S33" s="13" t="n">
        <f aca="false">Scenarios!$B$45*IF(AND(S$5&gt;=Inputs!$G$134,S$5&lt;=Inputs!$H$134,OR(Inputs!$I$134=0,MONTH(Forecast!S$7)=Inputs!$I$134)),Inputs!$B$134+Inputs!$C$134/1000*CHOOSE(Inputs!$D$134,Forecast!S$30,Forecast!S$35,Forecast!S$43,Forecast!S$58),0)</f>
        <v>0</v>
      </c>
      <c r="T33" s="13" t="n">
        <f aca="false">Scenarios!$B$45*IF(AND(T$5&gt;=Inputs!$G$134,T$5&lt;=Inputs!$H$134,OR(Inputs!$I$134=0,MONTH(Forecast!T$7)=Inputs!$I$134)),Inputs!$B$134+Inputs!$C$134/1000*CHOOSE(Inputs!$D$134,Forecast!T$30,Forecast!T$35,Forecast!T$43,Forecast!T$58),0)</f>
        <v>0</v>
      </c>
      <c r="U33" s="13" t="n">
        <f aca="false">Scenarios!$B$45*IF(AND(U$5&gt;=Inputs!$G$134,U$5&lt;=Inputs!$H$134,OR(Inputs!$I$134=0,MONTH(Forecast!U$7)=Inputs!$I$134)),Inputs!$B$134+Inputs!$C$134/1000*CHOOSE(Inputs!$D$134,Forecast!U$30,Forecast!U$35,Forecast!U$43,Forecast!U$58),0)</f>
        <v>0</v>
      </c>
      <c r="V33" s="13" t="n">
        <f aca="false">Scenarios!$B$45*IF(AND(V$5&gt;=Inputs!$G$134,V$5&lt;=Inputs!$H$134,OR(Inputs!$I$134=0,MONTH(Forecast!V$7)=Inputs!$I$134)),Inputs!$B$134+Inputs!$C$134/1000*CHOOSE(Inputs!$D$134,Forecast!V$30,Forecast!V$35,Forecast!V$43,Forecast!V$58),0)</f>
        <v>0</v>
      </c>
      <c r="W33" s="13" t="n">
        <f aca="false">Scenarios!$B$45*IF(AND(W$5&gt;=Inputs!$G$134,W$5&lt;=Inputs!$H$134,OR(Inputs!$I$134=0,MONTH(Forecast!W$7)=Inputs!$I$134)),Inputs!$B$134+Inputs!$C$134/1000*CHOOSE(Inputs!$D$134,Forecast!W$30,Forecast!W$35,Forecast!W$43,Forecast!W$58),0)</f>
        <v>0</v>
      </c>
      <c r="X33" s="13" t="n">
        <f aca="false">Scenarios!$B$45*IF(AND(X$5&gt;=Inputs!$G$134,X$5&lt;=Inputs!$H$134,OR(Inputs!$I$134=0,MONTH(Forecast!X$7)=Inputs!$I$134)),Inputs!$B$134+Inputs!$C$134/1000*CHOOSE(Inputs!$D$134,Forecast!X$30,Forecast!X$35,Forecast!X$43,Forecast!X$58),0)</f>
        <v>0</v>
      </c>
      <c r="Y33" s="13" t="n">
        <f aca="false">Scenarios!$B$45*IF(AND(Y$5&gt;=Inputs!$G$134,Y$5&lt;=Inputs!$H$134,OR(Inputs!$I$134=0,MONTH(Forecast!Y$7)=Inputs!$I$134)),Inputs!$B$134+Inputs!$C$134/1000*CHOOSE(Inputs!$D$134,Forecast!Y$30,Forecast!Y$35,Forecast!Y$43,Forecast!Y$58),0)</f>
        <v>0</v>
      </c>
      <c r="Z33" s="13" t="n">
        <f aca="false">Scenarios!$B$45*IF(AND(Z$5&gt;=Inputs!$G$134,Z$5&lt;=Inputs!$H$134,OR(Inputs!$I$134=0,MONTH(Forecast!Z$7)=Inputs!$I$134)),Inputs!$B$134+Inputs!$C$134/1000*CHOOSE(Inputs!$D$134,Forecast!Z$30,Forecast!Z$35,Forecast!Z$43,Forecast!Z$58),0)</f>
        <v>0</v>
      </c>
      <c r="AA33" s="13" t="n">
        <f aca="false">Scenarios!$B$45*IF(AND(AA$5&gt;=Inputs!$G$134,AA$5&lt;=Inputs!$H$134,OR(Inputs!$I$134=0,MONTH(Forecast!AA$7)=Inputs!$I$134)),Inputs!$B$134+Inputs!$C$134/1000*CHOOSE(Inputs!$D$134,Forecast!AA$30,Forecast!AA$35,Forecast!AA$43,Forecast!AA$58),0)</f>
        <v>0</v>
      </c>
      <c r="AB33" s="13" t="n">
        <f aca="false">Scenarios!$B$45*IF(AND(AB$5&gt;=Inputs!$G$134,AB$5&lt;=Inputs!$H$134,OR(Inputs!$I$134=0,MONTH(Forecast!AB$7)=Inputs!$I$134)),Inputs!$B$134+Inputs!$C$134/1000*CHOOSE(Inputs!$D$134,Forecast!AB$30,Forecast!AB$35,Forecast!AB$43,Forecast!AB$58),0)</f>
        <v>0</v>
      </c>
      <c r="AC33" s="13" t="n">
        <f aca="false">Scenarios!$B$45*IF(AND(AC$5&gt;=Inputs!$G$134,AC$5&lt;=Inputs!$H$134,OR(Inputs!$I$134=0,MONTH(Forecast!AC$7)=Inputs!$I$134)),Inputs!$B$134+Inputs!$C$134/1000*CHOOSE(Inputs!$D$134,Forecast!AC$30,Forecast!AC$35,Forecast!AC$43,Forecast!AC$58),0)</f>
        <v>975</v>
      </c>
      <c r="AD33" s="13" t="n">
        <f aca="false">Scenarios!$B$45*IF(AND(AD$5&gt;=Inputs!$G$134,AD$5&lt;=Inputs!$H$134,OR(Inputs!$I$134=0,MONTH(Forecast!AD$7)=Inputs!$I$134)),Inputs!$B$134+Inputs!$C$134/1000*CHOOSE(Inputs!$D$134,Forecast!AD$30,Forecast!AD$35,Forecast!AD$43,Forecast!AD$58),0)</f>
        <v>0</v>
      </c>
      <c r="AE33" s="13" t="n">
        <f aca="false">Scenarios!$B$45*IF(AND(AE$5&gt;=Inputs!$G$134,AE$5&lt;=Inputs!$H$134,OR(Inputs!$I$134=0,MONTH(Forecast!AE$7)=Inputs!$I$134)),Inputs!$B$134+Inputs!$C$134/1000*CHOOSE(Inputs!$D$134,Forecast!AE$30,Forecast!AE$35,Forecast!AE$43,Forecast!AE$58),0)</f>
        <v>0</v>
      </c>
      <c r="AF33" s="13" t="n">
        <f aca="false">Scenarios!$B$45*IF(AND(AF$5&gt;=Inputs!$G$134,AF$5&lt;=Inputs!$H$134,OR(Inputs!$I$134=0,MONTH(Forecast!AF$7)=Inputs!$I$134)),Inputs!$B$134+Inputs!$C$134/1000*CHOOSE(Inputs!$D$134,Forecast!AF$30,Forecast!AF$35,Forecast!AF$43,Forecast!AF$58),0)</f>
        <v>0</v>
      </c>
      <c r="AG33" s="13" t="n">
        <f aca="false">Scenarios!$B$45*IF(AND(AG$5&gt;=Inputs!$G$134,AG$5&lt;=Inputs!$H$134,OR(Inputs!$I$134=0,MONTH(Forecast!AG$7)=Inputs!$I$134)),Inputs!$B$134+Inputs!$C$134/1000*CHOOSE(Inputs!$D$134,Forecast!AG$30,Forecast!AG$35,Forecast!AG$43,Forecast!AG$58),0)</f>
        <v>0</v>
      </c>
      <c r="AH33" s="13" t="n">
        <f aca="false">Scenarios!$B$45*IF(AND(AH$5&gt;=Inputs!$G$134,AH$5&lt;=Inputs!$H$134,OR(Inputs!$I$134=0,MONTH(Forecast!AH$7)=Inputs!$I$134)),Inputs!$B$134+Inputs!$C$134/1000*CHOOSE(Inputs!$D$134,Forecast!AH$30,Forecast!AH$35,Forecast!AH$43,Forecast!AH$58),0)</f>
        <v>0</v>
      </c>
      <c r="AI33" s="13" t="n">
        <f aca="false">Scenarios!$B$45*IF(AND(AI$5&gt;=Inputs!$G$134,AI$5&lt;=Inputs!$H$134,OR(Inputs!$I$134=0,MONTH(Forecast!AI$7)=Inputs!$I$134)),Inputs!$B$134+Inputs!$C$134/1000*CHOOSE(Inputs!$D$134,Forecast!AI$30,Forecast!AI$35,Forecast!AI$43,Forecast!AI$58),0)</f>
        <v>0</v>
      </c>
      <c r="AJ33" s="13" t="n">
        <f aca="false">Scenarios!$B$45*IF(AND(AJ$5&gt;=Inputs!$G$134,AJ$5&lt;=Inputs!$H$134,OR(Inputs!$I$134=0,MONTH(Forecast!AJ$7)=Inputs!$I$134)),Inputs!$B$134+Inputs!$C$134/1000*CHOOSE(Inputs!$D$134,Forecast!AJ$30,Forecast!AJ$35,Forecast!AJ$43,Forecast!AJ$58),0)</f>
        <v>0</v>
      </c>
      <c r="AK33" s="13" t="n">
        <f aca="false">Scenarios!$B$45*IF(AND(AK$5&gt;=Inputs!$G$134,AK$5&lt;=Inputs!$H$134,OR(Inputs!$I$134=0,MONTH(Forecast!AK$7)=Inputs!$I$134)),Inputs!$B$134+Inputs!$C$134/1000*CHOOSE(Inputs!$D$134,Forecast!AK$30,Forecast!AK$35,Forecast!AK$43,Forecast!AK$58),0)</f>
        <v>0</v>
      </c>
      <c r="AL33" s="13" t="n">
        <f aca="false">Scenarios!$B$45*IF(AND(AL$5&gt;=Inputs!$G$134,AL$5&lt;=Inputs!$H$134,OR(Inputs!$I$134=0,MONTH(Forecast!AL$7)=Inputs!$I$134)),Inputs!$B$134+Inputs!$C$134/1000*CHOOSE(Inputs!$D$134,Forecast!AL$30,Forecast!AL$35,Forecast!AL$43,Forecast!AL$58),0)</f>
        <v>0</v>
      </c>
      <c r="AM33" s="13" t="n">
        <f aca="false">Scenarios!$B$45*IF(AND(AM$5&gt;=Inputs!$G$134,AM$5&lt;=Inputs!$H$134,OR(Inputs!$I$134=0,MONTH(Forecast!AM$7)=Inputs!$I$134)),Inputs!$B$134+Inputs!$C$134/1000*CHOOSE(Inputs!$D$134,Forecast!AM$30,Forecast!AM$35,Forecast!AM$43,Forecast!AM$58),0)</f>
        <v>0</v>
      </c>
    </row>
    <row r="34" customFormat="false" ht="15" hidden="false" customHeight="false" outlineLevel="0" collapsed="false">
      <c r="A34" s="6" t="str">
        <f aca="false">Inputs!A135</f>
        <v>Postal address / virtual mailbox for footer and CAN-SPAM</v>
      </c>
      <c r="B34" s="6" t="n">
        <f aca="false">Inputs!D135</f>
        <v>1</v>
      </c>
      <c r="D34" s="13" t="n">
        <f aca="false">Scenarios!$B$45*IF(AND(D$5&gt;=Inputs!$G$135,D$5&lt;=Inputs!$H$135,OR(Inputs!$I$135=0,MONTH(Forecast!D$7)=Inputs!$I$135)),Inputs!$B$135+Inputs!$C$135/1000*CHOOSE(Inputs!$D$135,Forecast!D$30,Forecast!D$35,Forecast!D$43,Forecast!D$58),0)</f>
        <v>10</v>
      </c>
      <c r="E34" s="13" t="n">
        <f aca="false">Scenarios!$B$45*IF(AND(E$5&gt;=Inputs!$G$135,E$5&lt;=Inputs!$H$135,OR(Inputs!$I$135=0,MONTH(Forecast!E$7)=Inputs!$I$135)),Inputs!$B$135+Inputs!$C$135/1000*CHOOSE(Inputs!$D$135,Forecast!E$30,Forecast!E$35,Forecast!E$43,Forecast!E$58),0)</f>
        <v>10</v>
      </c>
      <c r="F34" s="13" t="n">
        <f aca="false">Scenarios!$B$45*IF(AND(F$5&gt;=Inputs!$G$135,F$5&lt;=Inputs!$H$135,OR(Inputs!$I$135=0,MONTH(Forecast!F$7)=Inputs!$I$135)),Inputs!$B$135+Inputs!$C$135/1000*CHOOSE(Inputs!$D$135,Forecast!F$30,Forecast!F$35,Forecast!F$43,Forecast!F$58),0)</f>
        <v>10</v>
      </c>
      <c r="G34" s="13" t="n">
        <f aca="false">Scenarios!$B$45*IF(AND(G$5&gt;=Inputs!$G$135,G$5&lt;=Inputs!$H$135,OR(Inputs!$I$135=0,MONTH(Forecast!G$7)=Inputs!$I$135)),Inputs!$B$135+Inputs!$C$135/1000*CHOOSE(Inputs!$D$135,Forecast!G$30,Forecast!G$35,Forecast!G$43,Forecast!G$58),0)</f>
        <v>10</v>
      </c>
      <c r="H34" s="13" t="n">
        <f aca="false">Scenarios!$B$45*IF(AND(H$5&gt;=Inputs!$G$135,H$5&lt;=Inputs!$H$135,OR(Inputs!$I$135=0,MONTH(Forecast!H$7)=Inputs!$I$135)),Inputs!$B$135+Inputs!$C$135/1000*CHOOSE(Inputs!$D$135,Forecast!H$30,Forecast!H$35,Forecast!H$43,Forecast!H$58),0)</f>
        <v>10</v>
      </c>
      <c r="I34" s="13" t="n">
        <f aca="false">Scenarios!$B$45*IF(AND(I$5&gt;=Inputs!$G$135,I$5&lt;=Inputs!$H$135,OR(Inputs!$I$135=0,MONTH(Forecast!I$7)=Inputs!$I$135)),Inputs!$B$135+Inputs!$C$135/1000*CHOOSE(Inputs!$D$135,Forecast!I$30,Forecast!I$35,Forecast!I$43,Forecast!I$58),0)</f>
        <v>10</v>
      </c>
      <c r="J34" s="13" t="n">
        <f aca="false">Scenarios!$B$45*IF(AND(J$5&gt;=Inputs!$G$135,J$5&lt;=Inputs!$H$135,OR(Inputs!$I$135=0,MONTH(Forecast!J$7)=Inputs!$I$135)),Inputs!$B$135+Inputs!$C$135/1000*CHOOSE(Inputs!$D$135,Forecast!J$30,Forecast!J$35,Forecast!J$43,Forecast!J$58),0)</f>
        <v>10</v>
      </c>
      <c r="K34" s="13" t="n">
        <f aca="false">Scenarios!$B$45*IF(AND(K$5&gt;=Inputs!$G$135,K$5&lt;=Inputs!$H$135,OR(Inputs!$I$135=0,MONTH(Forecast!K$7)=Inputs!$I$135)),Inputs!$B$135+Inputs!$C$135/1000*CHOOSE(Inputs!$D$135,Forecast!K$30,Forecast!K$35,Forecast!K$43,Forecast!K$58),0)</f>
        <v>10</v>
      </c>
      <c r="L34" s="13" t="n">
        <f aca="false">Scenarios!$B$45*IF(AND(L$5&gt;=Inputs!$G$135,L$5&lt;=Inputs!$H$135,OR(Inputs!$I$135=0,MONTH(Forecast!L$7)=Inputs!$I$135)),Inputs!$B$135+Inputs!$C$135/1000*CHOOSE(Inputs!$D$135,Forecast!L$30,Forecast!L$35,Forecast!L$43,Forecast!L$58),0)</f>
        <v>10</v>
      </c>
      <c r="M34" s="13" t="n">
        <f aca="false">Scenarios!$B$45*IF(AND(M$5&gt;=Inputs!$G$135,M$5&lt;=Inputs!$H$135,OR(Inputs!$I$135=0,MONTH(Forecast!M$7)=Inputs!$I$135)),Inputs!$B$135+Inputs!$C$135/1000*CHOOSE(Inputs!$D$135,Forecast!M$30,Forecast!M$35,Forecast!M$43,Forecast!M$58),0)</f>
        <v>10</v>
      </c>
      <c r="N34" s="13" t="n">
        <f aca="false">Scenarios!$B$45*IF(AND(N$5&gt;=Inputs!$G$135,N$5&lt;=Inputs!$H$135,OR(Inputs!$I$135=0,MONTH(Forecast!N$7)=Inputs!$I$135)),Inputs!$B$135+Inputs!$C$135/1000*CHOOSE(Inputs!$D$135,Forecast!N$30,Forecast!N$35,Forecast!N$43,Forecast!N$58),0)</f>
        <v>10</v>
      </c>
      <c r="O34" s="13" t="n">
        <f aca="false">Scenarios!$B$45*IF(AND(O$5&gt;=Inputs!$G$135,O$5&lt;=Inputs!$H$135,OR(Inputs!$I$135=0,MONTH(Forecast!O$7)=Inputs!$I$135)),Inputs!$B$135+Inputs!$C$135/1000*CHOOSE(Inputs!$D$135,Forecast!O$30,Forecast!O$35,Forecast!O$43,Forecast!O$58),0)</f>
        <v>10</v>
      </c>
      <c r="P34" s="13" t="n">
        <f aca="false">Scenarios!$B$45*IF(AND(P$5&gt;=Inputs!$G$135,P$5&lt;=Inputs!$H$135,OR(Inputs!$I$135=0,MONTH(Forecast!P$7)=Inputs!$I$135)),Inputs!$B$135+Inputs!$C$135/1000*CHOOSE(Inputs!$D$135,Forecast!P$30,Forecast!P$35,Forecast!P$43,Forecast!P$58),0)</f>
        <v>10</v>
      </c>
      <c r="Q34" s="13" t="n">
        <f aca="false">Scenarios!$B$45*IF(AND(Q$5&gt;=Inputs!$G$135,Q$5&lt;=Inputs!$H$135,OR(Inputs!$I$135=0,MONTH(Forecast!Q$7)=Inputs!$I$135)),Inputs!$B$135+Inputs!$C$135/1000*CHOOSE(Inputs!$D$135,Forecast!Q$30,Forecast!Q$35,Forecast!Q$43,Forecast!Q$58),0)</f>
        <v>10</v>
      </c>
      <c r="R34" s="13" t="n">
        <f aca="false">Scenarios!$B$45*IF(AND(R$5&gt;=Inputs!$G$135,R$5&lt;=Inputs!$H$135,OR(Inputs!$I$135=0,MONTH(Forecast!R$7)=Inputs!$I$135)),Inputs!$B$135+Inputs!$C$135/1000*CHOOSE(Inputs!$D$135,Forecast!R$30,Forecast!R$35,Forecast!R$43,Forecast!R$58),0)</f>
        <v>10</v>
      </c>
      <c r="S34" s="13" t="n">
        <f aca="false">Scenarios!$B$45*IF(AND(S$5&gt;=Inputs!$G$135,S$5&lt;=Inputs!$H$135,OR(Inputs!$I$135=0,MONTH(Forecast!S$7)=Inputs!$I$135)),Inputs!$B$135+Inputs!$C$135/1000*CHOOSE(Inputs!$D$135,Forecast!S$30,Forecast!S$35,Forecast!S$43,Forecast!S$58),0)</f>
        <v>10</v>
      </c>
      <c r="T34" s="13" t="n">
        <f aca="false">Scenarios!$B$45*IF(AND(T$5&gt;=Inputs!$G$135,T$5&lt;=Inputs!$H$135,OR(Inputs!$I$135=0,MONTH(Forecast!T$7)=Inputs!$I$135)),Inputs!$B$135+Inputs!$C$135/1000*CHOOSE(Inputs!$D$135,Forecast!T$30,Forecast!T$35,Forecast!T$43,Forecast!T$58),0)</f>
        <v>10</v>
      </c>
      <c r="U34" s="13" t="n">
        <f aca="false">Scenarios!$B$45*IF(AND(U$5&gt;=Inputs!$G$135,U$5&lt;=Inputs!$H$135,OR(Inputs!$I$135=0,MONTH(Forecast!U$7)=Inputs!$I$135)),Inputs!$B$135+Inputs!$C$135/1000*CHOOSE(Inputs!$D$135,Forecast!U$30,Forecast!U$35,Forecast!U$43,Forecast!U$58),0)</f>
        <v>10</v>
      </c>
      <c r="V34" s="13" t="n">
        <f aca="false">Scenarios!$B$45*IF(AND(V$5&gt;=Inputs!$G$135,V$5&lt;=Inputs!$H$135,OR(Inputs!$I$135=0,MONTH(Forecast!V$7)=Inputs!$I$135)),Inputs!$B$135+Inputs!$C$135/1000*CHOOSE(Inputs!$D$135,Forecast!V$30,Forecast!V$35,Forecast!V$43,Forecast!V$58),0)</f>
        <v>10</v>
      </c>
      <c r="W34" s="13" t="n">
        <f aca="false">Scenarios!$B$45*IF(AND(W$5&gt;=Inputs!$G$135,W$5&lt;=Inputs!$H$135,OR(Inputs!$I$135=0,MONTH(Forecast!W$7)=Inputs!$I$135)),Inputs!$B$135+Inputs!$C$135/1000*CHOOSE(Inputs!$D$135,Forecast!W$30,Forecast!W$35,Forecast!W$43,Forecast!W$58),0)</f>
        <v>10</v>
      </c>
      <c r="X34" s="13" t="n">
        <f aca="false">Scenarios!$B$45*IF(AND(X$5&gt;=Inputs!$G$135,X$5&lt;=Inputs!$H$135,OR(Inputs!$I$135=0,MONTH(Forecast!X$7)=Inputs!$I$135)),Inputs!$B$135+Inputs!$C$135/1000*CHOOSE(Inputs!$D$135,Forecast!X$30,Forecast!X$35,Forecast!X$43,Forecast!X$58),0)</f>
        <v>10</v>
      </c>
      <c r="Y34" s="13" t="n">
        <f aca="false">Scenarios!$B$45*IF(AND(Y$5&gt;=Inputs!$G$135,Y$5&lt;=Inputs!$H$135,OR(Inputs!$I$135=0,MONTH(Forecast!Y$7)=Inputs!$I$135)),Inputs!$B$135+Inputs!$C$135/1000*CHOOSE(Inputs!$D$135,Forecast!Y$30,Forecast!Y$35,Forecast!Y$43,Forecast!Y$58),0)</f>
        <v>10</v>
      </c>
      <c r="Z34" s="13" t="n">
        <f aca="false">Scenarios!$B$45*IF(AND(Z$5&gt;=Inputs!$G$135,Z$5&lt;=Inputs!$H$135,OR(Inputs!$I$135=0,MONTH(Forecast!Z$7)=Inputs!$I$135)),Inputs!$B$135+Inputs!$C$135/1000*CHOOSE(Inputs!$D$135,Forecast!Z$30,Forecast!Z$35,Forecast!Z$43,Forecast!Z$58),0)</f>
        <v>10</v>
      </c>
      <c r="AA34" s="13" t="n">
        <f aca="false">Scenarios!$B$45*IF(AND(AA$5&gt;=Inputs!$G$135,AA$5&lt;=Inputs!$H$135,OR(Inputs!$I$135=0,MONTH(Forecast!AA$7)=Inputs!$I$135)),Inputs!$B$135+Inputs!$C$135/1000*CHOOSE(Inputs!$D$135,Forecast!AA$30,Forecast!AA$35,Forecast!AA$43,Forecast!AA$58),0)</f>
        <v>10</v>
      </c>
      <c r="AB34" s="13" t="n">
        <f aca="false">Scenarios!$B$45*IF(AND(AB$5&gt;=Inputs!$G$135,AB$5&lt;=Inputs!$H$135,OR(Inputs!$I$135=0,MONTH(Forecast!AB$7)=Inputs!$I$135)),Inputs!$B$135+Inputs!$C$135/1000*CHOOSE(Inputs!$D$135,Forecast!AB$30,Forecast!AB$35,Forecast!AB$43,Forecast!AB$58),0)</f>
        <v>10</v>
      </c>
      <c r="AC34" s="13" t="n">
        <f aca="false">Scenarios!$B$45*IF(AND(AC$5&gt;=Inputs!$G$135,AC$5&lt;=Inputs!$H$135,OR(Inputs!$I$135=0,MONTH(Forecast!AC$7)=Inputs!$I$135)),Inputs!$B$135+Inputs!$C$135/1000*CHOOSE(Inputs!$D$135,Forecast!AC$30,Forecast!AC$35,Forecast!AC$43,Forecast!AC$58),0)</f>
        <v>10</v>
      </c>
      <c r="AD34" s="13" t="n">
        <f aca="false">Scenarios!$B$45*IF(AND(AD$5&gt;=Inputs!$G$135,AD$5&lt;=Inputs!$H$135,OR(Inputs!$I$135=0,MONTH(Forecast!AD$7)=Inputs!$I$135)),Inputs!$B$135+Inputs!$C$135/1000*CHOOSE(Inputs!$D$135,Forecast!AD$30,Forecast!AD$35,Forecast!AD$43,Forecast!AD$58),0)</f>
        <v>10</v>
      </c>
      <c r="AE34" s="13" t="n">
        <f aca="false">Scenarios!$B$45*IF(AND(AE$5&gt;=Inputs!$G$135,AE$5&lt;=Inputs!$H$135,OR(Inputs!$I$135=0,MONTH(Forecast!AE$7)=Inputs!$I$135)),Inputs!$B$135+Inputs!$C$135/1000*CHOOSE(Inputs!$D$135,Forecast!AE$30,Forecast!AE$35,Forecast!AE$43,Forecast!AE$58),0)</f>
        <v>10</v>
      </c>
      <c r="AF34" s="13" t="n">
        <f aca="false">Scenarios!$B$45*IF(AND(AF$5&gt;=Inputs!$G$135,AF$5&lt;=Inputs!$H$135,OR(Inputs!$I$135=0,MONTH(Forecast!AF$7)=Inputs!$I$135)),Inputs!$B$135+Inputs!$C$135/1000*CHOOSE(Inputs!$D$135,Forecast!AF$30,Forecast!AF$35,Forecast!AF$43,Forecast!AF$58),0)</f>
        <v>10</v>
      </c>
      <c r="AG34" s="13" t="n">
        <f aca="false">Scenarios!$B$45*IF(AND(AG$5&gt;=Inputs!$G$135,AG$5&lt;=Inputs!$H$135,OR(Inputs!$I$135=0,MONTH(Forecast!AG$7)=Inputs!$I$135)),Inputs!$B$135+Inputs!$C$135/1000*CHOOSE(Inputs!$D$135,Forecast!AG$30,Forecast!AG$35,Forecast!AG$43,Forecast!AG$58),0)</f>
        <v>10</v>
      </c>
      <c r="AH34" s="13" t="n">
        <f aca="false">Scenarios!$B$45*IF(AND(AH$5&gt;=Inputs!$G$135,AH$5&lt;=Inputs!$H$135,OR(Inputs!$I$135=0,MONTH(Forecast!AH$7)=Inputs!$I$135)),Inputs!$B$135+Inputs!$C$135/1000*CHOOSE(Inputs!$D$135,Forecast!AH$30,Forecast!AH$35,Forecast!AH$43,Forecast!AH$58),0)</f>
        <v>10</v>
      </c>
      <c r="AI34" s="13" t="n">
        <f aca="false">Scenarios!$B$45*IF(AND(AI$5&gt;=Inputs!$G$135,AI$5&lt;=Inputs!$H$135,OR(Inputs!$I$135=0,MONTH(Forecast!AI$7)=Inputs!$I$135)),Inputs!$B$135+Inputs!$C$135/1000*CHOOSE(Inputs!$D$135,Forecast!AI$30,Forecast!AI$35,Forecast!AI$43,Forecast!AI$58),0)</f>
        <v>10</v>
      </c>
      <c r="AJ34" s="13" t="n">
        <f aca="false">Scenarios!$B$45*IF(AND(AJ$5&gt;=Inputs!$G$135,AJ$5&lt;=Inputs!$H$135,OR(Inputs!$I$135=0,MONTH(Forecast!AJ$7)=Inputs!$I$135)),Inputs!$B$135+Inputs!$C$135/1000*CHOOSE(Inputs!$D$135,Forecast!AJ$30,Forecast!AJ$35,Forecast!AJ$43,Forecast!AJ$58),0)</f>
        <v>10</v>
      </c>
      <c r="AK34" s="13" t="n">
        <f aca="false">Scenarios!$B$45*IF(AND(AK$5&gt;=Inputs!$G$135,AK$5&lt;=Inputs!$H$135,OR(Inputs!$I$135=0,MONTH(Forecast!AK$7)=Inputs!$I$135)),Inputs!$B$135+Inputs!$C$135/1000*CHOOSE(Inputs!$D$135,Forecast!AK$30,Forecast!AK$35,Forecast!AK$43,Forecast!AK$58),0)</f>
        <v>10</v>
      </c>
      <c r="AL34" s="13" t="n">
        <f aca="false">Scenarios!$B$45*IF(AND(AL$5&gt;=Inputs!$G$135,AL$5&lt;=Inputs!$H$135,OR(Inputs!$I$135=0,MONTH(Forecast!AL$7)=Inputs!$I$135)),Inputs!$B$135+Inputs!$C$135/1000*CHOOSE(Inputs!$D$135,Forecast!AL$30,Forecast!AL$35,Forecast!AL$43,Forecast!AL$58),0)</f>
        <v>10</v>
      </c>
      <c r="AM34" s="13" t="n">
        <f aca="false">Scenarios!$B$45*IF(AND(AM$5&gt;=Inputs!$G$135,AM$5&lt;=Inputs!$H$135,OR(Inputs!$I$135=0,MONTH(Forecast!AM$7)=Inputs!$I$135)),Inputs!$B$135+Inputs!$C$135/1000*CHOOSE(Inputs!$D$135,Forecast!AM$30,Forecast!AM$35,Forecast!AM$43,Forecast!AM$58),0)</f>
        <v>10</v>
      </c>
    </row>
    <row r="35" customFormat="false" ht="15" hidden="false" customHeight="false" outlineLevel="0" collapsed="false">
      <c r="A35" s="6" t="str">
        <f aca="false">Inputs!A136</f>
        <v>Accountant / sales-tax filing service (incremental to the $150 LLC and accounting line)</v>
      </c>
      <c r="B35" s="6" t="n">
        <f aca="false">Inputs!D136</f>
        <v>1</v>
      </c>
      <c r="D35" s="13" t="n">
        <f aca="false">Scenarios!$B$45*IF(AND(D$5&gt;=Inputs!$G$136,D$5&lt;=Inputs!$H$136,OR(Inputs!$I$136=0,MONTH(Forecast!D$7)=Inputs!$I$136)),Inputs!$B$136+Inputs!$C$136/1000*CHOOSE(Inputs!$D$136,Forecast!D$30,Forecast!D$35,Forecast!D$43,Forecast!D$58),0)</f>
        <v>100</v>
      </c>
      <c r="E35" s="13" t="n">
        <f aca="false">Scenarios!$B$45*IF(AND(E$5&gt;=Inputs!$G$136,E$5&lt;=Inputs!$H$136,OR(Inputs!$I$136=0,MONTH(Forecast!E$7)=Inputs!$I$136)),Inputs!$B$136+Inputs!$C$136/1000*CHOOSE(Inputs!$D$136,Forecast!E$30,Forecast!E$35,Forecast!E$43,Forecast!E$58),0)</f>
        <v>100</v>
      </c>
      <c r="F35" s="13" t="n">
        <f aca="false">Scenarios!$B$45*IF(AND(F$5&gt;=Inputs!$G$136,F$5&lt;=Inputs!$H$136,OR(Inputs!$I$136=0,MONTH(Forecast!F$7)=Inputs!$I$136)),Inputs!$B$136+Inputs!$C$136/1000*CHOOSE(Inputs!$D$136,Forecast!F$30,Forecast!F$35,Forecast!F$43,Forecast!F$58),0)</f>
        <v>100</v>
      </c>
      <c r="G35" s="13" t="n">
        <f aca="false">Scenarios!$B$45*IF(AND(G$5&gt;=Inputs!$G$136,G$5&lt;=Inputs!$H$136,OR(Inputs!$I$136=0,MONTH(Forecast!G$7)=Inputs!$I$136)),Inputs!$B$136+Inputs!$C$136/1000*CHOOSE(Inputs!$D$136,Forecast!G$30,Forecast!G$35,Forecast!G$43,Forecast!G$58),0)</f>
        <v>100</v>
      </c>
      <c r="H35" s="13" t="n">
        <f aca="false">Scenarios!$B$45*IF(AND(H$5&gt;=Inputs!$G$136,H$5&lt;=Inputs!$H$136,OR(Inputs!$I$136=0,MONTH(Forecast!H$7)=Inputs!$I$136)),Inputs!$B$136+Inputs!$C$136/1000*CHOOSE(Inputs!$D$136,Forecast!H$30,Forecast!H$35,Forecast!H$43,Forecast!H$58),0)</f>
        <v>100</v>
      </c>
      <c r="I35" s="13" t="n">
        <f aca="false">Scenarios!$B$45*IF(AND(I$5&gt;=Inputs!$G$136,I$5&lt;=Inputs!$H$136,OR(Inputs!$I$136=0,MONTH(Forecast!I$7)=Inputs!$I$136)),Inputs!$B$136+Inputs!$C$136/1000*CHOOSE(Inputs!$D$136,Forecast!I$30,Forecast!I$35,Forecast!I$43,Forecast!I$58),0)</f>
        <v>100</v>
      </c>
      <c r="J35" s="13" t="n">
        <f aca="false">Scenarios!$B$45*IF(AND(J$5&gt;=Inputs!$G$136,J$5&lt;=Inputs!$H$136,OR(Inputs!$I$136=0,MONTH(Forecast!J$7)=Inputs!$I$136)),Inputs!$B$136+Inputs!$C$136/1000*CHOOSE(Inputs!$D$136,Forecast!J$30,Forecast!J$35,Forecast!J$43,Forecast!J$58),0)</f>
        <v>100</v>
      </c>
      <c r="K35" s="13" t="n">
        <f aca="false">Scenarios!$B$45*IF(AND(K$5&gt;=Inputs!$G$136,K$5&lt;=Inputs!$H$136,OR(Inputs!$I$136=0,MONTH(Forecast!K$7)=Inputs!$I$136)),Inputs!$B$136+Inputs!$C$136/1000*CHOOSE(Inputs!$D$136,Forecast!K$30,Forecast!K$35,Forecast!K$43,Forecast!K$58),0)</f>
        <v>100</v>
      </c>
      <c r="L35" s="13" t="n">
        <f aca="false">Scenarios!$B$45*IF(AND(L$5&gt;=Inputs!$G$136,L$5&lt;=Inputs!$H$136,OR(Inputs!$I$136=0,MONTH(Forecast!L$7)=Inputs!$I$136)),Inputs!$B$136+Inputs!$C$136/1000*CHOOSE(Inputs!$D$136,Forecast!L$30,Forecast!L$35,Forecast!L$43,Forecast!L$58),0)</f>
        <v>100</v>
      </c>
      <c r="M35" s="13" t="n">
        <f aca="false">Scenarios!$B$45*IF(AND(M$5&gt;=Inputs!$G$136,M$5&lt;=Inputs!$H$136,OR(Inputs!$I$136=0,MONTH(Forecast!M$7)=Inputs!$I$136)),Inputs!$B$136+Inputs!$C$136/1000*CHOOSE(Inputs!$D$136,Forecast!M$30,Forecast!M$35,Forecast!M$43,Forecast!M$58),0)</f>
        <v>100</v>
      </c>
      <c r="N35" s="13" t="n">
        <f aca="false">Scenarios!$B$45*IF(AND(N$5&gt;=Inputs!$G$136,N$5&lt;=Inputs!$H$136,OR(Inputs!$I$136=0,MONTH(Forecast!N$7)=Inputs!$I$136)),Inputs!$B$136+Inputs!$C$136/1000*CHOOSE(Inputs!$D$136,Forecast!N$30,Forecast!N$35,Forecast!N$43,Forecast!N$58),0)</f>
        <v>100</v>
      </c>
      <c r="O35" s="13" t="n">
        <f aca="false">Scenarios!$B$45*IF(AND(O$5&gt;=Inputs!$G$136,O$5&lt;=Inputs!$H$136,OR(Inputs!$I$136=0,MONTH(Forecast!O$7)=Inputs!$I$136)),Inputs!$B$136+Inputs!$C$136/1000*CHOOSE(Inputs!$D$136,Forecast!O$30,Forecast!O$35,Forecast!O$43,Forecast!O$58),0)</f>
        <v>100</v>
      </c>
      <c r="P35" s="13" t="n">
        <f aca="false">Scenarios!$B$45*IF(AND(P$5&gt;=Inputs!$G$136,P$5&lt;=Inputs!$H$136,OR(Inputs!$I$136=0,MONTH(Forecast!P$7)=Inputs!$I$136)),Inputs!$B$136+Inputs!$C$136/1000*CHOOSE(Inputs!$D$136,Forecast!P$30,Forecast!P$35,Forecast!P$43,Forecast!P$58),0)</f>
        <v>100</v>
      </c>
      <c r="Q35" s="13" t="n">
        <f aca="false">Scenarios!$B$45*IF(AND(Q$5&gt;=Inputs!$G$136,Q$5&lt;=Inputs!$H$136,OR(Inputs!$I$136=0,MONTH(Forecast!Q$7)=Inputs!$I$136)),Inputs!$B$136+Inputs!$C$136/1000*CHOOSE(Inputs!$D$136,Forecast!Q$30,Forecast!Q$35,Forecast!Q$43,Forecast!Q$58),0)</f>
        <v>100</v>
      </c>
      <c r="R35" s="13" t="n">
        <f aca="false">Scenarios!$B$45*IF(AND(R$5&gt;=Inputs!$G$136,R$5&lt;=Inputs!$H$136,OR(Inputs!$I$136=0,MONTH(Forecast!R$7)=Inputs!$I$136)),Inputs!$B$136+Inputs!$C$136/1000*CHOOSE(Inputs!$D$136,Forecast!R$30,Forecast!R$35,Forecast!R$43,Forecast!R$58),0)</f>
        <v>100</v>
      </c>
      <c r="S35" s="13" t="n">
        <f aca="false">Scenarios!$B$45*IF(AND(S$5&gt;=Inputs!$G$136,S$5&lt;=Inputs!$H$136,OR(Inputs!$I$136=0,MONTH(Forecast!S$7)=Inputs!$I$136)),Inputs!$B$136+Inputs!$C$136/1000*CHOOSE(Inputs!$D$136,Forecast!S$30,Forecast!S$35,Forecast!S$43,Forecast!S$58),0)</f>
        <v>100</v>
      </c>
      <c r="T35" s="13" t="n">
        <f aca="false">Scenarios!$B$45*IF(AND(T$5&gt;=Inputs!$G$136,T$5&lt;=Inputs!$H$136,OR(Inputs!$I$136=0,MONTH(Forecast!T$7)=Inputs!$I$136)),Inputs!$B$136+Inputs!$C$136/1000*CHOOSE(Inputs!$D$136,Forecast!T$30,Forecast!T$35,Forecast!T$43,Forecast!T$58),0)</f>
        <v>100</v>
      </c>
      <c r="U35" s="13" t="n">
        <f aca="false">Scenarios!$B$45*IF(AND(U$5&gt;=Inputs!$G$136,U$5&lt;=Inputs!$H$136,OR(Inputs!$I$136=0,MONTH(Forecast!U$7)=Inputs!$I$136)),Inputs!$B$136+Inputs!$C$136/1000*CHOOSE(Inputs!$D$136,Forecast!U$30,Forecast!U$35,Forecast!U$43,Forecast!U$58),0)</f>
        <v>100</v>
      </c>
      <c r="V35" s="13" t="n">
        <f aca="false">Scenarios!$B$45*IF(AND(V$5&gt;=Inputs!$G$136,V$5&lt;=Inputs!$H$136,OR(Inputs!$I$136=0,MONTH(Forecast!V$7)=Inputs!$I$136)),Inputs!$B$136+Inputs!$C$136/1000*CHOOSE(Inputs!$D$136,Forecast!V$30,Forecast!V$35,Forecast!V$43,Forecast!V$58),0)</f>
        <v>100</v>
      </c>
      <c r="W35" s="13" t="n">
        <f aca="false">Scenarios!$B$45*IF(AND(W$5&gt;=Inputs!$G$136,W$5&lt;=Inputs!$H$136,OR(Inputs!$I$136=0,MONTH(Forecast!W$7)=Inputs!$I$136)),Inputs!$B$136+Inputs!$C$136/1000*CHOOSE(Inputs!$D$136,Forecast!W$30,Forecast!W$35,Forecast!W$43,Forecast!W$58),0)</f>
        <v>100</v>
      </c>
      <c r="X35" s="13" t="n">
        <f aca="false">Scenarios!$B$45*IF(AND(X$5&gt;=Inputs!$G$136,X$5&lt;=Inputs!$H$136,OR(Inputs!$I$136=0,MONTH(Forecast!X$7)=Inputs!$I$136)),Inputs!$B$136+Inputs!$C$136/1000*CHOOSE(Inputs!$D$136,Forecast!X$30,Forecast!X$35,Forecast!X$43,Forecast!X$58),0)</f>
        <v>100</v>
      </c>
      <c r="Y35" s="13" t="n">
        <f aca="false">Scenarios!$B$45*IF(AND(Y$5&gt;=Inputs!$G$136,Y$5&lt;=Inputs!$H$136,OR(Inputs!$I$136=0,MONTH(Forecast!Y$7)=Inputs!$I$136)),Inputs!$B$136+Inputs!$C$136/1000*CHOOSE(Inputs!$D$136,Forecast!Y$30,Forecast!Y$35,Forecast!Y$43,Forecast!Y$58),0)</f>
        <v>100</v>
      </c>
      <c r="Z35" s="13" t="n">
        <f aca="false">Scenarios!$B$45*IF(AND(Z$5&gt;=Inputs!$G$136,Z$5&lt;=Inputs!$H$136,OR(Inputs!$I$136=0,MONTH(Forecast!Z$7)=Inputs!$I$136)),Inputs!$B$136+Inputs!$C$136/1000*CHOOSE(Inputs!$D$136,Forecast!Z$30,Forecast!Z$35,Forecast!Z$43,Forecast!Z$58),0)</f>
        <v>100</v>
      </c>
      <c r="AA35" s="13" t="n">
        <f aca="false">Scenarios!$B$45*IF(AND(AA$5&gt;=Inputs!$G$136,AA$5&lt;=Inputs!$H$136,OR(Inputs!$I$136=0,MONTH(Forecast!AA$7)=Inputs!$I$136)),Inputs!$B$136+Inputs!$C$136/1000*CHOOSE(Inputs!$D$136,Forecast!AA$30,Forecast!AA$35,Forecast!AA$43,Forecast!AA$58),0)</f>
        <v>100</v>
      </c>
      <c r="AB35" s="13" t="n">
        <f aca="false">Scenarios!$B$45*IF(AND(AB$5&gt;=Inputs!$G$136,AB$5&lt;=Inputs!$H$136,OR(Inputs!$I$136=0,MONTH(Forecast!AB$7)=Inputs!$I$136)),Inputs!$B$136+Inputs!$C$136/1000*CHOOSE(Inputs!$D$136,Forecast!AB$30,Forecast!AB$35,Forecast!AB$43,Forecast!AB$58),0)</f>
        <v>100</v>
      </c>
      <c r="AC35" s="13" t="n">
        <f aca="false">Scenarios!$B$45*IF(AND(AC$5&gt;=Inputs!$G$136,AC$5&lt;=Inputs!$H$136,OR(Inputs!$I$136=0,MONTH(Forecast!AC$7)=Inputs!$I$136)),Inputs!$B$136+Inputs!$C$136/1000*CHOOSE(Inputs!$D$136,Forecast!AC$30,Forecast!AC$35,Forecast!AC$43,Forecast!AC$58),0)</f>
        <v>100</v>
      </c>
      <c r="AD35" s="13" t="n">
        <f aca="false">Scenarios!$B$45*IF(AND(AD$5&gt;=Inputs!$G$136,AD$5&lt;=Inputs!$H$136,OR(Inputs!$I$136=0,MONTH(Forecast!AD$7)=Inputs!$I$136)),Inputs!$B$136+Inputs!$C$136/1000*CHOOSE(Inputs!$D$136,Forecast!AD$30,Forecast!AD$35,Forecast!AD$43,Forecast!AD$58),0)</f>
        <v>100</v>
      </c>
      <c r="AE35" s="13" t="n">
        <f aca="false">Scenarios!$B$45*IF(AND(AE$5&gt;=Inputs!$G$136,AE$5&lt;=Inputs!$H$136,OR(Inputs!$I$136=0,MONTH(Forecast!AE$7)=Inputs!$I$136)),Inputs!$B$136+Inputs!$C$136/1000*CHOOSE(Inputs!$D$136,Forecast!AE$30,Forecast!AE$35,Forecast!AE$43,Forecast!AE$58),0)</f>
        <v>100</v>
      </c>
      <c r="AF35" s="13" t="n">
        <f aca="false">Scenarios!$B$45*IF(AND(AF$5&gt;=Inputs!$G$136,AF$5&lt;=Inputs!$H$136,OR(Inputs!$I$136=0,MONTH(Forecast!AF$7)=Inputs!$I$136)),Inputs!$B$136+Inputs!$C$136/1000*CHOOSE(Inputs!$D$136,Forecast!AF$30,Forecast!AF$35,Forecast!AF$43,Forecast!AF$58),0)</f>
        <v>100</v>
      </c>
      <c r="AG35" s="13" t="n">
        <f aca="false">Scenarios!$B$45*IF(AND(AG$5&gt;=Inputs!$G$136,AG$5&lt;=Inputs!$H$136,OR(Inputs!$I$136=0,MONTH(Forecast!AG$7)=Inputs!$I$136)),Inputs!$B$136+Inputs!$C$136/1000*CHOOSE(Inputs!$D$136,Forecast!AG$30,Forecast!AG$35,Forecast!AG$43,Forecast!AG$58),0)</f>
        <v>100</v>
      </c>
      <c r="AH35" s="13" t="n">
        <f aca="false">Scenarios!$B$45*IF(AND(AH$5&gt;=Inputs!$G$136,AH$5&lt;=Inputs!$H$136,OR(Inputs!$I$136=0,MONTH(Forecast!AH$7)=Inputs!$I$136)),Inputs!$B$136+Inputs!$C$136/1000*CHOOSE(Inputs!$D$136,Forecast!AH$30,Forecast!AH$35,Forecast!AH$43,Forecast!AH$58),0)</f>
        <v>100</v>
      </c>
      <c r="AI35" s="13" t="n">
        <f aca="false">Scenarios!$B$45*IF(AND(AI$5&gt;=Inputs!$G$136,AI$5&lt;=Inputs!$H$136,OR(Inputs!$I$136=0,MONTH(Forecast!AI$7)=Inputs!$I$136)),Inputs!$B$136+Inputs!$C$136/1000*CHOOSE(Inputs!$D$136,Forecast!AI$30,Forecast!AI$35,Forecast!AI$43,Forecast!AI$58),0)</f>
        <v>100</v>
      </c>
      <c r="AJ35" s="13" t="n">
        <f aca="false">Scenarios!$B$45*IF(AND(AJ$5&gt;=Inputs!$G$136,AJ$5&lt;=Inputs!$H$136,OR(Inputs!$I$136=0,MONTH(Forecast!AJ$7)=Inputs!$I$136)),Inputs!$B$136+Inputs!$C$136/1000*CHOOSE(Inputs!$D$136,Forecast!AJ$30,Forecast!AJ$35,Forecast!AJ$43,Forecast!AJ$58),0)</f>
        <v>100</v>
      </c>
      <c r="AK35" s="13" t="n">
        <f aca="false">Scenarios!$B$45*IF(AND(AK$5&gt;=Inputs!$G$136,AK$5&lt;=Inputs!$H$136,OR(Inputs!$I$136=0,MONTH(Forecast!AK$7)=Inputs!$I$136)),Inputs!$B$136+Inputs!$C$136/1000*CHOOSE(Inputs!$D$136,Forecast!AK$30,Forecast!AK$35,Forecast!AK$43,Forecast!AK$58),0)</f>
        <v>100</v>
      </c>
      <c r="AL35" s="13" t="n">
        <f aca="false">Scenarios!$B$45*IF(AND(AL$5&gt;=Inputs!$G$136,AL$5&lt;=Inputs!$H$136,OR(Inputs!$I$136=0,MONTH(Forecast!AL$7)=Inputs!$I$136)),Inputs!$B$136+Inputs!$C$136/1000*CHOOSE(Inputs!$D$136,Forecast!AL$30,Forecast!AL$35,Forecast!AL$43,Forecast!AL$58),0)</f>
        <v>100</v>
      </c>
      <c r="AM35" s="13" t="n">
        <f aca="false">Scenarios!$B$45*IF(AND(AM$5&gt;=Inputs!$G$136,AM$5&lt;=Inputs!$H$136,OR(Inputs!$I$136=0,MONTH(Forecast!AM$7)=Inputs!$I$136)),Inputs!$B$136+Inputs!$C$136/1000*CHOOSE(Inputs!$D$136,Forecast!AM$30,Forecast!AM$35,Forecast!AM$43,Forecast!AM$58),0)</f>
        <v>100</v>
      </c>
    </row>
    <row r="36" customFormat="false" ht="15" hidden="false" customHeight="false" outlineLevel="0" collapsed="false">
      <c r="A36" s="6" t="str">
        <f aca="false">Inputs!A137</f>
        <v>Insurance stack top-up (cyber + media/IP + GL about $4,600/yr vs $95/mo carried)</v>
      </c>
      <c r="B36" s="6" t="n">
        <f aca="false">Inputs!D137</f>
        <v>1</v>
      </c>
      <c r="D36" s="13" t="n">
        <f aca="false">Scenarios!$B$45*IF(AND(D$5&gt;=Inputs!$G$137,D$5&lt;=Inputs!$H$137,OR(Inputs!$I$137=0,MONTH(Forecast!D$7)=Inputs!$I$137)),Inputs!$B$137+Inputs!$C$137/1000*CHOOSE(Inputs!$D$137,Forecast!D$30,Forecast!D$35,Forecast!D$43,Forecast!D$58),0)</f>
        <v>288</v>
      </c>
      <c r="E36" s="13" t="n">
        <f aca="false">Scenarios!$B$45*IF(AND(E$5&gt;=Inputs!$G$137,E$5&lt;=Inputs!$H$137,OR(Inputs!$I$137=0,MONTH(Forecast!E$7)=Inputs!$I$137)),Inputs!$B$137+Inputs!$C$137/1000*CHOOSE(Inputs!$D$137,Forecast!E$30,Forecast!E$35,Forecast!E$43,Forecast!E$58),0)</f>
        <v>288</v>
      </c>
      <c r="F36" s="13" t="n">
        <f aca="false">Scenarios!$B$45*IF(AND(F$5&gt;=Inputs!$G$137,F$5&lt;=Inputs!$H$137,OR(Inputs!$I$137=0,MONTH(Forecast!F$7)=Inputs!$I$137)),Inputs!$B$137+Inputs!$C$137/1000*CHOOSE(Inputs!$D$137,Forecast!F$30,Forecast!F$35,Forecast!F$43,Forecast!F$58),0)</f>
        <v>288</v>
      </c>
      <c r="G36" s="13" t="n">
        <f aca="false">Scenarios!$B$45*IF(AND(G$5&gt;=Inputs!$G$137,G$5&lt;=Inputs!$H$137,OR(Inputs!$I$137=0,MONTH(Forecast!G$7)=Inputs!$I$137)),Inputs!$B$137+Inputs!$C$137/1000*CHOOSE(Inputs!$D$137,Forecast!G$30,Forecast!G$35,Forecast!G$43,Forecast!G$58),0)</f>
        <v>288</v>
      </c>
      <c r="H36" s="13" t="n">
        <f aca="false">Scenarios!$B$45*IF(AND(H$5&gt;=Inputs!$G$137,H$5&lt;=Inputs!$H$137,OR(Inputs!$I$137=0,MONTH(Forecast!H$7)=Inputs!$I$137)),Inputs!$B$137+Inputs!$C$137/1000*CHOOSE(Inputs!$D$137,Forecast!H$30,Forecast!H$35,Forecast!H$43,Forecast!H$58),0)</f>
        <v>288</v>
      </c>
      <c r="I36" s="13" t="n">
        <f aca="false">Scenarios!$B$45*IF(AND(I$5&gt;=Inputs!$G$137,I$5&lt;=Inputs!$H$137,OR(Inputs!$I$137=0,MONTH(Forecast!I$7)=Inputs!$I$137)),Inputs!$B$137+Inputs!$C$137/1000*CHOOSE(Inputs!$D$137,Forecast!I$30,Forecast!I$35,Forecast!I$43,Forecast!I$58),0)</f>
        <v>288</v>
      </c>
      <c r="J36" s="13" t="n">
        <f aca="false">Scenarios!$B$45*IF(AND(J$5&gt;=Inputs!$G$137,J$5&lt;=Inputs!$H$137,OR(Inputs!$I$137=0,MONTH(Forecast!J$7)=Inputs!$I$137)),Inputs!$B$137+Inputs!$C$137/1000*CHOOSE(Inputs!$D$137,Forecast!J$30,Forecast!J$35,Forecast!J$43,Forecast!J$58),0)</f>
        <v>288</v>
      </c>
      <c r="K36" s="13" t="n">
        <f aca="false">Scenarios!$B$45*IF(AND(K$5&gt;=Inputs!$G$137,K$5&lt;=Inputs!$H$137,OR(Inputs!$I$137=0,MONTH(Forecast!K$7)=Inputs!$I$137)),Inputs!$B$137+Inputs!$C$137/1000*CHOOSE(Inputs!$D$137,Forecast!K$30,Forecast!K$35,Forecast!K$43,Forecast!K$58),0)</f>
        <v>288</v>
      </c>
      <c r="L36" s="13" t="n">
        <f aca="false">Scenarios!$B$45*IF(AND(L$5&gt;=Inputs!$G$137,L$5&lt;=Inputs!$H$137,OR(Inputs!$I$137=0,MONTH(Forecast!L$7)=Inputs!$I$137)),Inputs!$B$137+Inputs!$C$137/1000*CHOOSE(Inputs!$D$137,Forecast!L$30,Forecast!L$35,Forecast!L$43,Forecast!L$58),0)</f>
        <v>288</v>
      </c>
      <c r="M36" s="13" t="n">
        <f aca="false">Scenarios!$B$45*IF(AND(M$5&gt;=Inputs!$G$137,M$5&lt;=Inputs!$H$137,OR(Inputs!$I$137=0,MONTH(Forecast!M$7)=Inputs!$I$137)),Inputs!$B$137+Inputs!$C$137/1000*CHOOSE(Inputs!$D$137,Forecast!M$30,Forecast!M$35,Forecast!M$43,Forecast!M$58),0)</f>
        <v>288</v>
      </c>
      <c r="N36" s="13" t="n">
        <f aca="false">Scenarios!$B$45*IF(AND(N$5&gt;=Inputs!$G$137,N$5&lt;=Inputs!$H$137,OR(Inputs!$I$137=0,MONTH(Forecast!N$7)=Inputs!$I$137)),Inputs!$B$137+Inputs!$C$137/1000*CHOOSE(Inputs!$D$137,Forecast!N$30,Forecast!N$35,Forecast!N$43,Forecast!N$58),0)</f>
        <v>288</v>
      </c>
      <c r="O36" s="13" t="n">
        <f aca="false">Scenarios!$B$45*IF(AND(O$5&gt;=Inputs!$G$137,O$5&lt;=Inputs!$H$137,OR(Inputs!$I$137=0,MONTH(Forecast!O$7)=Inputs!$I$137)),Inputs!$B$137+Inputs!$C$137/1000*CHOOSE(Inputs!$D$137,Forecast!O$30,Forecast!O$35,Forecast!O$43,Forecast!O$58),0)</f>
        <v>288</v>
      </c>
      <c r="P36" s="13" t="n">
        <f aca="false">Scenarios!$B$45*IF(AND(P$5&gt;=Inputs!$G$137,P$5&lt;=Inputs!$H$137,OR(Inputs!$I$137=0,MONTH(Forecast!P$7)=Inputs!$I$137)),Inputs!$B$137+Inputs!$C$137/1000*CHOOSE(Inputs!$D$137,Forecast!P$30,Forecast!P$35,Forecast!P$43,Forecast!P$58),0)</f>
        <v>288</v>
      </c>
      <c r="Q36" s="13" t="n">
        <f aca="false">Scenarios!$B$45*IF(AND(Q$5&gt;=Inputs!$G$137,Q$5&lt;=Inputs!$H$137,OR(Inputs!$I$137=0,MONTH(Forecast!Q$7)=Inputs!$I$137)),Inputs!$B$137+Inputs!$C$137/1000*CHOOSE(Inputs!$D$137,Forecast!Q$30,Forecast!Q$35,Forecast!Q$43,Forecast!Q$58),0)</f>
        <v>288</v>
      </c>
      <c r="R36" s="13" t="n">
        <f aca="false">Scenarios!$B$45*IF(AND(R$5&gt;=Inputs!$G$137,R$5&lt;=Inputs!$H$137,OR(Inputs!$I$137=0,MONTH(Forecast!R$7)=Inputs!$I$137)),Inputs!$B$137+Inputs!$C$137/1000*CHOOSE(Inputs!$D$137,Forecast!R$30,Forecast!R$35,Forecast!R$43,Forecast!R$58),0)</f>
        <v>288</v>
      </c>
      <c r="S36" s="13" t="n">
        <f aca="false">Scenarios!$B$45*IF(AND(S$5&gt;=Inputs!$G$137,S$5&lt;=Inputs!$H$137,OR(Inputs!$I$137=0,MONTH(Forecast!S$7)=Inputs!$I$137)),Inputs!$B$137+Inputs!$C$137/1000*CHOOSE(Inputs!$D$137,Forecast!S$30,Forecast!S$35,Forecast!S$43,Forecast!S$58),0)</f>
        <v>288</v>
      </c>
      <c r="T36" s="13" t="n">
        <f aca="false">Scenarios!$B$45*IF(AND(T$5&gt;=Inputs!$G$137,T$5&lt;=Inputs!$H$137,OR(Inputs!$I$137=0,MONTH(Forecast!T$7)=Inputs!$I$137)),Inputs!$B$137+Inputs!$C$137/1000*CHOOSE(Inputs!$D$137,Forecast!T$30,Forecast!T$35,Forecast!T$43,Forecast!T$58),0)</f>
        <v>288</v>
      </c>
      <c r="U36" s="13" t="n">
        <f aca="false">Scenarios!$B$45*IF(AND(U$5&gt;=Inputs!$G$137,U$5&lt;=Inputs!$H$137,OR(Inputs!$I$137=0,MONTH(Forecast!U$7)=Inputs!$I$137)),Inputs!$B$137+Inputs!$C$137/1000*CHOOSE(Inputs!$D$137,Forecast!U$30,Forecast!U$35,Forecast!U$43,Forecast!U$58),0)</f>
        <v>288</v>
      </c>
      <c r="V36" s="13" t="n">
        <f aca="false">Scenarios!$B$45*IF(AND(V$5&gt;=Inputs!$G$137,V$5&lt;=Inputs!$H$137,OR(Inputs!$I$137=0,MONTH(Forecast!V$7)=Inputs!$I$137)),Inputs!$B$137+Inputs!$C$137/1000*CHOOSE(Inputs!$D$137,Forecast!V$30,Forecast!V$35,Forecast!V$43,Forecast!V$58),0)</f>
        <v>288</v>
      </c>
      <c r="W36" s="13" t="n">
        <f aca="false">Scenarios!$B$45*IF(AND(W$5&gt;=Inputs!$G$137,W$5&lt;=Inputs!$H$137,OR(Inputs!$I$137=0,MONTH(Forecast!W$7)=Inputs!$I$137)),Inputs!$B$137+Inputs!$C$137/1000*CHOOSE(Inputs!$D$137,Forecast!W$30,Forecast!W$35,Forecast!W$43,Forecast!W$58),0)</f>
        <v>288</v>
      </c>
      <c r="X36" s="13" t="n">
        <f aca="false">Scenarios!$B$45*IF(AND(X$5&gt;=Inputs!$G$137,X$5&lt;=Inputs!$H$137,OR(Inputs!$I$137=0,MONTH(Forecast!X$7)=Inputs!$I$137)),Inputs!$B$137+Inputs!$C$137/1000*CHOOSE(Inputs!$D$137,Forecast!X$30,Forecast!X$35,Forecast!X$43,Forecast!X$58),0)</f>
        <v>288</v>
      </c>
      <c r="Y36" s="13" t="n">
        <f aca="false">Scenarios!$B$45*IF(AND(Y$5&gt;=Inputs!$G$137,Y$5&lt;=Inputs!$H$137,OR(Inputs!$I$137=0,MONTH(Forecast!Y$7)=Inputs!$I$137)),Inputs!$B$137+Inputs!$C$137/1000*CHOOSE(Inputs!$D$137,Forecast!Y$30,Forecast!Y$35,Forecast!Y$43,Forecast!Y$58),0)</f>
        <v>288</v>
      </c>
      <c r="Z36" s="13" t="n">
        <f aca="false">Scenarios!$B$45*IF(AND(Z$5&gt;=Inputs!$G$137,Z$5&lt;=Inputs!$H$137,OR(Inputs!$I$137=0,MONTH(Forecast!Z$7)=Inputs!$I$137)),Inputs!$B$137+Inputs!$C$137/1000*CHOOSE(Inputs!$D$137,Forecast!Z$30,Forecast!Z$35,Forecast!Z$43,Forecast!Z$58),0)</f>
        <v>288</v>
      </c>
      <c r="AA36" s="13" t="n">
        <f aca="false">Scenarios!$B$45*IF(AND(AA$5&gt;=Inputs!$G$137,AA$5&lt;=Inputs!$H$137,OR(Inputs!$I$137=0,MONTH(Forecast!AA$7)=Inputs!$I$137)),Inputs!$B$137+Inputs!$C$137/1000*CHOOSE(Inputs!$D$137,Forecast!AA$30,Forecast!AA$35,Forecast!AA$43,Forecast!AA$58),0)</f>
        <v>288</v>
      </c>
      <c r="AB36" s="13" t="n">
        <f aca="false">Scenarios!$B$45*IF(AND(AB$5&gt;=Inputs!$G$137,AB$5&lt;=Inputs!$H$137,OR(Inputs!$I$137=0,MONTH(Forecast!AB$7)=Inputs!$I$137)),Inputs!$B$137+Inputs!$C$137/1000*CHOOSE(Inputs!$D$137,Forecast!AB$30,Forecast!AB$35,Forecast!AB$43,Forecast!AB$58),0)</f>
        <v>288</v>
      </c>
      <c r="AC36" s="13" t="n">
        <f aca="false">Scenarios!$B$45*IF(AND(AC$5&gt;=Inputs!$G$137,AC$5&lt;=Inputs!$H$137,OR(Inputs!$I$137=0,MONTH(Forecast!AC$7)=Inputs!$I$137)),Inputs!$B$137+Inputs!$C$137/1000*CHOOSE(Inputs!$D$137,Forecast!AC$30,Forecast!AC$35,Forecast!AC$43,Forecast!AC$58),0)</f>
        <v>288</v>
      </c>
      <c r="AD36" s="13" t="n">
        <f aca="false">Scenarios!$B$45*IF(AND(AD$5&gt;=Inputs!$G$137,AD$5&lt;=Inputs!$H$137,OR(Inputs!$I$137=0,MONTH(Forecast!AD$7)=Inputs!$I$137)),Inputs!$B$137+Inputs!$C$137/1000*CHOOSE(Inputs!$D$137,Forecast!AD$30,Forecast!AD$35,Forecast!AD$43,Forecast!AD$58),0)</f>
        <v>288</v>
      </c>
      <c r="AE36" s="13" t="n">
        <f aca="false">Scenarios!$B$45*IF(AND(AE$5&gt;=Inputs!$G$137,AE$5&lt;=Inputs!$H$137,OR(Inputs!$I$137=0,MONTH(Forecast!AE$7)=Inputs!$I$137)),Inputs!$B$137+Inputs!$C$137/1000*CHOOSE(Inputs!$D$137,Forecast!AE$30,Forecast!AE$35,Forecast!AE$43,Forecast!AE$58),0)</f>
        <v>288</v>
      </c>
      <c r="AF36" s="13" t="n">
        <f aca="false">Scenarios!$B$45*IF(AND(AF$5&gt;=Inputs!$G$137,AF$5&lt;=Inputs!$H$137,OR(Inputs!$I$137=0,MONTH(Forecast!AF$7)=Inputs!$I$137)),Inputs!$B$137+Inputs!$C$137/1000*CHOOSE(Inputs!$D$137,Forecast!AF$30,Forecast!AF$35,Forecast!AF$43,Forecast!AF$58),0)</f>
        <v>288</v>
      </c>
      <c r="AG36" s="13" t="n">
        <f aca="false">Scenarios!$B$45*IF(AND(AG$5&gt;=Inputs!$G$137,AG$5&lt;=Inputs!$H$137,OR(Inputs!$I$137=0,MONTH(Forecast!AG$7)=Inputs!$I$137)),Inputs!$B$137+Inputs!$C$137/1000*CHOOSE(Inputs!$D$137,Forecast!AG$30,Forecast!AG$35,Forecast!AG$43,Forecast!AG$58),0)</f>
        <v>288</v>
      </c>
      <c r="AH36" s="13" t="n">
        <f aca="false">Scenarios!$B$45*IF(AND(AH$5&gt;=Inputs!$G$137,AH$5&lt;=Inputs!$H$137,OR(Inputs!$I$137=0,MONTH(Forecast!AH$7)=Inputs!$I$137)),Inputs!$B$137+Inputs!$C$137/1000*CHOOSE(Inputs!$D$137,Forecast!AH$30,Forecast!AH$35,Forecast!AH$43,Forecast!AH$58),0)</f>
        <v>288</v>
      </c>
      <c r="AI36" s="13" t="n">
        <f aca="false">Scenarios!$B$45*IF(AND(AI$5&gt;=Inputs!$G$137,AI$5&lt;=Inputs!$H$137,OR(Inputs!$I$137=0,MONTH(Forecast!AI$7)=Inputs!$I$137)),Inputs!$B$137+Inputs!$C$137/1000*CHOOSE(Inputs!$D$137,Forecast!AI$30,Forecast!AI$35,Forecast!AI$43,Forecast!AI$58),0)</f>
        <v>288</v>
      </c>
      <c r="AJ36" s="13" t="n">
        <f aca="false">Scenarios!$B$45*IF(AND(AJ$5&gt;=Inputs!$G$137,AJ$5&lt;=Inputs!$H$137,OR(Inputs!$I$137=0,MONTH(Forecast!AJ$7)=Inputs!$I$137)),Inputs!$B$137+Inputs!$C$137/1000*CHOOSE(Inputs!$D$137,Forecast!AJ$30,Forecast!AJ$35,Forecast!AJ$43,Forecast!AJ$58),0)</f>
        <v>288</v>
      </c>
      <c r="AK36" s="13" t="n">
        <f aca="false">Scenarios!$B$45*IF(AND(AK$5&gt;=Inputs!$G$137,AK$5&lt;=Inputs!$H$137,OR(Inputs!$I$137=0,MONTH(Forecast!AK$7)=Inputs!$I$137)),Inputs!$B$137+Inputs!$C$137/1000*CHOOSE(Inputs!$D$137,Forecast!AK$30,Forecast!AK$35,Forecast!AK$43,Forecast!AK$58),0)</f>
        <v>288</v>
      </c>
      <c r="AL36" s="13" t="n">
        <f aca="false">Scenarios!$B$45*IF(AND(AL$5&gt;=Inputs!$G$137,AL$5&lt;=Inputs!$H$137,OR(Inputs!$I$137=0,MONTH(Forecast!AL$7)=Inputs!$I$137)),Inputs!$B$137+Inputs!$C$137/1000*CHOOSE(Inputs!$D$137,Forecast!AL$30,Forecast!AL$35,Forecast!AL$43,Forecast!AL$58),0)</f>
        <v>288</v>
      </c>
      <c r="AM36" s="13" t="n">
        <f aca="false">Scenarios!$B$45*IF(AND(AM$5&gt;=Inputs!$G$137,AM$5&lt;=Inputs!$H$137,OR(Inputs!$I$137=0,MONTH(Forecast!AM$7)=Inputs!$I$137)),Inputs!$B$137+Inputs!$C$137/1000*CHOOSE(Inputs!$D$137,Forecast!AM$30,Forecast!AM$35,Forecast!AM$43,Forecast!AM$58),0)</f>
        <v>288</v>
      </c>
    </row>
    <row r="37" customFormat="false" ht="15" hidden="false" customHeight="false" outlineLevel="0" collapsed="false">
      <c r="A37" s="6" t="str">
        <f aca="false">Inputs!A138</f>
        <v>Trademark monitoring service ($400/yr)</v>
      </c>
      <c r="B37" s="6" t="n">
        <f aca="false">Inputs!D138</f>
        <v>1</v>
      </c>
      <c r="D37" s="13" t="n">
        <f aca="false">Scenarios!$B$45*IF(AND(D$5&gt;=Inputs!$G$138,D$5&lt;=Inputs!$H$138,OR(Inputs!$I$138=0,MONTH(Forecast!D$7)=Inputs!$I$138)),Inputs!$B$138+Inputs!$C$138/1000*CHOOSE(Inputs!$D$138,Forecast!D$30,Forecast!D$35,Forecast!D$43,Forecast!D$58),0)</f>
        <v>0</v>
      </c>
      <c r="E37" s="13" t="n">
        <f aca="false">Scenarios!$B$45*IF(AND(E$5&gt;=Inputs!$G$138,E$5&lt;=Inputs!$H$138,OR(Inputs!$I$138=0,MONTH(Forecast!E$7)=Inputs!$I$138)),Inputs!$B$138+Inputs!$C$138/1000*CHOOSE(Inputs!$D$138,Forecast!E$30,Forecast!E$35,Forecast!E$43,Forecast!E$58),0)</f>
        <v>0</v>
      </c>
      <c r="F37" s="13" t="n">
        <f aca="false">Scenarios!$B$45*IF(AND(F$5&gt;=Inputs!$G$138,F$5&lt;=Inputs!$H$138,OR(Inputs!$I$138=0,MONTH(Forecast!F$7)=Inputs!$I$138)),Inputs!$B$138+Inputs!$C$138/1000*CHOOSE(Inputs!$D$138,Forecast!F$30,Forecast!F$35,Forecast!F$43,Forecast!F$58),0)</f>
        <v>0</v>
      </c>
      <c r="G37" s="13" t="n">
        <f aca="false">Scenarios!$B$45*IF(AND(G$5&gt;=Inputs!$G$138,G$5&lt;=Inputs!$H$138,OR(Inputs!$I$138=0,MONTH(Forecast!G$7)=Inputs!$I$138)),Inputs!$B$138+Inputs!$C$138/1000*CHOOSE(Inputs!$D$138,Forecast!G$30,Forecast!G$35,Forecast!G$43,Forecast!G$58),0)</f>
        <v>0</v>
      </c>
      <c r="H37" s="13" t="n">
        <f aca="false">Scenarios!$B$45*IF(AND(H$5&gt;=Inputs!$G$138,H$5&lt;=Inputs!$H$138,OR(Inputs!$I$138=0,MONTH(Forecast!H$7)=Inputs!$I$138)),Inputs!$B$138+Inputs!$C$138/1000*CHOOSE(Inputs!$D$138,Forecast!H$30,Forecast!H$35,Forecast!H$43,Forecast!H$58),0)</f>
        <v>0</v>
      </c>
      <c r="I37" s="13" t="n">
        <f aca="false">Scenarios!$B$45*IF(AND(I$5&gt;=Inputs!$G$138,I$5&lt;=Inputs!$H$138,OR(Inputs!$I$138=0,MONTH(Forecast!I$7)=Inputs!$I$138)),Inputs!$B$138+Inputs!$C$138/1000*CHOOSE(Inputs!$D$138,Forecast!I$30,Forecast!I$35,Forecast!I$43,Forecast!I$58),0)</f>
        <v>0</v>
      </c>
      <c r="J37" s="13" t="n">
        <f aca="false">Scenarios!$B$45*IF(AND(J$5&gt;=Inputs!$G$138,J$5&lt;=Inputs!$H$138,OR(Inputs!$I$138=0,MONTH(Forecast!J$7)=Inputs!$I$138)),Inputs!$B$138+Inputs!$C$138/1000*CHOOSE(Inputs!$D$138,Forecast!J$30,Forecast!J$35,Forecast!J$43,Forecast!J$58),0)</f>
        <v>33.33</v>
      </c>
      <c r="K37" s="13" t="n">
        <f aca="false">Scenarios!$B$45*IF(AND(K$5&gt;=Inputs!$G$138,K$5&lt;=Inputs!$H$138,OR(Inputs!$I$138=0,MONTH(Forecast!K$7)=Inputs!$I$138)),Inputs!$B$138+Inputs!$C$138/1000*CHOOSE(Inputs!$D$138,Forecast!K$30,Forecast!K$35,Forecast!K$43,Forecast!K$58),0)</f>
        <v>33.33</v>
      </c>
      <c r="L37" s="13" t="n">
        <f aca="false">Scenarios!$B$45*IF(AND(L$5&gt;=Inputs!$G$138,L$5&lt;=Inputs!$H$138,OR(Inputs!$I$138=0,MONTH(Forecast!L$7)=Inputs!$I$138)),Inputs!$B$138+Inputs!$C$138/1000*CHOOSE(Inputs!$D$138,Forecast!L$30,Forecast!L$35,Forecast!L$43,Forecast!L$58),0)</f>
        <v>33.33</v>
      </c>
      <c r="M37" s="13" t="n">
        <f aca="false">Scenarios!$B$45*IF(AND(M$5&gt;=Inputs!$G$138,M$5&lt;=Inputs!$H$138,OR(Inputs!$I$138=0,MONTH(Forecast!M$7)=Inputs!$I$138)),Inputs!$B$138+Inputs!$C$138/1000*CHOOSE(Inputs!$D$138,Forecast!M$30,Forecast!M$35,Forecast!M$43,Forecast!M$58),0)</f>
        <v>33.33</v>
      </c>
      <c r="N37" s="13" t="n">
        <f aca="false">Scenarios!$B$45*IF(AND(N$5&gt;=Inputs!$G$138,N$5&lt;=Inputs!$H$138,OR(Inputs!$I$138=0,MONTH(Forecast!N$7)=Inputs!$I$138)),Inputs!$B$138+Inputs!$C$138/1000*CHOOSE(Inputs!$D$138,Forecast!N$30,Forecast!N$35,Forecast!N$43,Forecast!N$58),0)</f>
        <v>33.33</v>
      </c>
      <c r="O37" s="13" t="n">
        <f aca="false">Scenarios!$B$45*IF(AND(O$5&gt;=Inputs!$G$138,O$5&lt;=Inputs!$H$138,OR(Inputs!$I$138=0,MONTH(Forecast!O$7)=Inputs!$I$138)),Inputs!$B$138+Inputs!$C$138/1000*CHOOSE(Inputs!$D$138,Forecast!O$30,Forecast!O$35,Forecast!O$43,Forecast!O$58),0)</f>
        <v>33.33</v>
      </c>
      <c r="P37" s="13" t="n">
        <f aca="false">Scenarios!$B$45*IF(AND(P$5&gt;=Inputs!$G$138,P$5&lt;=Inputs!$H$138,OR(Inputs!$I$138=0,MONTH(Forecast!P$7)=Inputs!$I$138)),Inputs!$B$138+Inputs!$C$138/1000*CHOOSE(Inputs!$D$138,Forecast!P$30,Forecast!P$35,Forecast!P$43,Forecast!P$58),0)</f>
        <v>33.33</v>
      </c>
      <c r="Q37" s="13" t="n">
        <f aca="false">Scenarios!$B$45*IF(AND(Q$5&gt;=Inputs!$G$138,Q$5&lt;=Inputs!$H$138,OR(Inputs!$I$138=0,MONTH(Forecast!Q$7)=Inputs!$I$138)),Inputs!$B$138+Inputs!$C$138/1000*CHOOSE(Inputs!$D$138,Forecast!Q$30,Forecast!Q$35,Forecast!Q$43,Forecast!Q$58),0)</f>
        <v>33.33</v>
      </c>
      <c r="R37" s="13" t="n">
        <f aca="false">Scenarios!$B$45*IF(AND(R$5&gt;=Inputs!$G$138,R$5&lt;=Inputs!$H$138,OR(Inputs!$I$138=0,MONTH(Forecast!R$7)=Inputs!$I$138)),Inputs!$B$138+Inputs!$C$138/1000*CHOOSE(Inputs!$D$138,Forecast!R$30,Forecast!R$35,Forecast!R$43,Forecast!R$58),0)</f>
        <v>33.33</v>
      </c>
      <c r="S37" s="13" t="n">
        <f aca="false">Scenarios!$B$45*IF(AND(S$5&gt;=Inputs!$G$138,S$5&lt;=Inputs!$H$138,OR(Inputs!$I$138=0,MONTH(Forecast!S$7)=Inputs!$I$138)),Inputs!$B$138+Inputs!$C$138/1000*CHOOSE(Inputs!$D$138,Forecast!S$30,Forecast!S$35,Forecast!S$43,Forecast!S$58),0)</f>
        <v>33.33</v>
      </c>
      <c r="T37" s="13" t="n">
        <f aca="false">Scenarios!$B$45*IF(AND(T$5&gt;=Inputs!$G$138,T$5&lt;=Inputs!$H$138,OR(Inputs!$I$138=0,MONTH(Forecast!T$7)=Inputs!$I$138)),Inputs!$B$138+Inputs!$C$138/1000*CHOOSE(Inputs!$D$138,Forecast!T$30,Forecast!T$35,Forecast!T$43,Forecast!T$58),0)</f>
        <v>33.33</v>
      </c>
      <c r="U37" s="13" t="n">
        <f aca="false">Scenarios!$B$45*IF(AND(U$5&gt;=Inputs!$G$138,U$5&lt;=Inputs!$H$138,OR(Inputs!$I$138=0,MONTH(Forecast!U$7)=Inputs!$I$138)),Inputs!$B$138+Inputs!$C$138/1000*CHOOSE(Inputs!$D$138,Forecast!U$30,Forecast!U$35,Forecast!U$43,Forecast!U$58),0)</f>
        <v>33.33</v>
      </c>
      <c r="V37" s="13" t="n">
        <f aca="false">Scenarios!$B$45*IF(AND(V$5&gt;=Inputs!$G$138,V$5&lt;=Inputs!$H$138,OR(Inputs!$I$138=0,MONTH(Forecast!V$7)=Inputs!$I$138)),Inputs!$B$138+Inputs!$C$138/1000*CHOOSE(Inputs!$D$138,Forecast!V$30,Forecast!V$35,Forecast!V$43,Forecast!V$58),0)</f>
        <v>33.33</v>
      </c>
      <c r="W37" s="13" t="n">
        <f aca="false">Scenarios!$B$45*IF(AND(W$5&gt;=Inputs!$G$138,W$5&lt;=Inputs!$H$138,OR(Inputs!$I$138=0,MONTH(Forecast!W$7)=Inputs!$I$138)),Inputs!$B$138+Inputs!$C$138/1000*CHOOSE(Inputs!$D$138,Forecast!W$30,Forecast!W$35,Forecast!W$43,Forecast!W$58),0)</f>
        <v>33.33</v>
      </c>
      <c r="X37" s="13" t="n">
        <f aca="false">Scenarios!$B$45*IF(AND(X$5&gt;=Inputs!$G$138,X$5&lt;=Inputs!$H$138,OR(Inputs!$I$138=0,MONTH(Forecast!X$7)=Inputs!$I$138)),Inputs!$B$138+Inputs!$C$138/1000*CHOOSE(Inputs!$D$138,Forecast!X$30,Forecast!X$35,Forecast!X$43,Forecast!X$58),0)</f>
        <v>33.33</v>
      </c>
      <c r="Y37" s="13" t="n">
        <f aca="false">Scenarios!$B$45*IF(AND(Y$5&gt;=Inputs!$G$138,Y$5&lt;=Inputs!$H$138,OR(Inputs!$I$138=0,MONTH(Forecast!Y$7)=Inputs!$I$138)),Inputs!$B$138+Inputs!$C$138/1000*CHOOSE(Inputs!$D$138,Forecast!Y$30,Forecast!Y$35,Forecast!Y$43,Forecast!Y$58),0)</f>
        <v>33.33</v>
      </c>
      <c r="Z37" s="13" t="n">
        <f aca="false">Scenarios!$B$45*IF(AND(Z$5&gt;=Inputs!$G$138,Z$5&lt;=Inputs!$H$138,OR(Inputs!$I$138=0,MONTH(Forecast!Z$7)=Inputs!$I$138)),Inputs!$B$138+Inputs!$C$138/1000*CHOOSE(Inputs!$D$138,Forecast!Z$30,Forecast!Z$35,Forecast!Z$43,Forecast!Z$58),0)</f>
        <v>33.33</v>
      </c>
      <c r="AA37" s="13" t="n">
        <f aca="false">Scenarios!$B$45*IF(AND(AA$5&gt;=Inputs!$G$138,AA$5&lt;=Inputs!$H$138,OR(Inputs!$I$138=0,MONTH(Forecast!AA$7)=Inputs!$I$138)),Inputs!$B$138+Inputs!$C$138/1000*CHOOSE(Inputs!$D$138,Forecast!AA$30,Forecast!AA$35,Forecast!AA$43,Forecast!AA$58),0)</f>
        <v>33.33</v>
      </c>
      <c r="AB37" s="13" t="n">
        <f aca="false">Scenarios!$B$45*IF(AND(AB$5&gt;=Inputs!$G$138,AB$5&lt;=Inputs!$H$138,OR(Inputs!$I$138=0,MONTH(Forecast!AB$7)=Inputs!$I$138)),Inputs!$B$138+Inputs!$C$138/1000*CHOOSE(Inputs!$D$138,Forecast!AB$30,Forecast!AB$35,Forecast!AB$43,Forecast!AB$58),0)</f>
        <v>33.33</v>
      </c>
      <c r="AC37" s="13" t="n">
        <f aca="false">Scenarios!$B$45*IF(AND(AC$5&gt;=Inputs!$G$138,AC$5&lt;=Inputs!$H$138,OR(Inputs!$I$138=0,MONTH(Forecast!AC$7)=Inputs!$I$138)),Inputs!$B$138+Inputs!$C$138/1000*CHOOSE(Inputs!$D$138,Forecast!AC$30,Forecast!AC$35,Forecast!AC$43,Forecast!AC$58),0)</f>
        <v>33.33</v>
      </c>
      <c r="AD37" s="13" t="n">
        <f aca="false">Scenarios!$B$45*IF(AND(AD$5&gt;=Inputs!$G$138,AD$5&lt;=Inputs!$H$138,OR(Inputs!$I$138=0,MONTH(Forecast!AD$7)=Inputs!$I$138)),Inputs!$B$138+Inputs!$C$138/1000*CHOOSE(Inputs!$D$138,Forecast!AD$30,Forecast!AD$35,Forecast!AD$43,Forecast!AD$58),0)</f>
        <v>33.33</v>
      </c>
      <c r="AE37" s="13" t="n">
        <f aca="false">Scenarios!$B$45*IF(AND(AE$5&gt;=Inputs!$G$138,AE$5&lt;=Inputs!$H$138,OR(Inputs!$I$138=0,MONTH(Forecast!AE$7)=Inputs!$I$138)),Inputs!$B$138+Inputs!$C$138/1000*CHOOSE(Inputs!$D$138,Forecast!AE$30,Forecast!AE$35,Forecast!AE$43,Forecast!AE$58),0)</f>
        <v>33.33</v>
      </c>
      <c r="AF37" s="13" t="n">
        <f aca="false">Scenarios!$B$45*IF(AND(AF$5&gt;=Inputs!$G$138,AF$5&lt;=Inputs!$H$138,OR(Inputs!$I$138=0,MONTH(Forecast!AF$7)=Inputs!$I$138)),Inputs!$B$138+Inputs!$C$138/1000*CHOOSE(Inputs!$D$138,Forecast!AF$30,Forecast!AF$35,Forecast!AF$43,Forecast!AF$58),0)</f>
        <v>33.33</v>
      </c>
      <c r="AG37" s="13" t="n">
        <f aca="false">Scenarios!$B$45*IF(AND(AG$5&gt;=Inputs!$G$138,AG$5&lt;=Inputs!$H$138,OR(Inputs!$I$138=0,MONTH(Forecast!AG$7)=Inputs!$I$138)),Inputs!$B$138+Inputs!$C$138/1000*CHOOSE(Inputs!$D$138,Forecast!AG$30,Forecast!AG$35,Forecast!AG$43,Forecast!AG$58),0)</f>
        <v>33.33</v>
      </c>
      <c r="AH37" s="13" t="n">
        <f aca="false">Scenarios!$B$45*IF(AND(AH$5&gt;=Inputs!$G$138,AH$5&lt;=Inputs!$H$138,OR(Inputs!$I$138=0,MONTH(Forecast!AH$7)=Inputs!$I$138)),Inputs!$B$138+Inputs!$C$138/1000*CHOOSE(Inputs!$D$138,Forecast!AH$30,Forecast!AH$35,Forecast!AH$43,Forecast!AH$58),0)</f>
        <v>33.33</v>
      </c>
      <c r="AI37" s="13" t="n">
        <f aca="false">Scenarios!$B$45*IF(AND(AI$5&gt;=Inputs!$G$138,AI$5&lt;=Inputs!$H$138,OR(Inputs!$I$138=0,MONTH(Forecast!AI$7)=Inputs!$I$138)),Inputs!$B$138+Inputs!$C$138/1000*CHOOSE(Inputs!$D$138,Forecast!AI$30,Forecast!AI$35,Forecast!AI$43,Forecast!AI$58),0)</f>
        <v>33.33</v>
      </c>
      <c r="AJ37" s="13" t="n">
        <f aca="false">Scenarios!$B$45*IF(AND(AJ$5&gt;=Inputs!$G$138,AJ$5&lt;=Inputs!$H$138,OR(Inputs!$I$138=0,MONTH(Forecast!AJ$7)=Inputs!$I$138)),Inputs!$B$138+Inputs!$C$138/1000*CHOOSE(Inputs!$D$138,Forecast!AJ$30,Forecast!AJ$35,Forecast!AJ$43,Forecast!AJ$58),0)</f>
        <v>33.33</v>
      </c>
      <c r="AK37" s="13" t="n">
        <f aca="false">Scenarios!$B$45*IF(AND(AK$5&gt;=Inputs!$G$138,AK$5&lt;=Inputs!$H$138,OR(Inputs!$I$138=0,MONTH(Forecast!AK$7)=Inputs!$I$138)),Inputs!$B$138+Inputs!$C$138/1000*CHOOSE(Inputs!$D$138,Forecast!AK$30,Forecast!AK$35,Forecast!AK$43,Forecast!AK$58),0)</f>
        <v>33.33</v>
      </c>
      <c r="AL37" s="13" t="n">
        <f aca="false">Scenarios!$B$45*IF(AND(AL$5&gt;=Inputs!$G$138,AL$5&lt;=Inputs!$H$138,OR(Inputs!$I$138=0,MONTH(Forecast!AL$7)=Inputs!$I$138)),Inputs!$B$138+Inputs!$C$138/1000*CHOOSE(Inputs!$D$138,Forecast!AL$30,Forecast!AL$35,Forecast!AL$43,Forecast!AL$58),0)</f>
        <v>33.33</v>
      </c>
      <c r="AM37" s="13" t="n">
        <f aca="false">Scenarios!$B$45*IF(AND(AM$5&gt;=Inputs!$G$138,AM$5&lt;=Inputs!$H$138,OR(Inputs!$I$138=0,MONTH(Forecast!AM$7)=Inputs!$I$138)),Inputs!$B$138+Inputs!$C$138/1000*CHOOSE(Inputs!$D$138,Forecast!AM$30,Forecast!AM$35,Forecast!AM$43,Forecast!AM$58),0)</f>
        <v>33.33</v>
      </c>
    </row>
    <row r="38" customFormat="false" ht="15" hidden="false" customHeight="false" outlineLevel="0" collapsed="false">
      <c r="A38" s="6" t="str">
        <f aca="false">Inputs!A139</f>
        <v>Annual attorney policy and compliance refresh ($2,500/yr)</v>
      </c>
      <c r="B38" s="6" t="n">
        <f aca="false">Inputs!D139</f>
        <v>1</v>
      </c>
      <c r="D38" s="13" t="n">
        <f aca="false">Scenarios!$B$45*IF(AND(D$5&gt;=Inputs!$G$139,D$5&lt;=Inputs!$H$139,OR(Inputs!$I$139=0,MONTH(Forecast!D$7)=Inputs!$I$139)),Inputs!$B$139+Inputs!$C$139/1000*CHOOSE(Inputs!$D$139,Forecast!D$30,Forecast!D$35,Forecast!D$43,Forecast!D$58),0)</f>
        <v>0</v>
      </c>
      <c r="E38" s="13" t="n">
        <f aca="false">Scenarios!$B$45*IF(AND(E$5&gt;=Inputs!$G$139,E$5&lt;=Inputs!$H$139,OR(Inputs!$I$139=0,MONTH(Forecast!E$7)=Inputs!$I$139)),Inputs!$B$139+Inputs!$C$139/1000*CHOOSE(Inputs!$D$139,Forecast!E$30,Forecast!E$35,Forecast!E$43,Forecast!E$58),0)</f>
        <v>0</v>
      </c>
      <c r="F38" s="13" t="n">
        <f aca="false">Scenarios!$B$45*IF(AND(F$5&gt;=Inputs!$G$139,F$5&lt;=Inputs!$H$139,OR(Inputs!$I$139=0,MONTH(Forecast!F$7)=Inputs!$I$139)),Inputs!$B$139+Inputs!$C$139/1000*CHOOSE(Inputs!$D$139,Forecast!F$30,Forecast!F$35,Forecast!F$43,Forecast!F$58),0)</f>
        <v>0</v>
      </c>
      <c r="G38" s="13" t="n">
        <f aca="false">Scenarios!$B$45*IF(AND(G$5&gt;=Inputs!$G$139,G$5&lt;=Inputs!$H$139,OR(Inputs!$I$139=0,MONTH(Forecast!G$7)=Inputs!$I$139)),Inputs!$B$139+Inputs!$C$139/1000*CHOOSE(Inputs!$D$139,Forecast!G$30,Forecast!G$35,Forecast!G$43,Forecast!G$58),0)</f>
        <v>0</v>
      </c>
      <c r="H38" s="13" t="n">
        <f aca="false">Scenarios!$B$45*IF(AND(H$5&gt;=Inputs!$G$139,H$5&lt;=Inputs!$H$139,OR(Inputs!$I$139=0,MONTH(Forecast!H$7)=Inputs!$I$139)),Inputs!$B$139+Inputs!$C$139/1000*CHOOSE(Inputs!$D$139,Forecast!H$30,Forecast!H$35,Forecast!H$43,Forecast!H$58),0)</f>
        <v>0</v>
      </c>
      <c r="I38" s="13" t="n">
        <f aca="false">Scenarios!$B$45*IF(AND(I$5&gt;=Inputs!$G$139,I$5&lt;=Inputs!$H$139,OR(Inputs!$I$139=0,MONTH(Forecast!I$7)=Inputs!$I$139)),Inputs!$B$139+Inputs!$C$139/1000*CHOOSE(Inputs!$D$139,Forecast!I$30,Forecast!I$35,Forecast!I$43,Forecast!I$58),0)</f>
        <v>0</v>
      </c>
      <c r="J38" s="13" t="n">
        <f aca="false">Scenarios!$B$45*IF(AND(J$5&gt;=Inputs!$G$139,J$5&lt;=Inputs!$H$139,OR(Inputs!$I$139=0,MONTH(Forecast!J$7)=Inputs!$I$139)),Inputs!$B$139+Inputs!$C$139/1000*CHOOSE(Inputs!$D$139,Forecast!J$30,Forecast!J$35,Forecast!J$43,Forecast!J$58),0)</f>
        <v>0</v>
      </c>
      <c r="K38" s="13" t="n">
        <f aca="false">Scenarios!$B$45*IF(AND(K$5&gt;=Inputs!$G$139,K$5&lt;=Inputs!$H$139,OR(Inputs!$I$139=0,MONTH(Forecast!K$7)=Inputs!$I$139)),Inputs!$B$139+Inputs!$C$139/1000*CHOOSE(Inputs!$D$139,Forecast!K$30,Forecast!K$35,Forecast!K$43,Forecast!K$58),0)</f>
        <v>0</v>
      </c>
      <c r="L38" s="13" t="n">
        <f aca="false">Scenarios!$B$45*IF(AND(L$5&gt;=Inputs!$G$139,L$5&lt;=Inputs!$H$139,OR(Inputs!$I$139=0,MONTH(Forecast!L$7)=Inputs!$I$139)),Inputs!$B$139+Inputs!$C$139/1000*CHOOSE(Inputs!$D$139,Forecast!L$30,Forecast!L$35,Forecast!L$43,Forecast!L$58),0)</f>
        <v>0</v>
      </c>
      <c r="M38" s="13" t="n">
        <f aca="false">Scenarios!$B$45*IF(AND(M$5&gt;=Inputs!$G$139,M$5&lt;=Inputs!$H$139,OR(Inputs!$I$139=0,MONTH(Forecast!M$7)=Inputs!$I$139)),Inputs!$B$139+Inputs!$C$139/1000*CHOOSE(Inputs!$D$139,Forecast!M$30,Forecast!M$35,Forecast!M$43,Forecast!M$58),0)</f>
        <v>0</v>
      </c>
      <c r="N38" s="13" t="n">
        <f aca="false">Scenarios!$B$45*IF(AND(N$5&gt;=Inputs!$G$139,N$5&lt;=Inputs!$H$139,OR(Inputs!$I$139=0,MONTH(Forecast!N$7)=Inputs!$I$139)),Inputs!$B$139+Inputs!$C$139/1000*CHOOSE(Inputs!$D$139,Forecast!N$30,Forecast!N$35,Forecast!N$43,Forecast!N$58),0)</f>
        <v>0</v>
      </c>
      <c r="O38" s="13" t="n">
        <f aca="false">Scenarios!$B$45*IF(AND(O$5&gt;=Inputs!$G$139,O$5&lt;=Inputs!$H$139,OR(Inputs!$I$139=0,MONTH(Forecast!O$7)=Inputs!$I$139)),Inputs!$B$139+Inputs!$C$139/1000*CHOOSE(Inputs!$D$139,Forecast!O$30,Forecast!O$35,Forecast!O$43,Forecast!O$58),0)</f>
        <v>0</v>
      </c>
      <c r="P38" s="13" t="n">
        <f aca="false">Scenarios!$B$45*IF(AND(P$5&gt;=Inputs!$G$139,P$5&lt;=Inputs!$H$139,OR(Inputs!$I$139=0,MONTH(Forecast!P$7)=Inputs!$I$139)),Inputs!$B$139+Inputs!$C$139/1000*CHOOSE(Inputs!$D$139,Forecast!P$30,Forecast!P$35,Forecast!P$43,Forecast!P$58),0)</f>
        <v>208.33</v>
      </c>
      <c r="Q38" s="13" t="n">
        <f aca="false">Scenarios!$B$45*IF(AND(Q$5&gt;=Inputs!$G$139,Q$5&lt;=Inputs!$H$139,OR(Inputs!$I$139=0,MONTH(Forecast!Q$7)=Inputs!$I$139)),Inputs!$B$139+Inputs!$C$139/1000*CHOOSE(Inputs!$D$139,Forecast!Q$30,Forecast!Q$35,Forecast!Q$43,Forecast!Q$58),0)</f>
        <v>208.33</v>
      </c>
      <c r="R38" s="13" t="n">
        <f aca="false">Scenarios!$B$45*IF(AND(R$5&gt;=Inputs!$G$139,R$5&lt;=Inputs!$H$139,OR(Inputs!$I$139=0,MONTH(Forecast!R$7)=Inputs!$I$139)),Inputs!$B$139+Inputs!$C$139/1000*CHOOSE(Inputs!$D$139,Forecast!R$30,Forecast!R$35,Forecast!R$43,Forecast!R$58),0)</f>
        <v>208.33</v>
      </c>
      <c r="S38" s="13" t="n">
        <f aca="false">Scenarios!$B$45*IF(AND(S$5&gt;=Inputs!$G$139,S$5&lt;=Inputs!$H$139,OR(Inputs!$I$139=0,MONTH(Forecast!S$7)=Inputs!$I$139)),Inputs!$B$139+Inputs!$C$139/1000*CHOOSE(Inputs!$D$139,Forecast!S$30,Forecast!S$35,Forecast!S$43,Forecast!S$58),0)</f>
        <v>208.33</v>
      </c>
      <c r="T38" s="13" t="n">
        <f aca="false">Scenarios!$B$45*IF(AND(T$5&gt;=Inputs!$G$139,T$5&lt;=Inputs!$H$139,OR(Inputs!$I$139=0,MONTH(Forecast!T$7)=Inputs!$I$139)),Inputs!$B$139+Inputs!$C$139/1000*CHOOSE(Inputs!$D$139,Forecast!T$30,Forecast!T$35,Forecast!T$43,Forecast!T$58),0)</f>
        <v>208.33</v>
      </c>
      <c r="U38" s="13" t="n">
        <f aca="false">Scenarios!$B$45*IF(AND(U$5&gt;=Inputs!$G$139,U$5&lt;=Inputs!$H$139,OR(Inputs!$I$139=0,MONTH(Forecast!U$7)=Inputs!$I$139)),Inputs!$B$139+Inputs!$C$139/1000*CHOOSE(Inputs!$D$139,Forecast!U$30,Forecast!U$35,Forecast!U$43,Forecast!U$58),0)</f>
        <v>208.33</v>
      </c>
      <c r="V38" s="13" t="n">
        <f aca="false">Scenarios!$B$45*IF(AND(V$5&gt;=Inputs!$G$139,V$5&lt;=Inputs!$H$139,OR(Inputs!$I$139=0,MONTH(Forecast!V$7)=Inputs!$I$139)),Inputs!$B$139+Inputs!$C$139/1000*CHOOSE(Inputs!$D$139,Forecast!V$30,Forecast!V$35,Forecast!V$43,Forecast!V$58),0)</f>
        <v>208.33</v>
      </c>
      <c r="W38" s="13" t="n">
        <f aca="false">Scenarios!$B$45*IF(AND(W$5&gt;=Inputs!$G$139,W$5&lt;=Inputs!$H$139,OR(Inputs!$I$139=0,MONTH(Forecast!W$7)=Inputs!$I$139)),Inputs!$B$139+Inputs!$C$139/1000*CHOOSE(Inputs!$D$139,Forecast!W$30,Forecast!W$35,Forecast!W$43,Forecast!W$58),0)</f>
        <v>208.33</v>
      </c>
      <c r="X38" s="13" t="n">
        <f aca="false">Scenarios!$B$45*IF(AND(X$5&gt;=Inputs!$G$139,X$5&lt;=Inputs!$H$139,OR(Inputs!$I$139=0,MONTH(Forecast!X$7)=Inputs!$I$139)),Inputs!$B$139+Inputs!$C$139/1000*CHOOSE(Inputs!$D$139,Forecast!X$30,Forecast!X$35,Forecast!X$43,Forecast!X$58),0)</f>
        <v>208.33</v>
      </c>
      <c r="Y38" s="13" t="n">
        <f aca="false">Scenarios!$B$45*IF(AND(Y$5&gt;=Inputs!$G$139,Y$5&lt;=Inputs!$H$139,OR(Inputs!$I$139=0,MONTH(Forecast!Y$7)=Inputs!$I$139)),Inputs!$B$139+Inputs!$C$139/1000*CHOOSE(Inputs!$D$139,Forecast!Y$30,Forecast!Y$35,Forecast!Y$43,Forecast!Y$58),0)</f>
        <v>208.33</v>
      </c>
      <c r="Z38" s="13" t="n">
        <f aca="false">Scenarios!$B$45*IF(AND(Z$5&gt;=Inputs!$G$139,Z$5&lt;=Inputs!$H$139,OR(Inputs!$I$139=0,MONTH(Forecast!Z$7)=Inputs!$I$139)),Inputs!$B$139+Inputs!$C$139/1000*CHOOSE(Inputs!$D$139,Forecast!Z$30,Forecast!Z$35,Forecast!Z$43,Forecast!Z$58),0)</f>
        <v>208.33</v>
      </c>
      <c r="AA38" s="13" t="n">
        <f aca="false">Scenarios!$B$45*IF(AND(AA$5&gt;=Inputs!$G$139,AA$5&lt;=Inputs!$H$139,OR(Inputs!$I$139=0,MONTH(Forecast!AA$7)=Inputs!$I$139)),Inputs!$B$139+Inputs!$C$139/1000*CHOOSE(Inputs!$D$139,Forecast!AA$30,Forecast!AA$35,Forecast!AA$43,Forecast!AA$58),0)</f>
        <v>208.33</v>
      </c>
      <c r="AB38" s="13" t="n">
        <f aca="false">Scenarios!$B$45*IF(AND(AB$5&gt;=Inputs!$G$139,AB$5&lt;=Inputs!$H$139,OR(Inputs!$I$139=0,MONTH(Forecast!AB$7)=Inputs!$I$139)),Inputs!$B$139+Inputs!$C$139/1000*CHOOSE(Inputs!$D$139,Forecast!AB$30,Forecast!AB$35,Forecast!AB$43,Forecast!AB$58),0)</f>
        <v>208.33</v>
      </c>
      <c r="AC38" s="13" t="n">
        <f aca="false">Scenarios!$B$45*IF(AND(AC$5&gt;=Inputs!$G$139,AC$5&lt;=Inputs!$H$139,OR(Inputs!$I$139=0,MONTH(Forecast!AC$7)=Inputs!$I$139)),Inputs!$B$139+Inputs!$C$139/1000*CHOOSE(Inputs!$D$139,Forecast!AC$30,Forecast!AC$35,Forecast!AC$43,Forecast!AC$58),0)</f>
        <v>208.33</v>
      </c>
      <c r="AD38" s="13" t="n">
        <f aca="false">Scenarios!$B$45*IF(AND(AD$5&gt;=Inputs!$G$139,AD$5&lt;=Inputs!$H$139,OR(Inputs!$I$139=0,MONTH(Forecast!AD$7)=Inputs!$I$139)),Inputs!$B$139+Inputs!$C$139/1000*CHOOSE(Inputs!$D$139,Forecast!AD$30,Forecast!AD$35,Forecast!AD$43,Forecast!AD$58),0)</f>
        <v>208.33</v>
      </c>
      <c r="AE38" s="13" t="n">
        <f aca="false">Scenarios!$B$45*IF(AND(AE$5&gt;=Inputs!$G$139,AE$5&lt;=Inputs!$H$139,OR(Inputs!$I$139=0,MONTH(Forecast!AE$7)=Inputs!$I$139)),Inputs!$B$139+Inputs!$C$139/1000*CHOOSE(Inputs!$D$139,Forecast!AE$30,Forecast!AE$35,Forecast!AE$43,Forecast!AE$58),0)</f>
        <v>208.33</v>
      </c>
      <c r="AF38" s="13" t="n">
        <f aca="false">Scenarios!$B$45*IF(AND(AF$5&gt;=Inputs!$G$139,AF$5&lt;=Inputs!$H$139,OR(Inputs!$I$139=0,MONTH(Forecast!AF$7)=Inputs!$I$139)),Inputs!$B$139+Inputs!$C$139/1000*CHOOSE(Inputs!$D$139,Forecast!AF$30,Forecast!AF$35,Forecast!AF$43,Forecast!AF$58),0)</f>
        <v>208.33</v>
      </c>
      <c r="AG38" s="13" t="n">
        <f aca="false">Scenarios!$B$45*IF(AND(AG$5&gt;=Inputs!$G$139,AG$5&lt;=Inputs!$H$139,OR(Inputs!$I$139=0,MONTH(Forecast!AG$7)=Inputs!$I$139)),Inputs!$B$139+Inputs!$C$139/1000*CHOOSE(Inputs!$D$139,Forecast!AG$30,Forecast!AG$35,Forecast!AG$43,Forecast!AG$58),0)</f>
        <v>208.33</v>
      </c>
      <c r="AH38" s="13" t="n">
        <f aca="false">Scenarios!$B$45*IF(AND(AH$5&gt;=Inputs!$G$139,AH$5&lt;=Inputs!$H$139,OR(Inputs!$I$139=0,MONTH(Forecast!AH$7)=Inputs!$I$139)),Inputs!$B$139+Inputs!$C$139/1000*CHOOSE(Inputs!$D$139,Forecast!AH$30,Forecast!AH$35,Forecast!AH$43,Forecast!AH$58),0)</f>
        <v>208.33</v>
      </c>
      <c r="AI38" s="13" t="n">
        <f aca="false">Scenarios!$B$45*IF(AND(AI$5&gt;=Inputs!$G$139,AI$5&lt;=Inputs!$H$139,OR(Inputs!$I$139=0,MONTH(Forecast!AI$7)=Inputs!$I$139)),Inputs!$B$139+Inputs!$C$139/1000*CHOOSE(Inputs!$D$139,Forecast!AI$30,Forecast!AI$35,Forecast!AI$43,Forecast!AI$58),0)</f>
        <v>208.33</v>
      </c>
      <c r="AJ38" s="13" t="n">
        <f aca="false">Scenarios!$B$45*IF(AND(AJ$5&gt;=Inputs!$G$139,AJ$5&lt;=Inputs!$H$139,OR(Inputs!$I$139=0,MONTH(Forecast!AJ$7)=Inputs!$I$139)),Inputs!$B$139+Inputs!$C$139/1000*CHOOSE(Inputs!$D$139,Forecast!AJ$30,Forecast!AJ$35,Forecast!AJ$43,Forecast!AJ$58),0)</f>
        <v>208.33</v>
      </c>
      <c r="AK38" s="13" t="n">
        <f aca="false">Scenarios!$B$45*IF(AND(AK$5&gt;=Inputs!$G$139,AK$5&lt;=Inputs!$H$139,OR(Inputs!$I$139=0,MONTH(Forecast!AK$7)=Inputs!$I$139)),Inputs!$B$139+Inputs!$C$139/1000*CHOOSE(Inputs!$D$139,Forecast!AK$30,Forecast!AK$35,Forecast!AK$43,Forecast!AK$58),0)</f>
        <v>208.33</v>
      </c>
      <c r="AL38" s="13" t="n">
        <f aca="false">Scenarios!$B$45*IF(AND(AL$5&gt;=Inputs!$G$139,AL$5&lt;=Inputs!$H$139,OR(Inputs!$I$139=0,MONTH(Forecast!AL$7)=Inputs!$I$139)),Inputs!$B$139+Inputs!$C$139/1000*CHOOSE(Inputs!$D$139,Forecast!AL$30,Forecast!AL$35,Forecast!AL$43,Forecast!AL$58),0)</f>
        <v>208.33</v>
      </c>
      <c r="AM38" s="13" t="n">
        <f aca="false">Scenarios!$B$45*IF(AND(AM$5&gt;=Inputs!$G$139,AM$5&lt;=Inputs!$H$139,OR(Inputs!$I$139=0,MONTH(Forecast!AM$7)=Inputs!$I$139)),Inputs!$B$139+Inputs!$C$139/1000*CHOOSE(Inputs!$D$139,Forecast!AM$30,Forecast!AM$35,Forecast!AM$43,Forecast!AM$58),0)</f>
        <v>208.33</v>
      </c>
    </row>
    <row r="39" customFormat="false" ht="15" hidden="false" customHeight="false" outlineLevel="0" collapsed="false">
      <c r="A39" s="6" t="str">
        <f aca="false">Inputs!A140</f>
        <v>Defensive domains (.co, .net, greet-hub; $65/yr)</v>
      </c>
      <c r="B39" s="6" t="n">
        <f aca="false">Inputs!D140</f>
        <v>1</v>
      </c>
      <c r="D39" s="13" t="n">
        <f aca="false">Scenarios!$B$45*IF(AND(D$5&gt;=Inputs!$G$140,D$5&lt;=Inputs!$H$140,OR(Inputs!$I$140=0,MONTH(Forecast!D$7)=Inputs!$I$140)),Inputs!$B$140+Inputs!$C$140/1000*CHOOSE(Inputs!$D$140,Forecast!D$30,Forecast!D$35,Forecast!D$43,Forecast!D$58),0)</f>
        <v>5.42</v>
      </c>
      <c r="E39" s="13" t="n">
        <f aca="false">Scenarios!$B$45*IF(AND(E$5&gt;=Inputs!$G$140,E$5&lt;=Inputs!$H$140,OR(Inputs!$I$140=0,MONTH(Forecast!E$7)=Inputs!$I$140)),Inputs!$B$140+Inputs!$C$140/1000*CHOOSE(Inputs!$D$140,Forecast!E$30,Forecast!E$35,Forecast!E$43,Forecast!E$58),0)</f>
        <v>5.42</v>
      </c>
      <c r="F39" s="13" t="n">
        <f aca="false">Scenarios!$B$45*IF(AND(F$5&gt;=Inputs!$G$140,F$5&lt;=Inputs!$H$140,OR(Inputs!$I$140=0,MONTH(Forecast!F$7)=Inputs!$I$140)),Inputs!$B$140+Inputs!$C$140/1000*CHOOSE(Inputs!$D$140,Forecast!F$30,Forecast!F$35,Forecast!F$43,Forecast!F$58),0)</f>
        <v>5.42</v>
      </c>
      <c r="G39" s="13" t="n">
        <f aca="false">Scenarios!$B$45*IF(AND(G$5&gt;=Inputs!$G$140,G$5&lt;=Inputs!$H$140,OR(Inputs!$I$140=0,MONTH(Forecast!G$7)=Inputs!$I$140)),Inputs!$B$140+Inputs!$C$140/1000*CHOOSE(Inputs!$D$140,Forecast!G$30,Forecast!G$35,Forecast!G$43,Forecast!G$58),0)</f>
        <v>5.42</v>
      </c>
      <c r="H39" s="13" t="n">
        <f aca="false">Scenarios!$B$45*IF(AND(H$5&gt;=Inputs!$G$140,H$5&lt;=Inputs!$H$140,OR(Inputs!$I$140=0,MONTH(Forecast!H$7)=Inputs!$I$140)),Inputs!$B$140+Inputs!$C$140/1000*CHOOSE(Inputs!$D$140,Forecast!H$30,Forecast!H$35,Forecast!H$43,Forecast!H$58),0)</f>
        <v>5.42</v>
      </c>
      <c r="I39" s="13" t="n">
        <f aca="false">Scenarios!$B$45*IF(AND(I$5&gt;=Inputs!$G$140,I$5&lt;=Inputs!$H$140,OR(Inputs!$I$140=0,MONTH(Forecast!I$7)=Inputs!$I$140)),Inputs!$B$140+Inputs!$C$140/1000*CHOOSE(Inputs!$D$140,Forecast!I$30,Forecast!I$35,Forecast!I$43,Forecast!I$58),0)</f>
        <v>5.42</v>
      </c>
      <c r="J39" s="13" t="n">
        <f aca="false">Scenarios!$B$45*IF(AND(J$5&gt;=Inputs!$G$140,J$5&lt;=Inputs!$H$140,OR(Inputs!$I$140=0,MONTH(Forecast!J$7)=Inputs!$I$140)),Inputs!$B$140+Inputs!$C$140/1000*CHOOSE(Inputs!$D$140,Forecast!J$30,Forecast!J$35,Forecast!J$43,Forecast!J$58),0)</f>
        <v>5.42</v>
      </c>
      <c r="K39" s="13" t="n">
        <f aca="false">Scenarios!$B$45*IF(AND(K$5&gt;=Inputs!$G$140,K$5&lt;=Inputs!$H$140,OR(Inputs!$I$140=0,MONTH(Forecast!K$7)=Inputs!$I$140)),Inputs!$B$140+Inputs!$C$140/1000*CHOOSE(Inputs!$D$140,Forecast!K$30,Forecast!K$35,Forecast!K$43,Forecast!K$58),0)</f>
        <v>5.42</v>
      </c>
      <c r="L39" s="13" t="n">
        <f aca="false">Scenarios!$B$45*IF(AND(L$5&gt;=Inputs!$G$140,L$5&lt;=Inputs!$H$140,OR(Inputs!$I$140=0,MONTH(Forecast!L$7)=Inputs!$I$140)),Inputs!$B$140+Inputs!$C$140/1000*CHOOSE(Inputs!$D$140,Forecast!L$30,Forecast!L$35,Forecast!L$43,Forecast!L$58),0)</f>
        <v>5.42</v>
      </c>
      <c r="M39" s="13" t="n">
        <f aca="false">Scenarios!$B$45*IF(AND(M$5&gt;=Inputs!$G$140,M$5&lt;=Inputs!$H$140,OR(Inputs!$I$140=0,MONTH(Forecast!M$7)=Inputs!$I$140)),Inputs!$B$140+Inputs!$C$140/1000*CHOOSE(Inputs!$D$140,Forecast!M$30,Forecast!M$35,Forecast!M$43,Forecast!M$58),0)</f>
        <v>5.42</v>
      </c>
      <c r="N39" s="13" t="n">
        <f aca="false">Scenarios!$B$45*IF(AND(N$5&gt;=Inputs!$G$140,N$5&lt;=Inputs!$H$140,OR(Inputs!$I$140=0,MONTH(Forecast!N$7)=Inputs!$I$140)),Inputs!$B$140+Inputs!$C$140/1000*CHOOSE(Inputs!$D$140,Forecast!N$30,Forecast!N$35,Forecast!N$43,Forecast!N$58),0)</f>
        <v>5.42</v>
      </c>
      <c r="O39" s="13" t="n">
        <f aca="false">Scenarios!$B$45*IF(AND(O$5&gt;=Inputs!$G$140,O$5&lt;=Inputs!$H$140,OR(Inputs!$I$140=0,MONTH(Forecast!O$7)=Inputs!$I$140)),Inputs!$B$140+Inputs!$C$140/1000*CHOOSE(Inputs!$D$140,Forecast!O$30,Forecast!O$35,Forecast!O$43,Forecast!O$58),0)</f>
        <v>5.42</v>
      </c>
      <c r="P39" s="13" t="n">
        <f aca="false">Scenarios!$B$45*IF(AND(P$5&gt;=Inputs!$G$140,P$5&lt;=Inputs!$H$140,OR(Inputs!$I$140=0,MONTH(Forecast!P$7)=Inputs!$I$140)),Inputs!$B$140+Inputs!$C$140/1000*CHOOSE(Inputs!$D$140,Forecast!P$30,Forecast!P$35,Forecast!P$43,Forecast!P$58),0)</f>
        <v>5.42</v>
      </c>
      <c r="Q39" s="13" t="n">
        <f aca="false">Scenarios!$B$45*IF(AND(Q$5&gt;=Inputs!$G$140,Q$5&lt;=Inputs!$H$140,OR(Inputs!$I$140=0,MONTH(Forecast!Q$7)=Inputs!$I$140)),Inputs!$B$140+Inputs!$C$140/1000*CHOOSE(Inputs!$D$140,Forecast!Q$30,Forecast!Q$35,Forecast!Q$43,Forecast!Q$58),0)</f>
        <v>5.42</v>
      </c>
      <c r="R39" s="13" t="n">
        <f aca="false">Scenarios!$B$45*IF(AND(R$5&gt;=Inputs!$G$140,R$5&lt;=Inputs!$H$140,OR(Inputs!$I$140=0,MONTH(Forecast!R$7)=Inputs!$I$140)),Inputs!$B$140+Inputs!$C$140/1000*CHOOSE(Inputs!$D$140,Forecast!R$30,Forecast!R$35,Forecast!R$43,Forecast!R$58),0)</f>
        <v>5.42</v>
      </c>
      <c r="S39" s="13" t="n">
        <f aca="false">Scenarios!$B$45*IF(AND(S$5&gt;=Inputs!$G$140,S$5&lt;=Inputs!$H$140,OR(Inputs!$I$140=0,MONTH(Forecast!S$7)=Inputs!$I$140)),Inputs!$B$140+Inputs!$C$140/1000*CHOOSE(Inputs!$D$140,Forecast!S$30,Forecast!S$35,Forecast!S$43,Forecast!S$58),0)</f>
        <v>5.42</v>
      </c>
      <c r="T39" s="13" t="n">
        <f aca="false">Scenarios!$B$45*IF(AND(T$5&gt;=Inputs!$G$140,T$5&lt;=Inputs!$H$140,OR(Inputs!$I$140=0,MONTH(Forecast!T$7)=Inputs!$I$140)),Inputs!$B$140+Inputs!$C$140/1000*CHOOSE(Inputs!$D$140,Forecast!T$30,Forecast!T$35,Forecast!T$43,Forecast!T$58),0)</f>
        <v>5.42</v>
      </c>
      <c r="U39" s="13" t="n">
        <f aca="false">Scenarios!$B$45*IF(AND(U$5&gt;=Inputs!$G$140,U$5&lt;=Inputs!$H$140,OR(Inputs!$I$140=0,MONTH(Forecast!U$7)=Inputs!$I$140)),Inputs!$B$140+Inputs!$C$140/1000*CHOOSE(Inputs!$D$140,Forecast!U$30,Forecast!U$35,Forecast!U$43,Forecast!U$58),0)</f>
        <v>5.42</v>
      </c>
      <c r="V39" s="13" t="n">
        <f aca="false">Scenarios!$B$45*IF(AND(V$5&gt;=Inputs!$G$140,V$5&lt;=Inputs!$H$140,OR(Inputs!$I$140=0,MONTH(Forecast!V$7)=Inputs!$I$140)),Inputs!$B$140+Inputs!$C$140/1000*CHOOSE(Inputs!$D$140,Forecast!V$30,Forecast!V$35,Forecast!V$43,Forecast!V$58),0)</f>
        <v>5.42</v>
      </c>
      <c r="W39" s="13" t="n">
        <f aca="false">Scenarios!$B$45*IF(AND(W$5&gt;=Inputs!$G$140,W$5&lt;=Inputs!$H$140,OR(Inputs!$I$140=0,MONTH(Forecast!W$7)=Inputs!$I$140)),Inputs!$B$140+Inputs!$C$140/1000*CHOOSE(Inputs!$D$140,Forecast!W$30,Forecast!W$35,Forecast!W$43,Forecast!W$58),0)</f>
        <v>5.42</v>
      </c>
      <c r="X39" s="13" t="n">
        <f aca="false">Scenarios!$B$45*IF(AND(X$5&gt;=Inputs!$G$140,X$5&lt;=Inputs!$H$140,OR(Inputs!$I$140=0,MONTH(Forecast!X$7)=Inputs!$I$140)),Inputs!$B$140+Inputs!$C$140/1000*CHOOSE(Inputs!$D$140,Forecast!X$30,Forecast!X$35,Forecast!X$43,Forecast!X$58),0)</f>
        <v>5.42</v>
      </c>
      <c r="Y39" s="13" t="n">
        <f aca="false">Scenarios!$B$45*IF(AND(Y$5&gt;=Inputs!$G$140,Y$5&lt;=Inputs!$H$140,OR(Inputs!$I$140=0,MONTH(Forecast!Y$7)=Inputs!$I$140)),Inputs!$B$140+Inputs!$C$140/1000*CHOOSE(Inputs!$D$140,Forecast!Y$30,Forecast!Y$35,Forecast!Y$43,Forecast!Y$58),0)</f>
        <v>5.42</v>
      </c>
      <c r="Z39" s="13" t="n">
        <f aca="false">Scenarios!$B$45*IF(AND(Z$5&gt;=Inputs!$G$140,Z$5&lt;=Inputs!$H$140,OR(Inputs!$I$140=0,MONTH(Forecast!Z$7)=Inputs!$I$140)),Inputs!$B$140+Inputs!$C$140/1000*CHOOSE(Inputs!$D$140,Forecast!Z$30,Forecast!Z$35,Forecast!Z$43,Forecast!Z$58),0)</f>
        <v>5.42</v>
      </c>
      <c r="AA39" s="13" t="n">
        <f aca="false">Scenarios!$B$45*IF(AND(AA$5&gt;=Inputs!$G$140,AA$5&lt;=Inputs!$H$140,OR(Inputs!$I$140=0,MONTH(Forecast!AA$7)=Inputs!$I$140)),Inputs!$B$140+Inputs!$C$140/1000*CHOOSE(Inputs!$D$140,Forecast!AA$30,Forecast!AA$35,Forecast!AA$43,Forecast!AA$58),0)</f>
        <v>5.42</v>
      </c>
      <c r="AB39" s="13" t="n">
        <f aca="false">Scenarios!$B$45*IF(AND(AB$5&gt;=Inputs!$G$140,AB$5&lt;=Inputs!$H$140,OR(Inputs!$I$140=0,MONTH(Forecast!AB$7)=Inputs!$I$140)),Inputs!$B$140+Inputs!$C$140/1000*CHOOSE(Inputs!$D$140,Forecast!AB$30,Forecast!AB$35,Forecast!AB$43,Forecast!AB$58),0)</f>
        <v>5.42</v>
      </c>
      <c r="AC39" s="13" t="n">
        <f aca="false">Scenarios!$B$45*IF(AND(AC$5&gt;=Inputs!$G$140,AC$5&lt;=Inputs!$H$140,OR(Inputs!$I$140=0,MONTH(Forecast!AC$7)=Inputs!$I$140)),Inputs!$B$140+Inputs!$C$140/1000*CHOOSE(Inputs!$D$140,Forecast!AC$30,Forecast!AC$35,Forecast!AC$43,Forecast!AC$58),0)</f>
        <v>5.42</v>
      </c>
      <c r="AD39" s="13" t="n">
        <f aca="false">Scenarios!$B$45*IF(AND(AD$5&gt;=Inputs!$G$140,AD$5&lt;=Inputs!$H$140,OR(Inputs!$I$140=0,MONTH(Forecast!AD$7)=Inputs!$I$140)),Inputs!$B$140+Inputs!$C$140/1000*CHOOSE(Inputs!$D$140,Forecast!AD$30,Forecast!AD$35,Forecast!AD$43,Forecast!AD$58),0)</f>
        <v>5.42</v>
      </c>
      <c r="AE39" s="13" t="n">
        <f aca="false">Scenarios!$B$45*IF(AND(AE$5&gt;=Inputs!$G$140,AE$5&lt;=Inputs!$H$140,OR(Inputs!$I$140=0,MONTH(Forecast!AE$7)=Inputs!$I$140)),Inputs!$B$140+Inputs!$C$140/1000*CHOOSE(Inputs!$D$140,Forecast!AE$30,Forecast!AE$35,Forecast!AE$43,Forecast!AE$58),0)</f>
        <v>5.42</v>
      </c>
      <c r="AF39" s="13" t="n">
        <f aca="false">Scenarios!$B$45*IF(AND(AF$5&gt;=Inputs!$G$140,AF$5&lt;=Inputs!$H$140,OR(Inputs!$I$140=0,MONTH(Forecast!AF$7)=Inputs!$I$140)),Inputs!$B$140+Inputs!$C$140/1000*CHOOSE(Inputs!$D$140,Forecast!AF$30,Forecast!AF$35,Forecast!AF$43,Forecast!AF$58),0)</f>
        <v>5.42</v>
      </c>
      <c r="AG39" s="13" t="n">
        <f aca="false">Scenarios!$B$45*IF(AND(AG$5&gt;=Inputs!$G$140,AG$5&lt;=Inputs!$H$140,OR(Inputs!$I$140=0,MONTH(Forecast!AG$7)=Inputs!$I$140)),Inputs!$B$140+Inputs!$C$140/1000*CHOOSE(Inputs!$D$140,Forecast!AG$30,Forecast!AG$35,Forecast!AG$43,Forecast!AG$58),0)</f>
        <v>5.42</v>
      </c>
      <c r="AH39" s="13" t="n">
        <f aca="false">Scenarios!$B$45*IF(AND(AH$5&gt;=Inputs!$G$140,AH$5&lt;=Inputs!$H$140,OR(Inputs!$I$140=0,MONTH(Forecast!AH$7)=Inputs!$I$140)),Inputs!$B$140+Inputs!$C$140/1000*CHOOSE(Inputs!$D$140,Forecast!AH$30,Forecast!AH$35,Forecast!AH$43,Forecast!AH$58),0)</f>
        <v>5.42</v>
      </c>
      <c r="AI39" s="13" t="n">
        <f aca="false">Scenarios!$B$45*IF(AND(AI$5&gt;=Inputs!$G$140,AI$5&lt;=Inputs!$H$140,OR(Inputs!$I$140=0,MONTH(Forecast!AI$7)=Inputs!$I$140)),Inputs!$B$140+Inputs!$C$140/1000*CHOOSE(Inputs!$D$140,Forecast!AI$30,Forecast!AI$35,Forecast!AI$43,Forecast!AI$58),0)</f>
        <v>5.42</v>
      </c>
      <c r="AJ39" s="13" t="n">
        <f aca="false">Scenarios!$B$45*IF(AND(AJ$5&gt;=Inputs!$G$140,AJ$5&lt;=Inputs!$H$140,OR(Inputs!$I$140=0,MONTH(Forecast!AJ$7)=Inputs!$I$140)),Inputs!$B$140+Inputs!$C$140/1000*CHOOSE(Inputs!$D$140,Forecast!AJ$30,Forecast!AJ$35,Forecast!AJ$43,Forecast!AJ$58),0)</f>
        <v>5.42</v>
      </c>
      <c r="AK39" s="13" t="n">
        <f aca="false">Scenarios!$B$45*IF(AND(AK$5&gt;=Inputs!$G$140,AK$5&lt;=Inputs!$H$140,OR(Inputs!$I$140=0,MONTH(Forecast!AK$7)=Inputs!$I$140)),Inputs!$B$140+Inputs!$C$140/1000*CHOOSE(Inputs!$D$140,Forecast!AK$30,Forecast!AK$35,Forecast!AK$43,Forecast!AK$58),0)</f>
        <v>5.42</v>
      </c>
      <c r="AL39" s="13" t="n">
        <f aca="false">Scenarios!$B$45*IF(AND(AL$5&gt;=Inputs!$G$140,AL$5&lt;=Inputs!$H$140,OR(Inputs!$I$140=0,MONTH(Forecast!AL$7)=Inputs!$I$140)),Inputs!$B$140+Inputs!$C$140/1000*CHOOSE(Inputs!$D$140,Forecast!AL$30,Forecast!AL$35,Forecast!AL$43,Forecast!AL$58),0)</f>
        <v>5.42</v>
      </c>
      <c r="AM39" s="13" t="n">
        <f aca="false">Scenarios!$B$45*IF(AND(AM$5&gt;=Inputs!$G$140,AM$5&lt;=Inputs!$H$140,OR(Inputs!$I$140=0,MONTH(Forecast!AM$7)=Inputs!$I$140)),Inputs!$B$140+Inputs!$C$140/1000*CHOOSE(Inputs!$D$140,Forecast!AM$30,Forecast!AM$35,Forecast!AM$43,Forecast!AM$58),0)</f>
        <v>5.42</v>
      </c>
    </row>
    <row r="40" customFormat="false" ht="15" hidden="false" customHeight="false" outlineLevel="0" collapsed="false">
      <c r="A40" s="3" t="s">
        <v>1057</v>
      </c>
      <c r="D40" s="8" t="n">
        <f aca="false">SUM(D24:D39)</f>
        <v>425.92</v>
      </c>
      <c r="E40" s="8" t="n">
        <f aca="false">SUM(E24:E39)</f>
        <v>1440.92</v>
      </c>
      <c r="F40" s="8" t="n">
        <f aca="false">SUM(F24:F39)</f>
        <v>465.92</v>
      </c>
      <c r="G40" s="8" t="n">
        <f aca="false">SUM(G24:G39)</f>
        <v>465.92</v>
      </c>
      <c r="H40" s="8" t="n">
        <f aca="false">SUM(H24:H39)</f>
        <v>465.92</v>
      </c>
      <c r="I40" s="8" t="n">
        <f aca="false">SUM(I24:I39)</f>
        <v>465.92</v>
      </c>
      <c r="J40" s="8" t="n">
        <f aca="false">SUM(J24:J39)</f>
        <v>524.25</v>
      </c>
      <c r="K40" s="8" t="n">
        <f aca="false">SUM(K24:K39)</f>
        <v>524.25</v>
      </c>
      <c r="L40" s="8" t="n">
        <f aca="false">SUM(L24:L39)</f>
        <v>524.25</v>
      </c>
      <c r="M40" s="8" t="n">
        <f aca="false">SUM(M24:M39)</f>
        <v>524.25</v>
      </c>
      <c r="N40" s="8" t="n">
        <f aca="false">SUM(N24:N39)</f>
        <v>524.25</v>
      </c>
      <c r="O40" s="8" t="n">
        <f aca="false">SUM(O24:O39)</f>
        <v>524.25</v>
      </c>
      <c r="P40" s="8" t="n">
        <f aca="false">SUM(P24:P39)</f>
        <v>732.58</v>
      </c>
      <c r="Q40" s="8" t="n">
        <f aca="false">SUM(Q24:Q39)</f>
        <v>1707.58</v>
      </c>
      <c r="R40" s="8" t="n">
        <f aca="false">SUM(R24:R39)</f>
        <v>732.58</v>
      </c>
      <c r="S40" s="8" t="n">
        <f aca="false">SUM(S24:S39)</f>
        <v>732.58</v>
      </c>
      <c r="T40" s="8" t="n">
        <f aca="false">SUM(T24:T39)</f>
        <v>732.58</v>
      </c>
      <c r="U40" s="8" t="n">
        <f aca="false">SUM(U24:U39)</f>
        <v>732.58</v>
      </c>
      <c r="V40" s="8" t="n">
        <f aca="false">SUM(V24:V39)</f>
        <v>757.58</v>
      </c>
      <c r="W40" s="8" t="n">
        <f aca="false">SUM(W24:W39)</f>
        <v>757.58</v>
      </c>
      <c r="X40" s="8" t="n">
        <f aca="false">SUM(X24:X39)</f>
        <v>757.58</v>
      </c>
      <c r="Y40" s="8" t="n">
        <f aca="false">SUM(Y24:Y39)</f>
        <v>757.58</v>
      </c>
      <c r="Z40" s="8" t="n">
        <f aca="false">SUM(Z24:Z39)</f>
        <v>757.58</v>
      </c>
      <c r="AA40" s="8" t="n">
        <f aca="false">SUM(AA24:AA39)</f>
        <v>757.58</v>
      </c>
      <c r="AB40" s="8" t="n">
        <f aca="false">SUM(AB24:AB39)</f>
        <v>757.58</v>
      </c>
      <c r="AC40" s="8" t="n">
        <f aca="false">SUM(AC24:AC39)</f>
        <v>1732.58</v>
      </c>
      <c r="AD40" s="8" t="n">
        <f aca="false">SUM(AD24:AD39)</f>
        <v>757.58</v>
      </c>
      <c r="AE40" s="8" t="n">
        <f aca="false">SUM(AE24:AE39)</f>
        <v>757.58</v>
      </c>
      <c r="AF40" s="8" t="n">
        <f aca="false">SUM(AF24:AF39)</f>
        <v>757.58</v>
      </c>
      <c r="AG40" s="8" t="n">
        <f aca="false">SUM(AG24:AG39)</f>
        <v>757.58</v>
      </c>
      <c r="AH40" s="8" t="n">
        <f aca="false">SUM(AH24:AH39)</f>
        <v>757.58</v>
      </c>
      <c r="AI40" s="8" t="n">
        <f aca="false">SUM(AI24:AI39)</f>
        <v>757.58</v>
      </c>
      <c r="AJ40" s="8" t="n">
        <f aca="false">SUM(AJ24:AJ39)</f>
        <v>757.58</v>
      </c>
      <c r="AK40" s="8" t="n">
        <f aca="false">SUM(AK24:AK39)</f>
        <v>757.58</v>
      </c>
      <c r="AL40" s="8" t="n">
        <f aca="false">SUM(AL24:AL39)</f>
        <v>757.58</v>
      </c>
      <c r="AM40" s="8" t="n">
        <f aca="false">SUM(AM24:AM39)</f>
        <v>757.58</v>
      </c>
    </row>
    <row r="41" customFormat="false" ht="15" hidden="false" customHeight="false" outlineLevel="0" collapsed="false">
      <c r="A41" s="3" t="s">
        <v>1058</v>
      </c>
      <c r="D41" s="8" t="n">
        <f aca="false">Scenarios!$B$45*SUMPRODUCT((Inputs!$C$144:$C$148=D$5)*Inputs!$B$144:$B$148)</f>
        <v>9506</v>
      </c>
      <c r="E41" s="8" t="n">
        <f aca="false">Scenarios!$B$45*SUMPRODUCT((Inputs!$C$144:$C$148=E$5)*Inputs!$B$144:$B$148)</f>
        <v>2000</v>
      </c>
      <c r="F41" s="8" t="n">
        <f aca="false">Scenarios!$B$45*SUMPRODUCT((Inputs!$C$144:$C$148=F$5)*Inputs!$B$144:$B$148)</f>
        <v>0</v>
      </c>
      <c r="G41" s="8" t="n">
        <f aca="false">Scenarios!$B$45*SUMPRODUCT((Inputs!$C$144:$C$148=G$5)*Inputs!$B$144:$B$148)</f>
        <v>3000</v>
      </c>
      <c r="H41" s="8" t="n">
        <f aca="false">Scenarios!$B$45*SUMPRODUCT((Inputs!$C$144:$C$148=H$5)*Inputs!$B$144:$B$148)</f>
        <v>0</v>
      </c>
      <c r="I41" s="8" t="n">
        <f aca="false">Scenarios!$B$45*SUMPRODUCT((Inputs!$C$144:$C$148=I$5)*Inputs!$B$144:$B$148)</f>
        <v>0</v>
      </c>
      <c r="J41" s="8" t="n">
        <f aca="false">Scenarios!$B$45*SUMPRODUCT((Inputs!$C$144:$C$148=J$5)*Inputs!$B$144:$B$148)</f>
        <v>0</v>
      </c>
      <c r="K41" s="8" t="n">
        <f aca="false">Scenarios!$B$45*SUMPRODUCT((Inputs!$C$144:$C$148=K$5)*Inputs!$B$144:$B$148)</f>
        <v>0</v>
      </c>
      <c r="L41" s="8" t="n">
        <f aca="false">Scenarios!$B$45*SUMPRODUCT((Inputs!$C$144:$C$148=L$5)*Inputs!$B$144:$B$148)</f>
        <v>0</v>
      </c>
      <c r="M41" s="8" t="n">
        <f aca="false">Scenarios!$B$45*SUMPRODUCT((Inputs!$C$144:$C$148=M$5)*Inputs!$B$144:$B$148)</f>
        <v>0</v>
      </c>
      <c r="N41" s="8" t="n">
        <f aca="false">Scenarios!$B$45*SUMPRODUCT((Inputs!$C$144:$C$148=N$5)*Inputs!$B$144:$B$148)</f>
        <v>0</v>
      </c>
      <c r="O41" s="8" t="n">
        <f aca="false">Scenarios!$B$45*SUMPRODUCT((Inputs!$C$144:$C$148=O$5)*Inputs!$B$144:$B$148)</f>
        <v>0</v>
      </c>
      <c r="P41" s="8" t="n">
        <f aca="false">Scenarios!$B$45*SUMPRODUCT((Inputs!$C$144:$C$148=P$5)*Inputs!$B$144:$B$148)</f>
        <v>0</v>
      </c>
      <c r="Q41" s="8" t="n">
        <f aca="false">Scenarios!$B$45*SUMPRODUCT((Inputs!$C$144:$C$148=Q$5)*Inputs!$B$144:$B$148)</f>
        <v>0</v>
      </c>
      <c r="R41" s="8" t="n">
        <f aca="false">Scenarios!$B$45*SUMPRODUCT((Inputs!$C$144:$C$148=R$5)*Inputs!$B$144:$B$148)</f>
        <v>0</v>
      </c>
      <c r="S41" s="8" t="n">
        <f aca="false">Scenarios!$B$45*SUMPRODUCT((Inputs!$C$144:$C$148=S$5)*Inputs!$B$144:$B$148)</f>
        <v>0</v>
      </c>
      <c r="T41" s="8" t="n">
        <f aca="false">Scenarios!$B$45*SUMPRODUCT((Inputs!$C$144:$C$148=T$5)*Inputs!$B$144:$B$148)</f>
        <v>0</v>
      </c>
      <c r="U41" s="8" t="n">
        <f aca="false">Scenarios!$B$45*SUMPRODUCT((Inputs!$C$144:$C$148=U$5)*Inputs!$B$144:$B$148)</f>
        <v>0</v>
      </c>
      <c r="V41" s="8" t="n">
        <f aca="false">Scenarios!$B$45*SUMPRODUCT((Inputs!$C$144:$C$148=V$5)*Inputs!$B$144:$B$148)</f>
        <v>0</v>
      </c>
      <c r="W41" s="8" t="n">
        <f aca="false">Scenarios!$B$45*SUMPRODUCT((Inputs!$C$144:$C$148=W$5)*Inputs!$B$144:$B$148)</f>
        <v>0</v>
      </c>
      <c r="X41" s="8" t="n">
        <f aca="false">Scenarios!$B$45*SUMPRODUCT((Inputs!$C$144:$C$148=X$5)*Inputs!$B$144:$B$148)</f>
        <v>0</v>
      </c>
      <c r="Y41" s="8" t="n">
        <f aca="false">Scenarios!$B$45*SUMPRODUCT((Inputs!$C$144:$C$148=Y$5)*Inputs!$B$144:$B$148)</f>
        <v>0</v>
      </c>
      <c r="Z41" s="8" t="n">
        <f aca="false">Scenarios!$B$45*SUMPRODUCT((Inputs!$C$144:$C$148=Z$5)*Inputs!$B$144:$B$148)</f>
        <v>0</v>
      </c>
      <c r="AA41" s="8" t="n">
        <f aca="false">Scenarios!$B$45*SUMPRODUCT((Inputs!$C$144:$C$148=AA$5)*Inputs!$B$144:$B$148)</f>
        <v>0</v>
      </c>
      <c r="AB41" s="8" t="n">
        <f aca="false">Scenarios!$B$45*SUMPRODUCT((Inputs!$C$144:$C$148=AB$5)*Inputs!$B$144:$B$148)</f>
        <v>0</v>
      </c>
      <c r="AC41" s="8" t="n">
        <f aca="false">Scenarios!$B$45*SUMPRODUCT((Inputs!$C$144:$C$148=AC$5)*Inputs!$B$144:$B$148)</f>
        <v>0</v>
      </c>
      <c r="AD41" s="8" t="n">
        <f aca="false">Scenarios!$B$45*SUMPRODUCT((Inputs!$C$144:$C$148=AD$5)*Inputs!$B$144:$B$148)</f>
        <v>0</v>
      </c>
      <c r="AE41" s="8" t="n">
        <f aca="false">Scenarios!$B$45*SUMPRODUCT((Inputs!$C$144:$C$148=AE$5)*Inputs!$B$144:$B$148)</f>
        <v>0</v>
      </c>
      <c r="AF41" s="8" t="n">
        <f aca="false">Scenarios!$B$45*SUMPRODUCT((Inputs!$C$144:$C$148=AF$5)*Inputs!$B$144:$B$148)</f>
        <v>0</v>
      </c>
      <c r="AG41" s="8" t="n">
        <f aca="false">Scenarios!$B$45*SUMPRODUCT((Inputs!$C$144:$C$148=AG$5)*Inputs!$B$144:$B$148)</f>
        <v>0</v>
      </c>
      <c r="AH41" s="8" t="n">
        <f aca="false">Scenarios!$B$45*SUMPRODUCT((Inputs!$C$144:$C$148=AH$5)*Inputs!$B$144:$B$148)</f>
        <v>0</v>
      </c>
      <c r="AI41" s="8" t="n">
        <f aca="false">Scenarios!$B$45*SUMPRODUCT((Inputs!$C$144:$C$148=AI$5)*Inputs!$B$144:$B$148)</f>
        <v>0</v>
      </c>
      <c r="AJ41" s="8" t="n">
        <f aca="false">Scenarios!$B$45*SUMPRODUCT((Inputs!$C$144:$C$148=AJ$5)*Inputs!$B$144:$B$148)</f>
        <v>0</v>
      </c>
      <c r="AK41" s="8" t="n">
        <f aca="false">Scenarios!$B$45*SUMPRODUCT((Inputs!$C$144:$C$148=AK$5)*Inputs!$B$144:$B$148)</f>
        <v>0</v>
      </c>
      <c r="AL41" s="8" t="n">
        <f aca="false">Scenarios!$B$45*SUMPRODUCT((Inputs!$C$144:$C$148=AL$5)*Inputs!$B$144:$B$148)</f>
        <v>0</v>
      </c>
      <c r="AM41" s="8" t="n">
        <f aca="false">Scenarios!$B$45*SUMPRODUCT((Inputs!$C$144:$C$148=AM$5)*Inputs!$B$144:$B$148)</f>
        <v>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8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54296875" defaultRowHeight="15" customHeight="false" zeroHeight="false" outlineLevelRow="0" outlineLevelCol="0"/>
  <cols>
    <col collapsed="false" customWidth="true" hidden="false" outlineLevel="0" max="1" min="1" style="1" width="50"/>
    <col collapsed="false" customWidth="true" hidden="false" outlineLevel="0" max="2" min="2" style="1" width="8"/>
    <col collapsed="false" customWidth="true" hidden="false" outlineLevel="0" max="3" min="3" style="1" width="10"/>
    <col collapsed="false" customWidth="true" hidden="false" outlineLevel="0" max="39" min="4" style="1" width="11"/>
    <col collapsed="false" customWidth="true" hidden="false" outlineLevel="0" max="40" min="40" style="1" width="3"/>
    <col collapsed="false" customWidth="true" hidden="false" outlineLevel="0" max="43" min="41" style="1" width="11"/>
  </cols>
  <sheetData>
    <row r="1" customFormat="false" ht="17.35" hidden="false" customHeight="false" outlineLevel="0" collapsed="false">
      <c r="A1" s="2" t="s">
        <v>1059</v>
      </c>
    </row>
    <row r="3" customFormat="false" ht="15" hidden="false" customHeight="false" outlineLevel="0" collapsed="false">
      <c r="A3" s="3" t="str">
        <f aca="false">"Scenario: "&amp;Scenarios!B3</f>
        <v>Scenario: Base</v>
      </c>
    </row>
    <row r="4" customFormat="false" ht="15" hidden="false" customHeight="false" outlineLevel="0" collapsed="false">
      <c r="A4" s="5" t="s">
        <v>726</v>
      </c>
      <c r="B4" s="5" t="s">
        <v>51</v>
      </c>
      <c r="C4" s="5" t="s">
        <v>1053</v>
      </c>
      <c r="D4" s="5" t="s">
        <v>728</v>
      </c>
      <c r="E4" s="5" t="s">
        <v>729</v>
      </c>
      <c r="F4" s="5" t="s">
        <v>730</v>
      </c>
      <c r="G4" s="5" t="s">
        <v>731</v>
      </c>
      <c r="H4" s="5" t="s">
        <v>732</v>
      </c>
      <c r="I4" s="5" t="s">
        <v>733</v>
      </c>
      <c r="J4" s="5" t="s">
        <v>734</v>
      </c>
      <c r="K4" s="5" t="s">
        <v>735</v>
      </c>
      <c r="L4" s="5" t="s">
        <v>736</v>
      </c>
      <c r="M4" s="5" t="s">
        <v>737</v>
      </c>
      <c r="N4" s="5" t="s">
        <v>738</v>
      </c>
      <c r="O4" s="5" t="s">
        <v>739</v>
      </c>
      <c r="P4" s="5" t="s">
        <v>740</v>
      </c>
      <c r="Q4" s="5" t="s">
        <v>741</v>
      </c>
      <c r="R4" s="5" t="s">
        <v>742</v>
      </c>
      <c r="S4" s="5" t="s">
        <v>743</v>
      </c>
      <c r="T4" s="5" t="s">
        <v>744</v>
      </c>
      <c r="U4" s="5" t="s">
        <v>745</v>
      </c>
      <c r="V4" s="5" t="s">
        <v>746</v>
      </c>
      <c r="W4" s="5" t="s">
        <v>747</v>
      </c>
      <c r="X4" s="5" t="s">
        <v>748</v>
      </c>
      <c r="Y4" s="5" t="s">
        <v>749</v>
      </c>
      <c r="Z4" s="5" t="s">
        <v>750</v>
      </c>
      <c r="AA4" s="5" t="s">
        <v>751</v>
      </c>
      <c r="AB4" s="5" t="s">
        <v>752</v>
      </c>
      <c r="AC4" s="5" t="s">
        <v>753</v>
      </c>
      <c r="AD4" s="5" t="s">
        <v>754</v>
      </c>
      <c r="AE4" s="5" t="s">
        <v>755</v>
      </c>
      <c r="AF4" s="5" t="s">
        <v>756</v>
      </c>
      <c r="AG4" s="5" t="s">
        <v>757</v>
      </c>
      <c r="AH4" s="5" t="s">
        <v>758</v>
      </c>
      <c r="AI4" s="5" t="s">
        <v>759</v>
      </c>
      <c r="AJ4" s="5" t="s">
        <v>760</v>
      </c>
      <c r="AK4" s="5" t="s">
        <v>761</v>
      </c>
      <c r="AL4" s="5" t="s">
        <v>762</v>
      </c>
      <c r="AM4" s="5" t="s">
        <v>763</v>
      </c>
      <c r="AO4" s="77" t="s">
        <v>17</v>
      </c>
      <c r="AP4" s="77" t="s">
        <v>18</v>
      </c>
      <c r="AQ4" s="77" t="s">
        <v>19</v>
      </c>
    </row>
    <row r="5" customFormat="false" ht="15" hidden="false" customHeight="false" outlineLevel="0" collapsed="false">
      <c r="A5" s="23" t="s">
        <v>1060</v>
      </c>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row>
    <row r="6" customFormat="false" ht="15" hidden="false" customHeight="false" outlineLevel="0" collapsed="false">
      <c r="A6" s="6" t="s">
        <v>765</v>
      </c>
      <c r="B6" s="20" t="s">
        <v>766</v>
      </c>
      <c r="C6" s="11" t="n">
        <v>0</v>
      </c>
      <c r="D6" s="11" t="n">
        <f aca="false">C6+1</f>
        <v>1</v>
      </c>
      <c r="E6" s="11" t="n">
        <f aca="false">D6+1</f>
        <v>2</v>
      </c>
      <c r="F6" s="11" t="n">
        <f aca="false">E6+1</f>
        <v>3</v>
      </c>
      <c r="G6" s="11" t="n">
        <f aca="false">F6+1</f>
        <v>4</v>
      </c>
      <c r="H6" s="11" t="n">
        <f aca="false">G6+1</f>
        <v>5</v>
      </c>
      <c r="I6" s="11" t="n">
        <f aca="false">H6+1</f>
        <v>6</v>
      </c>
      <c r="J6" s="11" t="n">
        <f aca="false">I6+1</f>
        <v>7</v>
      </c>
      <c r="K6" s="11" t="n">
        <f aca="false">J6+1</f>
        <v>8</v>
      </c>
      <c r="L6" s="11" t="n">
        <f aca="false">K6+1</f>
        <v>9</v>
      </c>
      <c r="M6" s="11" t="n">
        <f aca="false">L6+1</f>
        <v>10</v>
      </c>
      <c r="N6" s="11" t="n">
        <f aca="false">M6+1</f>
        <v>11</v>
      </c>
      <c r="O6" s="11" t="n">
        <f aca="false">N6+1</f>
        <v>12</v>
      </c>
      <c r="P6" s="11" t="n">
        <f aca="false">O6+1</f>
        <v>13</v>
      </c>
      <c r="Q6" s="11" t="n">
        <f aca="false">P6+1</f>
        <v>14</v>
      </c>
      <c r="R6" s="11" t="n">
        <f aca="false">Q6+1</f>
        <v>15</v>
      </c>
      <c r="S6" s="11" t="n">
        <f aca="false">R6+1</f>
        <v>16</v>
      </c>
      <c r="T6" s="11" t="n">
        <f aca="false">S6+1</f>
        <v>17</v>
      </c>
      <c r="U6" s="11" t="n">
        <f aca="false">T6+1</f>
        <v>18</v>
      </c>
      <c r="V6" s="11" t="n">
        <f aca="false">U6+1</f>
        <v>19</v>
      </c>
      <c r="W6" s="11" t="n">
        <f aca="false">V6+1</f>
        <v>20</v>
      </c>
      <c r="X6" s="11" t="n">
        <f aca="false">W6+1</f>
        <v>21</v>
      </c>
      <c r="Y6" s="11" t="n">
        <f aca="false">X6+1</f>
        <v>22</v>
      </c>
      <c r="Z6" s="11" t="n">
        <f aca="false">Y6+1</f>
        <v>23</v>
      </c>
      <c r="AA6" s="11" t="n">
        <f aca="false">Z6+1</f>
        <v>24</v>
      </c>
      <c r="AB6" s="11" t="n">
        <f aca="false">AA6+1</f>
        <v>25</v>
      </c>
      <c r="AC6" s="11" t="n">
        <f aca="false">AB6+1</f>
        <v>26</v>
      </c>
      <c r="AD6" s="11" t="n">
        <f aca="false">AC6+1</f>
        <v>27</v>
      </c>
      <c r="AE6" s="11" t="n">
        <f aca="false">AD6+1</f>
        <v>28</v>
      </c>
      <c r="AF6" s="11" t="n">
        <f aca="false">AE6+1</f>
        <v>29</v>
      </c>
      <c r="AG6" s="11" t="n">
        <f aca="false">AF6+1</f>
        <v>30</v>
      </c>
      <c r="AH6" s="11" t="n">
        <f aca="false">AG6+1</f>
        <v>31</v>
      </c>
      <c r="AI6" s="11" t="n">
        <f aca="false">AH6+1</f>
        <v>32</v>
      </c>
      <c r="AJ6" s="11" t="n">
        <f aca="false">AI6+1</f>
        <v>33</v>
      </c>
      <c r="AK6" s="11" t="n">
        <f aca="false">AJ6+1</f>
        <v>34</v>
      </c>
      <c r="AL6" s="11" t="n">
        <f aca="false">AK6+1</f>
        <v>35</v>
      </c>
      <c r="AM6" s="11" t="n">
        <f aca="false">AL6+1</f>
        <v>36</v>
      </c>
    </row>
    <row r="7" customFormat="false" ht="15" hidden="false" customHeight="false" outlineLevel="0" collapsed="false">
      <c r="A7" s="6" t="s">
        <v>1061</v>
      </c>
      <c r="B7" s="20" t="s">
        <v>56</v>
      </c>
      <c r="D7" s="78" t="n">
        <f aca="false">EDATE(Inputs!$B$7,D6-1)</f>
        <v>46327</v>
      </c>
      <c r="E7" s="78" t="n">
        <f aca="false">EDATE(Inputs!$B$7,E6-1)</f>
        <v>46357</v>
      </c>
      <c r="F7" s="78" t="n">
        <f aca="false">EDATE(Inputs!$B$7,F6-1)</f>
        <v>46388</v>
      </c>
      <c r="G7" s="78" t="n">
        <f aca="false">EDATE(Inputs!$B$7,G6-1)</f>
        <v>46419</v>
      </c>
      <c r="H7" s="78" t="n">
        <f aca="false">EDATE(Inputs!$B$7,H6-1)</f>
        <v>46447</v>
      </c>
      <c r="I7" s="78" t="n">
        <f aca="false">EDATE(Inputs!$B$7,I6-1)</f>
        <v>46478</v>
      </c>
      <c r="J7" s="78" t="n">
        <f aca="false">EDATE(Inputs!$B$7,J6-1)</f>
        <v>46508</v>
      </c>
      <c r="K7" s="78" t="n">
        <f aca="false">EDATE(Inputs!$B$7,K6-1)</f>
        <v>46539</v>
      </c>
      <c r="L7" s="78" t="n">
        <f aca="false">EDATE(Inputs!$B$7,L6-1)</f>
        <v>46569</v>
      </c>
      <c r="M7" s="78" t="n">
        <f aca="false">EDATE(Inputs!$B$7,M6-1)</f>
        <v>46600</v>
      </c>
      <c r="N7" s="78" t="n">
        <f aca="false">EDATE(Inputs!$B$7,N6-1)</f>
        <v>46631</v>
      </c>
      <c r="O7" s="78" t="n">
        <f aca="false">EDATE(Inputs!$B$7,O6-1)</f>
        <v>46661</v>
      </c>
      <c r="P7" s="78" t="n">
        <f aca="false">EDATE(Inputs!$B$7,P6-1)</f>
        <v>46692</v>
      </c>
      <c r="Q7" s="78" t="n">
        <f aca="false">EDATE(Inputs!$B$7,Q6-1)</f>
        <v>46722</v>
      </c>
      <c r="R7" s="78" t="n">
        <f aca="false">EDATE(Inputs!$B$7,R6-1)</f>
        <v>46753</v>
      </c>
      <c r="S7" s="78" t="n">
        <f aca="false">EDATE(Inputs!$B$7,S6-1)</f>
        <v>46784</v>
      </c>
      <c r="T7" s="78" t="n">
        <f aca="false">EDATE(Inputs!$B$7,T6-1)</f>
        <v>46813</v>
      </c>
      <c r="U7" s="78" t="n">
        <f aca="false">EDATE(Inputs!$B$7,U6-1)</f>
        <v>46844</v>
      </c>
      <c r="V7" s="78" t="n">
        <f aca="false">EDATE(Inputs!$B$7,V6-1)</f>
        <v>46874</v>
      </c>
      <c r="W7" s="78" t="n">
        <f aca="false">EDATE(Inputs!$B$7,W6-1)</f>
        <v>46905</v>
      </c>
      <c r="X7" s="78" t="n">
        <f aca="false">EDATE(Inputs!$B$7,X6-1)</f>
        <v>46935</v>
      </c>
      <c r="Y7" s="78" t="n">
        <f aca="false">EDATE(Inputs!$B$7,Y6-1)</f>
        <v>46966</v>
      </c>
      <c r="Z7" s="78" t="n">
        <f aca="false">EDATE(Inputs!$B$7,Z6-1)</f>
        <v>46997</v>
      </c>
      <c r="AA7" s="78" t="n">
        <f aca="false">EDATE(Inputs!$B$7,AA6-1)</f>
        <v>47027</v>
      </c>
      <c r="AB7" s="78" t="n">
        <f aca="false">EDATE(Inputs!$B$7,AB6-1)</f>
        <v>47058</v>
      </c>
      <c r="AC7" s="78" t="n">
        <f aca="false">EDATE(Inputs!$B$7,AC6-1)</f>
        <v>47088</v>
      </c>
      <c r="AD7" s="78" t="n">
        <f aca="false">EDATE(Inputs!$B$7,AD6-1)</f>
        <v>47119</v>
      </c>
      <c r="AE7" s="78" t="n">
        <f aca="false">EDATE(Inputs!$B$7,AE6-1)</f>
        <v>47150</v>
      </c>
      <c r="AF7" s="78" t="n">
        <f aca="false">EDATE(Inputs!$B$7,AF6-1)</f>
        <v>47178</v>
      </c>
      <c r="AG7" s="78" t="n">
        <f aca="false">EDATE(Inputs!$B$7,AG6-1)</f>
        <v>47209</v>
      </c>
      <c r="AH7" s="78" t="n">
        <f aca="false">EDATE(Inputs!$B$7,AH6-1)</f>
        <v>47239</v>
      </c>
      <c r="AI7" s="78" t="n">
        <f aca="false">EDATE(Inputs!$B$7,AI6-1)</f>
        <v>47270</v>
      </c>
      <c r="AJ7" s="78" t="n">
        <f aca="false">EDATE(Inputs!$B$7,AJ6-1)</f>
        <v>47300</v>
      </c>
      <c r="AK7" s="78" t="n">
        <f aca="false">EDATE(Inputs!$B$7,AK6-1)</f>
        <v>47331</v>
      </c>
      <c r="AL7" s="78" t="n">
        <f aca="false">EDATE(Inputs!$B$7,AL6-1)</f>
        <v>47362</v>
      </c>
      <c r="AM7" s="78" t="n">
        <f aca="false">EDATE(Inputs!$B$7,AM6-1)</f>
        <v>47392</v>
      </c>
    </row>
    <row r="8" customFormat="false" ht="15" hidden="false" customHeight="false" outlineLevel="0" collapsed="false">
      <c r="A8" s="6" t="s">
        <v>226</v>
      </c>
      <c r="B8" s="20" t="s">
        <v>1062</v>
      </c>
      <c r="D8" s="11" t="n">
        <f aca="false">MONTH(D7)</f>
        <v>11</v>
      </c>
      <c r="E8" s="11" t="n">
        <f aca="false">MONTH(E7)</f>
        <v>12</v>
      </c>
      <c r="F8" s="11" t="n">
        <f aca="false">MONTH(F7)</f>
        <v>1</v>
      </c>
      <c r="G8" s="11" t="n">
        <f aca="false">MONTH(G7)</f>
        <v>2</v>
      </c>
      <c r="H8" s="11" t="n">
        <f aca="false">MONTH(H7)</f>
        <v>3</v>
      </c>
      <c r="I8" s="11" t="n">
        <f aca="false">MONTH(I7)</f>
        <v>4</v>
      </c>
      <c r="J8" s="11" t="n">
        <f aca="false">MONTH(J7)</f>
        <v>5</v>
      </c>
      <c r="K8" s="11" t="n">
        <f aca="false">MONTH(K7)</f>
        <v>6</v>
      </c>
      <c r="L8" s="11" t="n">
        <f aca="false">MONTH(L7)</f>
        <v>7</v>
      </c>
      <c r="M8" s="11" t="n">
        <f aca="false">MONTH(M7)</f>
        <v>8</v>
      </c>
      <c r="N8" s="11" t="n">
        <f aca="false">MONTH(N7)</f>
        <v>9</v>
      </c>
      <c r="O8" s="11" t="n">
        <f aca="false">MONTH(O7)</f>
        <v>10</v>
      </c>
      <c r="P8" s="11" t="n">
        <f aca="false">MONTH(P7)</f>
        <v>11</v>
      </c>
      <c r="Q8" s="11" t="n">
        <f aca="false">MONTH(Q7)</f>
        <v>12</v>
      </c>
      <c r="R8" s="11" t="n">
        <f aca="false">MONTH(R7)</f>
        <v>1</v>
      </c>
      <c r="S8" s="11" t="n">
        <f aca="false">MONTH(S7)</f>
        <v>2</v>
      </c>
      <c r="T8" s="11" t="n">
        <f aca="false">MONTH(T7)</f>
        <v>3</v>
      </c>
      <c r="U8" s="11" t="n">
        <f aca="false">MONTH(U7)</f>
        <v>4</v>
      </c>
      <c r="V8" s="11" t="n">
        <f aca="false">MONTH(V7)</f>
        <v>5</v>
      </c>
      <c r="W8" s="11" t="n">
        <f aca="false">MONTH(W7)</f>
        <v>6</v>
      </c>
      <c r="X8" s="11" t="n">
        <f aca="false">MONTH(X7)</f>
        <v>7</v>
      </c>
      <c r="Y8" s="11" t="n">
        <f aca="false">MONTH(Y7)</f>
        <v>8</v>
      </c>
      <c r="Z8" s="11" t="n">
        <f aca="false">MONTH(Z7)</f>
        <v>9</v>
      </c>
      <c r="AA8" s="11" t="n">
        <f aca="false">MONTH(AA7)</f>
        <v>10</v>
      </c>
      <c r="AB8" s="11" t="n">
        <f aca="false">MONTH(AB7)</f>
        <v>11</v>
      </c>
      <c r="AC8" s="11" t="n">
        <f aca="false">MONTH(AC7)</f>
        <v>12</v>
      </c>
      <c r="AD8" s="11" t="n">
        <f aca="false">MONTH(AD7)</f>
        <v>1</v>
      </c>
      <c r="AE8" s="11" t="n">
        <f aca="false">MONTH(AE7)</f>
        <v>2</v>
      </c>
      <c r="AF8" s="11" t="n">
        <f aca="false">MONTH(AF7)</f>
        <v>3</v>
      </c>
      <c r="AG8" s="11" t="n">
        <f aca="false">MONTH(AG7)</f>
        <v>4</v>
      </c>
      <c r="AH8" s="11" t="n">
        <f aca="false">MONTH(AH7)</f>
        <v>5</v>
      </c>
      <c r="AI8" s="11" t="n">
        <f aca="false">MONTH(AI7)</f>
        <v>6</v>
      </c>
      <c r="AJ8" s="11" t="n">
        <f aca="false">MONTH(AJ7)</f>
        <v>7</v>
      </c>
      <c r="AK8" s="11" t="n">
        <f aca="false">MONTH(AK7)</f>
        <v>8</v>
      </c>
      <c r="AL8" s="11" t="n">
        <f aca="false">MONTH(AL7)</f>
        <v>9</v>
      </c>
      <c r="AM8" s="11" t="n">
        <f aca="false">MONTH(AM7)</f>
        <v>10</v>
      </c>
    </row>
    <row r="9" customFormat="false" ht="15" hidden="false" customHeight="false" outlineLevel="0" collapsed="false">
      <c r="A9" s="6" t="s">
        <v>1063</v>
      </c>
      <c r="B9" s="20" t="s">
        <v>103</v>
      </c>
      <c r="D9" s="68" t="n">
        <f aca="false">INDEX(Inputs!$B$68:$B$79,D8)</f>
        <v>1.3</v>
      </c>
      <c r="E9" s="68" t="n">
        <f aca="false">INDEX(Inputs!$B$68:$B$79,E8)</f>
        <v>1.9</v>
      </c>
      <c r="F9" s="68" t="n">
        <f aca="false">INDEX(Inputs!$B$68:$B$79,F8)</f>
        <v>0.7</v>
      </c>
      <c r="G9" s="68" t="n">
        <f aca="false">INDEX(Inputs!$B$68:$B$79,G8)</f>
        <v>1.3</v>
      </c>
      <c r="H9" s="68" t="n">
        <f aca="false">INDEX(Inputs!$B$68:$B$79,H8)</f>
        <v>0.85</v>
      </c>
      <c r="I9" s="68" t="n">
        <f aca="false">INDEX(Inputs!$B$68:$B$79,I8)</f>
        <v>0.9</v>
      </c>
      <c r="J9" s="68" t="n">
        <f aca="false">INDEX(Inputs!$B$68:$B$79,J8)</f>
        <v>1.4</v>
      </c>
      <c r="K9" s="68" t="n">
        <f aca="false">INDEX(Inputs!$B$68:$B$79,K8)</f>
        <v>1.05</v>
      </c>
      <c r="L9" s="68" t="n">
        <f aca="false">INDEX(Inputs!$B$68:$B$79,L8)</f>
        <v>0.85</v>
      </c>
      <c r="M9" s="68" t="n">
        <f aca="false">INDEX(Inputs!$B$68:$B$79,M8)</f>
        <v>0.9</v>
      </c>
      <c r="N9" s="68" t="n">
        <f aca="false">INDEX(Inputs!$B$68:$B$79,N8)</f>
        <v>0.95</v>
      </c>
      <c r="O9" s="68" t="n">
        <f aca="false">INDEX(Inputs!$B$68:$B$79,O8)</f>
        <v>1</v>
      </c>
      <c r="P9" s="68" t="n">
        <f aca="false">INDEX(Inputs!$B$68:$B$79,P8)</f>
        <v>1.3</v>
      </c>
      <c r="Q9" s="68" t="n">
        <f aca="false">INDEX(Inputs!$B$68:$B$79,Q8)</f>
        <v>1.9</v>
      </c>
      <c r="R9" s="68" t="n">
        <f aca="false">INDEX(Inputs!$B$68:$B$79,R8)</f>
        <v>0.7</v>
      </c>
      <c r="S9" s="68" t="n">
        <f aca="false">INDEX(Inputs!$B$68:$B$79,S8)</f>
        <v>1.3</v>
      </c>
      <c r="T9" s="68" t="n">
        <f aca="false">INDEX(Inputs!$B$68:$B$79,T8)</f>
        <v>0.85</v>
      </c>
      <c r="U9" s="68" t="n">
        <f aca="false">INDEX(Inputs!$B$68:$B$79,U8)</f>
        <v>0.9</v>
      </c>
      <c r="V9" s="68" t="n">
        <f aca="false">INDEX(Inputs!$B$68:$B$79,V8)</f>
        <v>1.4</v>
      </c>
      <c r="W9" s="68" t="n">
        <f aca="false">INDEX(Inputs!$B$68:$B$79,W8)</f>
        <v>1.05</v>
      </c>
      <c r="X9" s="68" t="n">
        <f aca="false">INDEX(Inputs!$B$68:$B$79,X8)</f>
        <v>0.85</v>
      </c>
      <c r="Y9" s="68" t="n">
        <f aca="false">INDEX(Inputs!$B$68:$B$79,Y8)</f>
        <v>0.9</v>
      </c>
      <c r="Z9" s="68" t="n">
        <f aca="false">INDEX(Inputs!$B$68:$B$79,Z8)</f>
        <v>0.95</v>
      </c>
      <c r="AA9" s="68" t="n">
        <f aca="false">INDEX(Inputs!$B$68:$B$79,AA8)</f>
        <v>1</v>
      </c>
      <c r="AB9" s="68" t="n">
        <f aca="false">INDEX(Inputs!$B$68:$B$79,AB8)</f>
        <v>1.3</v>
      </c>
      <c r="AC9" s="68" t="n">
        <f aca="false">INDEX(Inputs!$B$68:$B$79,AC8)</f>
        <v>1.9</v>
      </c>
      <c r="AD9" s="68" t="n">
        <f aca="false">INDEX(Inputs!$B$68:$B$79,AD8)</f>
        <v>0.7</v>
      </c>
      <c r="AE9" s="68" t="n">
        <f aca="false">INDEX(Inputs!$B$68:$B$79,AE8)</f>
        <v>1.3</v>
      </c>
      <c r="AF9" s="68" t="n">
        <f aca="false">INDEX(Inputs!$B$68:$B$79,AF8)</f>
        <v>0.85</v>
      </c>
      <c r="AG9" s="68" t="n">
        <f aca="false">INDEX(Inputs!$B$68:$B$79,AG8)</f>
        <v>0.9</v>
      </c>
      <c r="AH9" s="68" t="n">
        <f aca="false">INDEX(Inputs!$B$68:$B$79,AH8)</f>
        <v>1.4</v>
      </c>
      <c r="AI9" s="68" t="n">
        <f aca="false">INDEX(Inputs!$B$68:$B$79,AI8)</f>
        <v>1.05</v>
      </c>
      <c r="AJ9" s="68" t="n">
        <f aca="false">INDEX(Inputs!$B$68:$B$79,AJ8)</f>
        <v>0.85</v>
      </c>
      <c r="AK9" s="68" t="n">
        <f aca="false">INDEX(Inputs!$B$68:$B$79,AK8)</f>
        <v>0.9</v>
      </c>
      <c r="AL9" s="68" t="n">
        <f aca="false">INDEX(Inputs!$B$68:$B$79,AL8)</f>
        <v>0.95</v>
      </c>
      <c r="AM9" s="68" t="n">
        <f aca="false">INDEX(Inputs!$B$68:$B$79,AM8)</f>
        <v>1</v>
      </c>
      <c r="AO9" s="68" t="n">
        <f aca="false">AVERAGE(D9:O9)</f>
        <v>1.09166666666667</v>
      </c>
      <c r="AP9" s="68" t="n">
        <f aca="false">AVERAGE(P9:AA9)</f>
        <v>1.09166666666667</v>
      </c>
      <c r="AQ9" s="68" t="n">
        <f aca="false">AVERAGE(AB9:AM9)</f>
        <v>1.09166666666667</v>
      </c>
    </row>
    <row r="10" customFormat="false" ht="15" hidden="false" customHeight="false" outlineLevel="0" collapsed="false">
      <c r="A10" s="6" t="s">
        <v>1064</v>
      </c>
      <c r="B10" s="20" t="s">
        <v>103</v>
      </c>
      <c r="D10" s="68" t="n">
        <f aca="false">1+(D9-1)*Inputs!$B$16</f>
        <v>1.15</v>
      </c>
      <c r="E10" s="68" t="n">
        <f aca="false">1+(E9-1)*Inputs!$B$16</f>
        <v>1.45</v>
      </c>
      <c r="F10" s="68" t="n">
        <f aca="false">1+(F9-1)*Inputs!$B$16</f>
        <v>0.85</v>
      </c>
      <c r="G10" s="68" t="n">
        <f aca="false">1+(G9-1)*Inputs!$B$16</f>
        <v>1.15</v>
      </c>
      <c r="H10" s="68" t="n">
        <f aca="false">1+(H9-1)*Inputs!$B$16</f>
        <v>0.925</v>
      </c>
      <c r="I10" s="68" t="n">
        <f aca="false">1+(I9-1)*Inputs!$B$16</f>
        <v>0.95</v>
      </c>
      <c r="J10" s="68" t="n">
        <f aca="false">1+(J9-1)*Inputs!$B$16</f>
        <v>1.2</v>
      </c>
      <c r="K10" s="68" t="n">
        <f aca="false">1+(K9-1)*Inputs!$B$16</f>
        <v>1.025</v>
      </c>
      <c r="L10" s="68" t="n">
        <f aca="false">1+(L9-1)*Inputs!$B$16</f>
        <v>0.925</v>
      </c>
      <c r="M10" s="68" t="n">
        <f aca="false">1+(M9-1)*Inputs!$B$16</f>
        <v>0.95</v>
      </c>
      <c r="N10" s="68" t="n">
        <f aca="false">1+(N9-1)*Inputs!$B$16</f>
        <v>0.975</v>
      </c>
      <c r="O10" s="68" t="n">
        <f aca="false">1+(O9-1)*Inputs!$B$16</f>
        <v>1</v>
      </c>
      <c r="P10" s="68" t="n">
        <f aca="false">1+(P9-1)*Inputs!$B$16</f>
        <v>1.15</v>
      </c>
      <c r="Q10" s="68" t="n">
        <f aca="false">1+(Q9-1)*Inputs!$B$16</f>
        <v>1.45</v>
      </c>
      <c r="R10" s="68" t="n">
        <f aca="false">1+(R9-1)*Inputs!$B$16</f>
        <v>0.85</v>
      </c>
      <c r="S10" s="68" t="n">
        <f aca="false">1+(S9-1)*Inputs!$B$16</f>
        <v>1.15</v>
      </c>
      <c r="T10" s="68" t="n">
        <f aca="false">1+(T9-1)*Inputs!$B$16</f>
        <v>0.925</v>
      </c>
      <c r="U10" s="68" t="n">
        <f aca="false">1+(U9-1)*Inputs!$B$16</f>
        <v>0.95</v>
      </c>
      <c r="V10" s="68" t="n">
        <f aca="false">1+(V9-1)*Inputs!$B$16</f>
        <v>1.2</v>
      </c>
      <c r="W10" s="68" t="n">
        <f aca="false">1+(W9-1)*Inputs!$B$16</f>
        <v>1.025</v>
      </c>
      <c r="X10" s="68" t="n">
        <f aca="false">1+(X9-1)*Inputs!$B$16</f>
        <v>0.925</v>
      </c>
      <c r="Y10" s="68" t="n">
        <f aca="false">1+(Y9-1)*Inputs!$B$16</f>
        <v>0.95</v>
      </c>
      <c r="Z10" s="68" t="n">
        <f aca="false">1+(Z9-1)*Inputs!$B$16</f>
        <v>0.975</v>
      </c>
      <c r="AA10" s="68" t="n">
        <f aca="false">1+(AA9-1)*Inputs!$B$16</f>
        <v>1</v>
      </c>
      <c r="AB10" s="68" t="n">
        <f aca="false">1+(AB9-1)*Inputs!$B$16</f>
        <v>1.15</v>
      </c>
      <c r="AC10" s="68" t="n">
        <f aca="false">1+(AC9-1)*Inputs!$B$16</f>
        <v>1.45</v>
      </c>
      <c r="AD10" s="68" t="n">
        <f aca="false">1+(AD9-1)*Inputs!$B$16</f>
        <v>0.85</v>
      </c>
      <c r="AE10" s="68" t="n">
        <f aca="false">1+(AE9-1)*Inputs!$B$16</f>
        <v>1.15</v>
      </c>
      <c r="AF10" s="68" t="n">
        <f aca="false">1+(AF9-1)*Inputs!$B$16</f>
        <v>0.925</v>
      </c>
      <c r="AG10" s="68" t="n">
        <f aca="false">1+(AG9-1)*Inputs!$B$16</f>
        <v>0.95</v>
      </c>
      <c r="AH10" s="68" t="n">
        <f aca="false">1+(AH9-1)*Inputs!$B$16</f>
        <v>1.2</v>
      </c>
      <c r="AI10" s="68" t="n">
        <f aca="false">1+(AI9-1)*Inputs!$B$16</f>
        <v>1.025</v>
      </c>
      <c r="AJ10" s="68" t="n">
        <f aca="false">1+(AJ9-1)*Inputs!$B$16</f>
        <v>0.925</v>
      </c>
      <c r="AK10" s="68" t="n">
        <f aca="false">1+(AK9-1)*Inputs!$B$16</f>
        <v>0.95</v>
      </c>
      <c r="AL10" s="68" t="n">
        <f aca="false">1+(AL9-1)*Inputs!$B$16</f>
        <v>0.975</v>
      </c>
      <c r="AM10" s="68" t="n">
        <f aca="false">1+(AM9-1)*Inputs!$B$16</f>
        <v>1</v>
      </c>
      <c r="AO10" s="68" t="n">
        <f aca="false">AVERAGE(D10:O10)</f>
        <v>1.04583333333333</v>
      </c>
      <c r="AP10" s="68" t="n">
        <f aca="false">AVERAGE(P10:AA10)</f>
        <v>1.04583333333333</v>
      </c>
      <c r="AQ10" s="68" t="n">
        <f aca="false">AVERAGE(AB10:AM10)</f>
        <v>1.04583333333333</v>
      </c>
    </row>
    <row r="11" customFormat="false" ht="15" hidden="false" customHeight="false" outlineLevel="0" collapsed="false">
      <c r="A11" s="23" t="s">
        <v>1065</v>
      </c>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row>
    <row r="12" customFormat="false" ht="15" hidden="false" customHeight="false" outlineLevel="0" collapsed="false">
      <c r="A12" s="3" t="s">
        <v>1066</v>
      </c>
      <c r="B12" s="20" t="s">
        <v>61</v>
      </c>
      <c r="D12" s="8" t="n">
        <f aca="false">MIN(Inputs!$B$28,Inputs!$B$26*(1+Inputs!$B$27)^(D6-1))*Scenarios!$B$12*(1+Inputs!$B$29*(D9-1))</f>
        <v>7475</v>
      </c>
      <c r="E12" s="8" t="n">
        <f aca="false">MIN(Inputs!$B$28,Inputs!$B$26*(1+Inputs!$B$27)^(E6-1))*Scenarios!$B$12*(1+Inputs!$B$29*(E9-1))</f>
        <v>9425</v>
      </c>
      <c r="F12" s="8" t="n">
        <f aca="false">MIN(Inputs!$B$28,Inputs!$B$26*(1+Inputs!$B$27)^(F6-1))*Scenarios!$B$12*(1+Inputs!$B$29*(F9-1))</f>
        <v>5525</v>
      </c>
      <c r="G12" s="8" t="n">
        <f aca="false">MIN(Inputs!$B$28,Inputs!$B$26*(1+Inputs!$B$27)^(G6-1))*Scenarios!$B$12*(1+Inputs!$B$29*(G9-1))</f>
        <v>7475</v>
      </c>
      <c r="H12" s="8" t="n">
        <f aca="false">MIN(Inputs!$B$28,Inputs!$B$26*(1+Inputs!$B$27)^(H6-1))*Scenarios!$B$12*(1+Inputs!$B$29*(H9-1))</f>
        <v>6012.5</v>
      </c>
      <c r="I12" s="8" t="n">
        <f aca="false">MIN(Inputs!$B$28,Inputs!$B$26*(1+Inputs!$B$27)^(I6-1))*Scenarios!$B$12*(1+Inputs!$B$29*(I9-1))</f>
        <v>6175</v>
      </c>
      <c r="J12" s="8" t="n">
        <f aca="false">MIN(Inputs!$B$28,Inputs!$B$26*(1+Inputs!$B$27)^(J6-1))*Scenarios!$B$12*(1+Inputs!$B$29*(J9-1))</f>
        <v>7800</v>
      </c>
      <c r="K12" s="8" t="n">
        <f aca="false">MIN(Inputs!$B$28,Inputs!$B$26*(1+Inputs!$B$27)^(K6-1))*Scenarios!$B$12*(1+Inputs!$B$29*(K9-1))</f>
        <v>6662.5</v>
      </c>
      <c r="L12" s="8" t="n">
        <f aca="false">MIN(Inputs!$B$28,Inputs!$B$26*(1+Inputs!$B$27)^(L6-1))*Scenarios!$B$12*(1+Inputs!$B$29*(L9-1))</f>
        <v>6012.5</v>
      </c>
      <c r="M12" s="8" t="n">
        <f aca="false">MIN(Inputs!$B$28,Inputs!$B$26*(1+Inputs!$B$27)^(M6-1))*Scenarios!$B$12*(1+Inputs!$B$29*(M9-1))</f>
        <v>6175</v>
      </c>
      <c r="N12" s="8" t="n">
        <f aca="false">MIN(Inputs!$B$28,Inputs!$B$26*(1+Inputs!$B$27)^(N6-1))*Scenarios!$B$12*(1+Inputs!$B$29*(N9-1))</f>
        <v>6337.5</v>
      </c>
      <c r="O12" s="8" t="n">
        <f aca="false">MIN(Inputs!$B$28,Inputs!$B$26*(1+Inputs!$B$27)^(O6-1))*Scenarios!$B$12*(1+Inputs!$B$29*(O9-1))</f>
        <v>6500</v>
      </c>
      <c r="P12" s="8" t="n">
        <f aca="false">MIN(Inputs!$B$28,Inputs!$B$26*(1+Inputs!$B$27)^(P6-1))*Scenarios!$B$12*(1+Inputs!$B$29*(P9-1))</f>
        <v>7475</v>
      </c>
      <c r="Q12" s="8" t="n">
        <f aca="false">MIN(Inputs!$B$28,Inputs!$B$26*(1+Inputs!$B$27)^(Q6-1))*Scenarios!$B$12*(1+Inputs!$B$29*(Q9-1))</f>
        <v>9425</v>
      </c>
      <c r="R12" s="8" t="n">
        <f aca="false">MIN(Inputs!$B$28,Inputs!$B$26*(1+Inputs!$B$27)^(R6-1))*Scenarios!$B$12*(1+Inputs!$B$29*(R9-1))</f>
        <v>5525</v>
      </c>
      <c r="S12" s="8" t="n">
        <f aca="false">MIN(Inputs!$B$28,Inputs!$B$26*(1+Inputs!$B$27)^(S6-1))*Scenarios!$B$12*(1+Inputs!$B$29*(S9-1))</f>
        <v>7475</v>
      </c>
      <c r="T12" s="8" t="n">
        <f aca="false">MIN(Inputs!$B$28,Inputs!$B$26*(1+Inputs!$B$27)^(T6-1))*Scenarios!$B$12*(1+Inputs!$B$29*(T9-1))</f>
        <v>6012.5</v>
      </c>
      <c r="U12" s="8" t="n">
        <f aca="false">MIN(Inputs!$B$28,Inputs!$B$26*(1+Inputs!$B$27)^(U6-1))*Scenarios!$B$12*(1+Inputs!$B$29*(U9-1))</f>
        <v>6175</v>
      </c>
      <c r="V12" s="8" t="n">
        <f aca="false">MIN(Inputs!$B$28,Inputs!$B$26*(1+Inputs!$B$27)^(V6-1))*Scenarios!$B$12*(1+Inputs!$B$29*(V9-1))</f>
        <v>7800</v>
      </c>
      <c r="W12" s="8" t="n">
        <f aca="false">MIN(Inputs!$B$28,Inputs!$B$26*(1+Inputs!$B$27)^(W6-1))*Scenarios!$B$12*(1+Inputs!$B$29*(W9-1))</f>
        <v>6662.5</v>
      </c>
      <c r="X12" s="8" t="n">
        <f aca="false">MIN(Inputs!$B$28,Inputs!$B$26*(1+Inputs!$B$27)^(X6-1))*Scenarios!$B$12*(1+Inputs!$B$29*(X9-1))</f>
        <v>6012.5</v>
      </c>
      <c r="Y12" s="8" t="n">
        <f aca="false">MIN(Inputs!$B$28,Inputs!$B$26*(1+Inputs!$B$27)^(Y6-1))*Scenarios!$B$12*(1+Inputs!$B$29*(Y9-1))</f>
        <v>6175</v>
      </c>
      <c r="Z12" s="8" t="n">
        <f aca="false">MIN(Inputs!$B$28,Inputs!$B$26*(1+Inputs!$B$27)^(Z6-1))*Scenarios!$B$12*(1+Inputs!$B$29*(Z9-1))</f>
        <v>6337.5</v>
      </c>
      <c r="AA12" s="8" t="n">
        <f aca="false">MIN(Inputs!$B$28,Inputs!$B$26*(1+Inputs!$B$27)^(AA6-1))*Scenarios!$B$12*(1+Inputs!$B$29*(AA9-1))</f>
        <v>6500</v>
      </c>
      <c r="AB12" s="8" t="n">
        <f aca="false">MIN(Inputs!$B$28,Inputs!$B$26*(1+Inputs!$B$27)^(AB6-1))*Scenarios!$B$12*(1+Inputs!$B$29*(AB9-1))</f>
        <v>7475</v>
      </c>
      <c r="AC12" s="8" t="n">
        <f aca="false">MIN(Inputs!$B$28,Inputs!$B$26*(1+Inputs!$B$27)^(AC6-1))*Scenarios!$B$12*(1+Inputs!$B$29*(AC9-1))</f>
        <v>9425</v>
      </c>
      <c r="AD12" s="8" t="n">
        <f aca="false">MIN(Inputs!$B$28,Inputs!$B$26*(1+Inputs!$B$27)^(AD6-1))*Scenarios!$B$12*(1+Inputs!$B$29*(AD9-1))</f>
        <v>5525</v>
      </c>
      <c r="AE12" s="8" t="n">
        <f aca="false">MIN(Inputs!$B$28,Inputs!$B$26*(1+Inputs!$B$27)^(AE6-1))*Scenarios!$B$12*(1+Inputs!$B$29*(AE9-1))</f>
        <v>7475</v>
      </c>
      <c r="AF12" s="8" t="n">
        <f aca="false">MIN(Inputs!$B$28,Inputs!$B$26*(1+Inputs!$B$27)^(AF6-1))*Scenarios!$B$12*(1+Inputs!$B$29*(AF9-1))</f>
        <v>6012.5</v>
      </c>
      <c r="AG12" s="8" t="n">
        <f aca="false">MIN(Inputs!$B$28,Inputs!$B$26*(1+Inputs!$B$27)^(AG6-1))*Scenarios!$B$12*(1+Inputs!$B$29*(AG9-1))</f>
        <v>6175</v>
      </c>
      <c r="AH12" s="8" t="n">
        <f aca="false">MIN(Inputs!$B$28,Inputs!$B$26*(1+Inputs!$B$27)^(AH6-1))*Scenarios!$B$12*(1+Inputs!$B$29*(AH9-1))</f>
        <v>7800</v>
      </c>
      <c r="AI12" s="8" t="n">
        <f aca="false">MIN(Inputs!$B$28,Inputs!$B$26*(1+Inputs!$B$27)^(AI6-1))*Scenarios!$B$12*(1+Inputs!$B$29*(AI9-1))</f>
        <v>6662.5</v>
      </c>
      <c r="AJ12" s="8" t="n">
        <f aca="false">MIN(Inputs!$B$28,Inputs!$B$26*(1+Inputs!$B$27)^(AJ6-1))*Scenarios!$B$12*(1+Inputs!$B$29*(AJ9-1))</f>
        <v>6012.5</v>
      </c>
      <c r="AK12" s="8" t="n">
        <f aca="false">MIN(Inputs!$B$28,Inputs!$B$26*(1+Inputs!$B$27)^(AK6-1))*Scenarios!$B$12*(1+Inputs!$B$29*(AK9-1))</f>
        <v>6175</v>
      </c>
      <c r="AL12" s="8" t="n">
        <f aca="false">MIN(Inputs!$B$28,Inputs!$B$26*(1+Inputs!$B$27)^(AL6-1))*Scenarios!$B$12*(1+Inputs!$B$29*(AL9-1))</f>
        <v>6337.5</v>
      </c>
      <c r="AM12" s="8" t="n">
        <f aca="false">MIN(Inputs!$B$28,Inputs!$B$26*(1+Inputs!$B$27)^(AM6-1))*Scenarios!$B$12*(1+Inputs!$B$29*(AM9-1))</f>
        <v>6500</v>
      </c>
      <c r="AO12" s="8" t="n">
        <f aca="false">SUM(D12:O12)</f>
        <v>81575</v>
      </c>
      <c r="AP12" s="8" t="n">
        <f aca="false">SUM(P12:AA12)</f>
        <v>81575</v>
      </c>
      <c r="AQ12" s="8" t="n">
        <f aca="false">SUM(AB12:AM12)</f>
        <v>81575</v>
      </c>
    </row>
    <row r="13" customFormat="false" ht="15" hidden="false" customHeight="false" outlineLevel="0" collapsed="false">
      <c r="A13" s="6" t="str">
        <f aca="false">"  Budget - "&amp;Inputs!A57</f>
        <v>  Budget - meta_instagram_ads</v>
      </c>
      <c r="B13" s="20" t="s">
        <v>61</v>
      </c>
      <c r="D13" s="12" t="n">
        <f aca="false">D12*'Unit Economics'!$B$15</f>
        <v>2300</v>
      </c>
      <c r="E13" s="12" t="n">
        <f aca="false">E12*'Unit Economics'!$B$15</f>
        <v>2900</v>
      </c>
      <c r="F13" s="12" t="n">
        <f aca="false">F12*'Unit Economics'!$B$15</f>
        <v>1700</v>
      </c>
      <c r="G13" s="12" t="n">
        <f aca="false">G12*'Unit Economics'!$B$15</f>
        <v>2300</v>
      </c>
      <c r="H13" s="12" t="n">
        <f aca="false">H12*'Unit Economics'!$B$15</f>
        <v>1850</v>
      </c>
      <c r="I13" s="12" t="n">
        <f aca="false">I12*'Unit Economics'!$B$15</f>
        <v>1900</v>
      </c>
      <c r="J13" s="12" t="n">
        <f aca="false">J12*'Unit Economics'!$B$15</f>
        <v>2400</v>
      </c>
      <c r="K13" s="12" t="n">
        <f aca="false">K12*'Unit Economics'!$B$15</f>
        <v>2050</v>
      </c>
      <c r="L13" s="12" t="n">
        <f aca="false">L12*'Unit Economics'!$B$15</f>
        <v>1850</v>
      </c>
      <c r="M13" s="12" t="n">
        <f aca="false">M12*'Unit Economics'!$B$15</f>
        <v>1900</v>
      </c>
      <c r="N13" s="12" t="n">
        <f aca="false">N12*'Unit Economics'!$B$15</f>
        <v>1950</v>
      </c>
      <c r="O13" s="12" t="n">
        <f aca="false">O12*'Unit Economics'!$B$15</f>
        <v>2000</v>
      </c>
      <c r="P13" s="12" t="n">
        <f aca="false">P12*'Unit Economics'!$B$15</f>
        <v>2300</v>
      </c>
      <c r="Q13" s="12" t="n">
        <f aca="false">Q12*'Unit Economics'!$B$15</f>
        <v>2900</v>
      </c>
      <c r="R13" s="12" t="n">
        <f aca="false">R12*'Unit Economics'!$B$15</f>
        <v>1700</v>
      </c>
      <c r="S13" s="12" t="n">
        <f aca="false">S12*'Unit Economics'!$B$15</f>
        <v>2300</v>
      </c>
      <c r="T13" s="12" t="n">
        <f aca="false">T12*'Unit Economics'!$B$15</f>
        <v>1850</v>
      </c>
      <c r="U13" s="12" t="n">
        <f aca="false">U12*'Unit Economics'!$B$15</f>
        <v>1900</v>
      </c>
      <c r="V13" s="12" t="n">
        <f aca="false">V12*'Unit Economics'!$B$15</f>
        <v>2400</v>
      </c>
      <c r="W13" s="12" t="n">
        <f aca="false">W12*'Unit Economics'!$B$15</f>
        <v>2050</v>
      </c>
      <c r="X13" s="12" t="n">
        <f aca="false">X12*'Unit Economics'!$B$15</f>
        <v>1850</v>
      </c>
      <c r="Y13" s="12" t="n">
        <f aca="false">Y12*'Unit Economics'!$B$15</f>
        <v>1900</v>
      </c>
      <c r="Z13" s="12" t="n">
        <f aca="false">Z12*'Unit Economics'!$B$15</f>
        <v>1950</v>
      </c>
      <c r="AA13" s="12" t="n">
        <f aca="false">AA12*'Unit Economics'!$B$15</f>
        <v>2000</v>
      </c>
      <c r="AB13" s="12" t="n">
        <f aca="false">AB12*'Unit Economics'!$B$15</f>
        <v>2300</v>
      </c>
      <c r="AC13" s="12" t="n">
        <f aca="false">AC12*'Unit Economics'!$B$15</f>
        <v>2900</v>
      </c>
      <c r="AD13" s="12" t="n">
        <f aca="false">AD12*'Unit Economics'!$B$15</f>
        <v>1700</v>
      </c>
      <c r="AE13" s="12" t="n">
        <f aca="false">AE12*'Unit Economics'!$B$15</f>
        <v>2300</v>
      </c>
      <c r="AF13" s="12" t="n">
        <f aca="false">AF12*'Unit Economics'!$B$15</f>
        <v>1850</v>
      </c>
      <c r="AG13" s="12" t="n">
        <f aca="false">AG12*'Unit Economics'!$B$15</f>
        <v>1900</v>
      </c>
      <c r="AH13" s="12" t="n">
        <f aca="false">AH12*'Unit Economics'!$B$15</f>
        <v>2400</v>
      </c>
      <c r="AI13" s="12" t="n">
        <f aca="false">AI12*'Unit Economics'!$B$15</f>
        <v>2050</v>
      </c>
      <c r="AJ13" s="12" t="n">
        <f aca="false">AJ12*'Unit Economics'!$B$15</f>
        <v>1850</v>
      </c>
      <c r="AK13" s="12" t="n">
        <f aca="false">AK12*'Unit Economics'!$B$15</f>
        <v>1900</v>
      </c>
      <c r="AL13" s="12" t="n">
        <f aca="false">AL12*'Unit Economics'!$B$15</f>
        <v>1950</v>
      </c>
      <c r="AM13" s="12" t="n">
        <f aca="false">AM12*'Unit Economics'!$B$15</f>
        <v>2000</v>
      </c>
      <c r="AO13" s="12" t="n">
        <f aca="false">SUM(D13:O13)</f>
        <v>25100</v>
      </c>
      <c r="AP13" s="12" t="n">
        <f aca="false">SUM(P13:AA13)</f>
        <v>25100</v>
      </c>
      <c r="AQ13" s="12" t="n">
        <f aca="false">SUM(AB13:AM13)</f>
        <v>25100</v>
      </c>
    </row>
    <row r="14" customFormat="false" ht="15" hidden="false" customHeight="false" outlineLevel="0" collapsed="false">
      <c r="A14" s="6" t="str">
        <f aca="false">"  Budget - "&amp;Inputs!A58</f>
        <v>  Budget - pinterest_ads</v>
      </c>
      <c r="B14" s="20" t="s">
        <v>61</v>
      </c>
      <c r="D14" s="12" t="n">
        <f aca="false">D12*'Unit Economics'!$B$16</f>
        <v>920</v>
      </c>
      <c r="E14" s="12" t="n">
        <f aca="false">E12*'Unit Economics'!$B$16</f>
        <v>1160</v>
      </c>
      <c r="F14" s="12" t="n">
        <f aca="false">F12*'Unit Economics'!$B$16</f>
        <v>680</v>
      </c>
      <c r="G14" s="12" t="n">
        <f aca="false">G12*'Unit Economics'!$B$16</f>
        <v>920</v>
      </c>
      <c r="H14" s="12" t="n">
        <f aca="false">H12*'Unit Economics'!$B$16</f>
        <v>740</v>
      </c>
      <c r="I14" s="12" t="n">
        <f aca="false">I12*'Unit Economics'!$B$16</f>
        <v>760</v>
      </c>
      <c r="J14" s="12" t="n">
        <f aca="false">J12*'Unit Economics'!$B$16</f>
        <v>960</v>
      </c>
      <c r="K14" s="12" t="n">
        <f aca="false">K12*'Unit Economics'!$B$16</f>
        <v>820</v>
      </c>
      <c r="L14" s="12" t="n">
        <f aca="false">L12*'Unit Economics'!$B$16</f>
        <v>740</v>
      </c>
      <c r="M14" s="12" t="n">
        <f aca="false">M12*'Unit Economics'!$B$16</f>
        <v>760</v>
      </c>
      <c r="N14" s="12" t="n">
        <f aca="false">N12*'Unit Economics'!$B$16</f>
        <v>780</v>
      </c>
      <c r="O14" s="12" t="n">
        <f aca="false">O12*'Unit Economics'!$B$16</f>
        <v>800</v>
      </c>
      <c r="P14" s="12" t="n">
        <f aca="false">P12*'Unit Economics'!$B$16</f>
        <v>920</v>
      </c>
      <c r="Q14" s="12" t="n">
        <f aca="false">Q12*'Unit Economics'!$B$16</f>
        <v>1160</v>
      </c>
      <c r="R14" s="12" t="n">
        <f aca="false">R12*'Unit Economics'!$B$16</f>
        <v>680</v>
      </c>
      <c r="S14" s="12" t="n">
        <f aca="false">S12*'Unit Economics'!$B$16</f>
        <v>920</v>
      </c>
      <c r="T14" s="12" t="n">
        <f aca="false">T12*'Unit Economics'!$B$16</f>
        <v>740</v>
      </c>
      <c r="U14" s="12" t="n">
        <f aca="false">U12*'Unit Economics'!$B$16</f>
        <v>760</v>
      </c>
      <c r="V14" s="12" t="n">
        <f aca="false">V12*'Unit Economics'!$B$16</f>
        <v>960</v>
      </c>
      <c r="W14" s="12" t="n">
        <f aca="false">W12*'Unit Economics'!$B$16</f>
        <v>820</v>
      </c>
      <c r="X14" s="12" t="n">
        <f aca="false">X12*'Unit Economics'!$B$16</f>
        <v>740</v>
      </c>
      <c r="Y14" s="12" t="n">
        <f aca="false">Y12*'Unit Economics'!$B$16</f>
        <v>760</v>
      </c>
      <c r="Z14" s="12" t="n">
        <f aca="false">Z12*'Unit Economics'!$B$16</f>
        <v>780</v>
      </c>
      <c r="AA14" s="12" t="n">
        <f aca="false">AA12*'Unit Economics'!$B$16</f>
        <v>800</v>
      </c>
      <c r="AB14" s="12" t="n">
        <f aca="false">AB12*'Unit Economics'!$B$16</f>
        <v>920</v>
      </c>
      <c r="AC14" s="12" t="n">
        <f aca="false">AC12*'Unit Economics'!$B$16</f>
        <v>1160</v>
      </c>
      <c r="AD14" s="12" t="n">
        <f aca="false">AD12*'Unit Economics'!$B$16</f>
        <v>680</v>
      </c>
      <c r="AE14" s="12" t="n">
        <f aca="false">AE12*'Unit Economics'!$B$16</f>
        <v>920</v>
      </c>
      <c r="AF14" s="12" t="n">
        <f aca="false">AF12*'Unit Economics'!$B$16</f>
        <v>740</v>
      </c>
      <c r="AG14" s="12" t="n">
        <f aca="false">AG12*'Unit Economics'!$B$16</f>
        <v>760</v>
      </c>
      <c r="AH14" s="12" t="n">
        <f aca="false">AH12*'Unit Economics'!$B$16</f>
        <v>960</v>
      </c>
      <c r="AI14" s="12" t="n">
        <f aca="false">AI12*'Unit Economics'!$B$16</f>
        <v>820</v>
      </c>
      <c r="AJ14" s="12" t="n">
        <f aca="false">AJ12*'Unit Economics'!$B$16</f>
        <v>740</v>
      </c>
      <c r="AK14" s="12" t="n">
        <f aca="false">AK12*'Unit Economics'!$B$16</f>
        <v>760</v>
      </c>
      <c r="AL14" s="12" t="n">
        <f aca="false">AL12*'Unit Economics'!$B$16</f>
        <v>780</v>
      </c>
      <c r="AM14" s="12" t="n">
        <f aca="false">AM12*'Unit Economics'!$B$16</f>
        <v>800</v>
      </c>
      <c r="AO14" s="12" t="n">
        <f aca="false">SUM(D14:O14)</f>
        <v>10040</v>
      </c>
      <c r="AP14" s="12" t="n">
        <f aca="false">SUM(P14:AA14)</f>
        <v>10040</v>
      </c>
      <c r="AQ14" s="12" t="n">
        <f aca="false">SUM(AB14:AM14)</f>
        <v>10040</v>
      </c>
    </row>
    <row r="15" customFormat="false" ht="15" hidden="false" customHeight="false" outlineLevel="0" collapsed="false">
      <c r="A15" s="6" t="str">
        <f aca="false">"  Budget - "&amp;Inputs!A59</f>
        <v>  Budget - google_search</v>
      </c>
      <c r="B15" s="20" t="s">
        <v>61</v>
      </c>
      <c r="D15" s="12" t="n">
        <f aca="false">D12*'Unit Economics'!$B$17</f>
        <v>920</v>
      </c>
      <c r="E15" s="12" t="n">
        <f aca="false">E12*'Unit Economics'!$B$17</f>
        <v>1160</v>
      </c>
      <c r="F15" s="12" t="n">
        <f aca="false">F12*'Unit Economics'!$B$17</f>
        <v>680</v>
      </c>
      <c r="G15" s="12" t="n">
        <f aca="false">G12*'Unit Economics'!$B$17</f>
        <v>920</v>
      </c>
      <c r="H15" s="12" t="n">
        <f aca="false">H12*'Unit Economics'!$B$17</f>
        <v>740</v>
      </c>
      <c r="I15" s="12" t="n">
        <f aca="false">I12*'Unit Economics'!$B$17</f>
        <v>760</v>
      </c>
      <c r="J15" s="12" t="n">
        <f aca="false">J12*'Unit Economics'!$B$17</f>
        <v>960</v>
      </c>
      <c r="K15" s="12" t="n">
        <f aca="false">K12*'Unit Economics'!$B$17</f>
        <v>820</v>
      </c>
      <c r="L15" s="12" t="n">
        <f aca="false">L12*'Unit Economics'!$B$17</f>
        <v>740</v>
      </c>
      <c r="M15" s="12" t="n">
        <f aca="false">M12*'Unit Economics'!$B$17</f>
        <v>760</v>
      </c>
      <c r="N15" s="12" t="n">
        <f aca="false">N12*'Unit Economics'!$B$17</f>
        <v>780</v>
      </c>
      <c r="O15" s="12" t="n">
        <f aca="false">O12*'Unit Economics'!$B$17</f>
        <v>800</v>
      </c>
      <c r="P15" s="12" t="n">
        <f aca="false">P12*'Unit Economics'!$B$17</f>
        <v>920</v>
      </c>
      <c r="Q15" s="12" t="n">
        <f aca="false">Q12*'Unit Economics'!$B$17</f>
        <v>1160</v>
      </c>
      <c r="R15" s="12" t="n">
        <f aca="false">R12*'Unit Economics'!$B$17</f>
        <v>680</v>
      </c>
      <c r="S15" s="12" t="n">
        <f aca="false">S12*'Unit Economics'!$B$17</f>
        <v>920</v>
      </c>
      <c r="T15" s="12" t="n">
        <f aca="false">T12*'Unit Economics'!$B$17</f>
        <v>740</v>
      </c>
      <c r="U15" s="12" t="n">
        <f aca="false">U12*'Unit Economics'!$B$17</f>
        <v>760</v>
      </c>
      <c r="V15" s="12" t="n">
        <f aca="false">V12*'Unit Economics'!$B$17</f>
        <v>960</v>
      </c>
      <c r="W15" s="12" t="n">
        <f aca="false">W12*'Unit Economics'!$B$17</f>
        <v>820</v>
      </c>
      <c r="X15" s="12" t="n">
        <f aca="false">X12*'Unit Economics'!$B$17</f>
        <v>740</v>
      </c>
      <c r="Y15" s="12" t="n">
        <f aca="false">Y12*'Unit Economics'!$B$17</f>
        <v>760</v>
      </c>
      <c r="Z15" s="12" t="n">
        <f aca="false">Z12*'Unit Economics'!$B$17</f>
        <v>780</v>
      </c>
      <c r="AA15" s="12" t="n">
        <f aca="false">AA12*'Unit Economics'!$B$17</f>
        <v>800</v>
      </c>
      <c r="AB15" s="12" t="n">
        <f aca="false">AB12*'Unit Economics'!$B$17</f>
        <v>920</v>
      </c>
      <c r="AC15" s="12" t="n">
        <f aca="false">AC12*'Unit Economics'!$B$17</f>
        <v>1160</v>
      </c>
      <c r="AD15" s="12" t="n">
        <f aca="false">AD12*'Unit Economics'!$B$17</f>
        <v>680</v>
      </c>
      <c r="AE15" s="12" t="n">
        <f aca="false">AE12*'Unit Economics'!$B$17</f>
        <v>920</v>
      </c>
      <c r="AF15" s="12" t="n">
        <f aca="false">AF12*'Unit Economics'!$B$17</f>
        <v>740</v>
      </c>
      <c r="AG15" s="12" t="n">
        <f aca="false">AG12*'Unit Economics'!$B$17</f>
        <v>760</v>
      </c>
      <c r="AH15" s="12" t="n">
        <f aca="false">AH12*'Unit Economics'!$B$17</f>
        <v>960</v>
      </c>
      <c r="AI15" s="12" t="n">
        <f aca="false">AI12*'Unit Economics'!$B$17</f>
        <v>820</v>
      </c>
      <c r="AJ15" s="12" t="n">
        <f aca="false">AJ12*'Unit Economics'!$B$17</f>
        <v>740</v>
      </c>
      <c r="AK15" s="12" t="n">
        <f aca="false">AK12*'Unit Economics'!$B$17</f>
        <v>760</v>
      </c>
      <c r="AL15" s="12" t="n">
        <f aca="false">AL12*'Unit Economics'!$B$17</f>
        <v>780</v>
      </c>
      <c r="AM15" s="12" t="n">
        <f aca="false">AM12*'Unit Economics'!$B$17</f>
        <v>800</v>
      </c>
      <c r="AO15" s="12" t="n">
        <f aca="false">SUM(D15:O15)</f>
        <v>10040</v>
      </c>
      <c r="AP15" s="12" t="n">
        <f aca="false">SUM(P15:AA15)</f>
        <v>10040</v>
      </c>
      <c r="AQ15" s="12" t="n">
        <f aca="false">SUM(AB15:AM15)</f>
        <v>10040</v>
      </c>
    </row>
    <row r="16" customFormat="false" ht="15" hidden="false" customHeight="false" outlineLevel="0" collapsed="false">
      <c r="A16" s="6" t="str">
        <f aca="false">"  Budget - "&amp;Inputs!A60</f>
        <v>  Budget - tiktok_ads</v>
      </c>
      <c r="B16" s="20" t="s">
        <v>61</v>
      </c>
      <c r="D16" s="12" t="n">
        <f aca="false">D12*'Unit Economics'!$B$18</f>
        <v>345</v>
      </c>
      <c r="E16" s="12" t="n">
        <f aca="false">E12*'Unit Economics'!$B$18</f>
        <v>435</v>
      </c>
      <c r="F16" s="12" t="n">
        <f aca="false">F12*'Unit Economics'!$B$18</f>
        <v>255</v>
      </c>
      <c r="G16" s="12" t="n">
        <f aca="false">G12*'Unit Economics'!$B$18</f>
        <v>345</v>
      </c>
      <c r="H16" s="12" t="n">
        <f aca="false">H12*'Unit Economics'!$B$18</f>
        <v>277.5</v>
      </c>
      <c r="I16" s="12" t="n">
        <f aca="false">I12*'Unit Economics'!$B$18</f>
        <v>285</v>
      </c>
      <c r="J16" s="12" t="n">
        <f aca="false">J12*'Unit Economics'!$B$18</f>
        <v>360</v>
      </c>
      <c r="K16" s="12" t="n">
        <f aca="false">K12*'Unit Economics'!$B$18</f>
        <v>307.5</v>
      </c>
      <c r="L16" s="12" t="n">
        <f aca="false">L12*'Unit Economics'!$B$18</f>
        <v>277.5</v>
      </c>
      <c r="M16" s="12" t="n">
        <f aca="false">M12*'Unit Economics'!$B$18</f>
        <v>285</v>
      </c>
      <c r="N16" s="12" t="n">
        <f aca="false">N12*'Unit Economics'!$B$18</f>
        <v>292.5</v>
      </c>
      <c r="O16" s="12" t="n">
        <f aca="false">O12*'Unit Economics'!$B$18</f>
        <v>300</v>
      </c>
      <c r="P16" s="12" t="n">
        <f aca="false">P12*'Unit Economics'!$B$18</f>
        <v>345</v>
      </c>
      <c r="Q16" s="12" t="n">
        <f aca="false">Q12*'Unit Economics'!$B$18</f>
        <v>435</v>
      </c>
      <c r="R16" s="12" t="n">
        <f aca="false">R12*'Unit Economics'!$B$18</f>
        <v>255</v>
      </c>
      <c r="S16" s="12" t="n">
        <f aca="false">S12*'Unit Economics'!$B$18</f>
        <v>345</v>
      </c>
      <c r="T16" s="12" t="n">
        <f aca="false">T12*'Unit Economics'!$B$18</f>
        <v>277.5</v>
      </c>
      <c r="U16" s="12" t="n">
        <f aca="false">U12*'Unit Economics'!$B$18</f>
        <v>285</v>
      </c>
      <c r="V16" s="12" t="n">
        <f aca="false">V12*'Unit Economics'!$B$18</f>
        <v>360</v>
      </c>
      <c r="W16" s="12" t="n">
        <f aca="false">W12*'Unit Economics'!$B$18</f>
        <v>307.5</v>
      </c>
      <c r="X16" s="12" t="n">
        <f aca="false">X12*'Unit Economics'!$B$18</f>
        <v>277.5</v>
      </c>
      <c r="Y16" s="12" t="n">
        <f aca="false">Y12*'Unit Economics'!$B$18</f>
        <v>285</v>
      </c>
      <c r="Z16" s="12" t="n">
        <f aca="false">Z12*'Unit Economics'!$B$18</f>
        <v>292.5</v>
      </c>
      <c r="AA16" s="12" t="n">
        <f aca="false">AA12*'Unit Economics'!$B$18</f>
        <v>300</v>
      </c>
      <c r="AB16" s="12" t="n">
        <f aca="false">AB12*'Unit Economics'!$B$18</f>
        <v>345</v>
      </c>
      <c r="AC16" s="12" t="n">
        <f aca="false">AC12*'Unit Economics'!$B$18</f>
        <v>435</v>
      </c>
      <c r="AD16" s="12" t="n">
        <f aca="false">AD12*'Unit Economics'!$B$18</f>
        <v>255</v>
      </c>
      <c r="AE16" s="12" t="n">
        <f aca="false">AE12*'Unit Economics'!$B$18</f>
        <v>345</v>
      </c>
      <c r="AF16" s="12" t="n">
        <f aca="false">AF12*'Unit Economics'!$B$18</f>
        <v>277.5</v>
      </c>
      <c r="AG16" s="12" t="n">
        <f aca="false">AG12*'Unit Economics'!$B$18</f>
        <v>285</v>
      </c>
      <c r="AH16" s="12" t="n">
        <f aca="false">AH12*'Unit Economics'!$B$18</f>
        <v>360</v>
      </c>
      <c r="AI16" s="12" t="n">
        <f aca="false">AI12*'Unit Economics'!$B$18</f>
        <v>307.5</v>
      </c>
      <c r="AJ16" s="12" t="n">
        <f aca="false">AJ12*'Unit Economics'!$B$18</f>
        <v>277.5</v>
      </c>
      <c r="AK16" s="12" t="n">
        <f aca="false">AK12*'Unit Economics'!$B$18</f>
        <v>285</v>
      </c>
      <c r="AL16" s="12" t="n">
        <f aca="false">AL12*'Unit Economics'!$B$18</f>
        <v>292.5</v>
      </c>
      <c r="AM16" s="12" t="n">
        <f aca="false">AM12*'Unit Economics'!$B$18</f>
        <v>300</v>
      </c>
      <c r="AO16" s="12" t="n">
        <f aca="false">SUM(D16:O16)</f>
        <v>3765</v>
      </c>
      <c r="AP16" s="12" t="n">
        <f aca="false">SUM(P16:AA16)</f>
        <v>3765</v>
      </c>
      <c r="AQ16" s="12" t="n">
        <f aca="false">SUM(AB16:AM16)</f>
        <v>3765</v>
      </c>
    </row>
    <row r="17" customFormat="false" ht="15" hidden="false" customHeight="false" outlineLevel="0" collapsed="false">
      <c r="A17" s="6" t="str">
        <f aca="false">"  Budget - "&amp;Inputs!A61</f>
        <v>  Budget - creators_affiliate</v>
      </c>
      <c r="B17" s="20" t="s">
        <v>61</v>
      </c>
      <c r="D17" s="12" t="n">
        <f aca="false">D12*'Unit Economics'!$B$19</f>
        <v>1610</v>
      </c>
      <c r="E17" s="12" t="n">
        <f aca="false">E12*'Unit Economics'!$B$19</f>
        <v>2030</v>
      </c>
      <c r="F17" s="12" t="n">
        <f aca="false">F12*'Unit Economics'!$B$19</f>
        <v>1190</v>
      </c>
      <c r="G17" s="12" t="n">
        <f aca="false">G12*'Unit Economics'!$B$19</f>
        <v>1610</v>
      </c>
      <c r="H17" s="12" t="n">
        <f aca="false">H12*'Unit Economics'!$B$19</f>
        <v>1295</v>
      </c>
      <c r="I17" s="12" t="n">
        <f aca="false">I12*'Unit Economics'!$B$19</f>
        <v>1330</v>
      </c>
      <c r="J17" s="12" t="n">
        <f aca="false">J12*'Unit Economics'!$B$19</f>
        <v>1680</v>
      </c>
      <c r="K17" s="12" t="n">
        <f aca="false">K12*'Unit Economics'!$B$19</f>
        <v>1435</v>
      </c>
      <c r="L17" s="12" t="n">
        <f aca="false">L12*'Unit Economics'!$B$19</f>
        <v>1295</v>
      </c>
      <c r="M17" s="12" t="n">
        <f aca="false">M12*'Unit Economics'!$B$19</f>
        <v>1330</v>
      </c>
      <c r="N17" s="12" t="n">
        <f aca="false">N12*'Unit Economics'!$B$19</f>
        <v>1365</v>
      </c>
      <c r="O17" s="12" t="n">
        <f aca="false">O12*'Unit Economics'!$B$19</f>
        <v>1400</v>
      </c>
      <c r="P17" s="12" t="n">
        <f aca="false">P12*'Unit Economics'!$B$19</f>
        <v>1610</v>
      </c>
      <c r="Q17" s="12" t="n">
        <f aca="false">Q12*'Unit Economics'!$B$19</f>
        <v>2030</v>
      </c>
      <c r="R17" s="12" t="n">
        <f aca="false">R12*'Unit Economics'!$B$19</f>
        <v>1190</v>
      </c>
      <c r="S17" s="12" t="n">
        <f aca="false">S12*'Unit Economics'!$B$19</f>
        <v>1610</v>
      </c>
      <c r="T17" s="12" t="n">
        <f aca="false">T12*'Unit Economics'!$B$19</f>
        <v>1295</v>
      </c>
      <c r="U17" s="12" t="n">
        <f aca="false">U12*'Unit Economics'!$B$19</f>
        <v>1330</v>
      </c>
      <c r="V17" s="12" t="n">
        <f aca="false">V12*'Unit Economics'!$B$19</f>
        <v>1680</v>
      </c>
      <c r="W17" s="12" t="n">
        <f aca="false">W12*'Unit Economics'!$B$19</f>
        <v>1435</v>
      </c>
      <c r="X17" s="12" t="n">
        <f aca="false">X12*'Unit Economics'!$B$19</f>
        <v>1295</v>
      </c>
      <c r="Y17" s="12" t="n">
        <f aca="false">Y12*'Unit Economics'!$B$19</f>
        <v>1330</v>
      </c>
      <c r="Z17" s="12" t="n">
        <f aca="false">Z12*'Unit Economics'!$B$19</f>
        <v>1365</v>
      </c>
      <c r="AA17" s="12" t="n">
        <f aca="false">AA12*'Unit Economics'!$B$19</f>
        <v>1400</v>
      </c>
      <c r="AB17" s="12" t="n">
        <f aca="false">AB12*'Unit Economics'!$B$19</f>
        <v>1610</v>
      </c>
      <c r="AC17" s="12" t="n">
        <f aca="false">AC12*'Unit Economics'!$B$19</f>
        <v>2030</v>
      </c>
      <c r="AD17" s="12" t="n">
        <f aca="false">AD12*'Unit Economics'!$B$19</f>
        <v>1190</v>
      </c>
      <c r="AE17" s="12" t="n">
        <f aca="false">AE12*'Unit Economics'!$B$19</f>
        <v>1610</v>
      </c>
      <c r="AF17" s="12" t="n">
        <f aca="false">AF12*'Unit Economics'!$B$19</f>
        <v>1295</v>
      </c>
      <c r="AG17" s="12" t="n">
        <f aca="false">AG12*'Unit Economics'!$B$19</f>
        <v>1330</v>
      </c>
      <c r="AH17" s="12" t="n">
        <f aca="false">AH12*'Unit Economics'!$B$19</f>
        <v>1680</v>
      </c>
      <c r="AI17" s="12" t="n">
        <f aca="false">AI12*'Unit Economics'!$B$19</f>
        <v>1435</v>
      </c>
      <c r="AJ17" s="12" t="n">
        <f aca="false">AJ12*'Unit Economics'!$B$19</f>
        <v>1295</v>
      </c>
      <c r="AK17" s="12" t="n">
        <f aca="false">AK12*'Unit Economics'!$B$19</f>
        <v>1330</v>
      </c>
      <c r="AL17" s="12" t="n">
        <f aca="false">AL12*'Unit Economics'!$B$19</f>
        <v>1365</v>
      </c>
      <c r="AM17" s="12" t="n">
        <f aca="false">AM12*'Unit Economics'!$B$19</f>
        <v>1400</v>
      </c>
      <c r="AO17" s="12" t="n">
        <f aca="false">SUM(D17:O17)</f>
        <v>17570</v>
      </c>
      <c r="AP17" s="12" t="n">
        <f aca="false">SUM(P17:AA17)</f>
        <v>17570</v>
      </c>
      <c r="AQ17" s="12" t="n">
        <f aca="false">SUM(AB17:AM17)</f>
        <v>17570</v>
      </c>
    </row>
    <row r="18" customFormat="false" ht="15" hidden="false" customHeight="false" outlineLevel="0" collapsed="false">
      <c r="A18" s="6" t="str">
        <f aca="false">"  Budget - "&amp;Inputs!A62</f>
        <v>  Budget - occasion_seo_content</v>
      </c>
      <c r="B18" s="20" t="s">
        <v>61</v>
      </c>
      <c r="D18" s="12" t="n">
        <f aca="false">D12*'Unit Economics'!$B$20</f>
        <v>1380</v>
      </c>
      <c r="E18" s="12" t="n">
        <f aca="false">E12*'Unit Economics'!$B$20</f>
        <v>1740</v>
      </c>
      <c r="F18" s="12" t="n">
        <f aca="false">F12*'Unit Economics'!$B$20</f>
        <v>1020</v>
      </c>
      <c r="G18" s="12" t="n">
        <f aca="false">G12*'Unit Economics'!$B$20</f>
        <v>1380</v>
      </c>
      <c r="H18" s="12" t="n">
        <f aca="false">H12*'Unit Economics'!$B$20</f>
        <v>1110</v>
      </c>
      <c r="I18" s="12" t="n">
        <f aca="false">I12*'Unit Economics'!$B$20</f>
        <v>1140</v>
      </c>
      <c r="J18" s="12" t="n">
        <f aca="false">J12*'Unit Economics'!$B$20</f>
        <v>1440</v>
      </c>
      <c r="K18" s="12" t="n">
        <f aca="false">K12*'Unit Economics'!$B$20</f>
        <v>1230</v>
      </c>
      <c r="L18" s="12" t="n">
        <f aca="false">L12*'Unit Economics'!$B$20</f>
        <v>1110</v>
      </c>
      <c r="M18" s="12" t="n">
        <f aca="false">M12*'Unit Economics'!$B$20</f>
        <v>1140</v>
      </c>
      <c r="N18" s="12" t="n">
        <f aca="false">N12*'Unit Economics'!$B$20</f>
        <v>1170</v>
      </c>
      <c r="O18" s="12" t="n">
        <f aca="false">O12*'Unit Economics'!$B$20</f>
        <v>1200</v>
      </c>
      <c r="P18" s="12" t="n">
        <f aca="false">P12*'Unit Economics'!$B$20</f>
        <v>1380</v>
      </c>
      <c r="Q18" s="12" t="n">
        <f aca="false">Q12*'Unit Economics'!$B$20</f>
        <v>1740</v>
      </c>
      <c r="R18" s="12" t="n">
        <f aca="false">R12*'Unit Economics'!$B$20</f>
        <v>1020</v>
      </c>
      <c r="S18" s="12" t="n">
        <f aca="false">S12*'Unit Economics'!$B$20</f>
        <v>1380</v>
      </c>
      <c r="T18" s="12" t="n">
        <f aca="false">T12*'Unit Economics'!$B$20</f>
        <v>1110</v>
      </c>
      <c r="U18" s="12" t="n">
        <f aca="false">U12*'Unit Economics'!$B$20</f>
        <v>1140</v>
      </c>
      <c r="V18" s="12" t="n">
        <f aca="false">V12*'Unit Economics'!$B$20</f>
        <v>1440</v>
      </c>
      <c r="W18" s="12" t="n">
        <f aca="false">W12*'Unit Economics'!$B$20</f>
        <v>1230</v>
      </c>
      <c r="X18" s="12" t="n">
        <f aca="false">X12*'Unit Economics'!$B$20</f>
        <v>1110</v>
      </c>
      <c r="Y18" s="12" t="n">
        <f aca="false">Y12*'Unit Economics'!$B$20</f>
        <v>1140</v>
      </c>
      <c r="Z18" s="12" t="n">
        <f aca="false">Z12*'Unit Economics'!$B$20</f>
        <v>1170</v>
      </c>
      <c r="AA18" s="12" t="n">
        <f aca="false">AA12*'Unit Economics'!$B$20</f>
        <v>1200</v>
      </c>
      <c r="AB18" s="12" t="n">
        <f aca="false">AB12*'Unit Economics'!$B$20</f>
        <v>1380</v>
      </c>
      <c r="AC18" s="12" t="n">
        <f aca="false">AC12*'Unit Economics'!$B$20</f>
        <v>1740</v>
      </c>
      <c r="AD18" s="12" t="n">
        <f aca="false">AD12*'Unit Economics'!$B$20</f>
        <v>1020</v>
      </c>
      <c r="AE18" s="12" t="n">
        <f aca="false">AE12*'Unit Economics'!$B$20</f>
        <v>1380</v>
      </c>
      <c r="AF18" s="12" t="n">
        <f aca="false">AF12*'Unit Economics'!$B$20</f>
        <v>1110</v>
      </c>
      <c r="AG18" s="12" t="n">
        <f aca="false">AG12*'Unit Economics'!$B$20</f>
        <v>1140</v>
      </c>
      <c r="AH18" s="12" t="n">
        <f aca="false">AH12*'Unit Economics'!$B$20</f>
        <v>1440</v>
      </c>
      <c r="AI18" s="12" t="n">
        <f aca="false">AI12*'Unit Economics'!$B$20</f>
        <v>1230</v>
      </c>
      <c r="AJ18" s="12" t="n">
        <f aca="false">AJ12*'Unit Economics'!$B$20</f>
        <v>1110</v>
      </c>
      <c r="AK18" s="12" t="n">
        <f aca="false">AK12*'Unit Economics'!$B$20</f>
        <v>1140</v>
      </c>
      <c r="AL18" s="12" t="n">
        <f aca="false">AL12*'Unit Economics'!$B$20</f>
        <v>1170</v>
      </c>
      <c r="AM18" s="12" t="n">
        <f aca="false">AM12*'Unit Economics'!$B$20</f>
        <v>1200</v>
      </c>
      <c r="AO18" s="12" t="n">
        <f aca="false">SUM(D18:O18)</f>
        <v>15060</v>
      </c>
      <c r="AP18" s="12" t="n">
        <f aca="false">SUM(P18:AA18)</f>
        <v>15060</v>
      </c>
      <c r="AQ18" s="12" t="n">
        <f aca="false">SUM(AB18:AM18)</f>
        <v>15060</v>
      </c>
    </row>
    <row r="19" customFormat="false" ht="15" hidden="false" customHeight="false" outlineLevel="0" collapsed="false">
      <c r="A19" s="23" t="s">
        <v>1067</v>
      </c>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row>
    <row r="20" customFormat="false" ht="15" hidden="false" customHeight="false" outlineLevel="0" collapsed="false">
      <c r="A20" s="6" t="str">
        <f aca="false">"  Paid visits - "&amp;Inputs!A57</f>
        <v>  Paid visits - meta_instagram_ads</v>
      </c>
      <c r="B20" s="20" t="s">
        <v>95</v>
      </c>
      <c r="D20" s="11" t="n">
        <f aca="false">IFERROR(D13/'Unit Economics'!$C$15,0)</f>
        <v>2705.88235294118</v>
      </c>
      <c r="E20" s="11" t="n">
        <f aca="false">IFERROR(E13/'Unit Economics'!$C$15,0)</f>
        <v>3411.76470588235</v>
      </c>
      <c r="F20" s="11" t="n">
        <f aca="false">IFERROR(F13/'Unit Economics'!$C$15,0)</f>
        <v>2000</v>
      </c>
      <c r="G20" s="11" t="n">
        <f aca="false">IFERROR(G13/'Unit Economics'!$C$15,0)</f>
        <v>2705.88235294118</v>
      </c>
      <c r="H20" s="11" t="n">
        <f aca="false">IFERROR(H13/'Unit Economics'!$C$15,0)</f>
        <v>2176.47058823529</v>
      </c>
      <c r="I20" s="11" t="n">
        <f aca="false">IFERROR(I13/'Unit Economics'!$C$15,0)</f>
        <v>2235.29411764706</v>
      </c>
      <c r="J20" s="11" t="n">
        <f aca="false">IFERROR(J13/'Unit Economics'!$C$15,0)</f>
        <v>2823.52941176471</v>
      </c>
      <c r="K20" s="11" t="n">
        <f aca="false">IFERROR(K13/'Unit Economics'!$C$15,0)</f>
        <v>2411.76470588235</v>
      </c>
      <c r="L20" s="11" t="n">
        <f aca="false">IFERROR(L13/'Unit Economics'!$C$15,0)</f>
        <v>2176.47058823529</v>
      </c>
      <c r="M20" s="11" t="n">
        <f aca="false">IFERROR(M13/'Unit Economics'!$C$15,0)</f>
        <v>2235.29411764706</v>
      </c>
      <c r="N20" s="11" t="n">
        <f aca="false">IFERROR(N13/'Unit Economics'!$C$15,0)</f>
        <v>2294.11764705882</v>
      </c>
      <c r="O20" s="11" t="n">
        <f aca="false">IFERROR(O13/'Unit Economics'!$C$15,0)</f>
        <v>2352.94117647059</v>
      </c>
      <c r="P20" s="11" t="n">
        <f aca="false">IFERROR(P13/'Unit Economics'!$C$15,0)</f>
        <v>2705.88235294118</v>
      </c>
      <c r="Q20" s="11" t="n">
        <f aca="false">IFERROR(Q13/'Unit Economics'!$C$15,0)</f>
        <v>3411.76470588235</v>
      </c>
      <c r="R20" s="11" t="n">
        <f aca="false">IFERROR(R13/'Unit Economics'!$C$15,0)</f>
        <v>2000</v>
      </c>
      <c r="S20" s="11" t="n">
        <f aca="false">IFERROR(S13/'Unit Economics'!$C$15,0)</f>
        <v>2705.88235294118</v>
      </c>
      <c r="T20" s="11" t="n">
        <f aca="false">IFERROR(T13/'Unit Economics'!$C$15,0)</f>
        <v>2176.47058823529</v>
      </c>
      <c r="U20" s="11" t="n">
        <f aca="false">IFERROR(U13/'Unit Economics'!$C$15,0)</f>
        <v>2235.29411764706</v>
      </c>
      <c r="V20" s="11" t="n">
        <f aca="false">IFERROR(V13/'Unit Economics'!$C$15,0)</f>
        <v>2823.52941176471</v>
      </c>
      <c r="W20" s="11" t="n">
        <f aca="false">IFERROR(W13/'Unit Economics'!$C$15,0)</f>
        <v>2411.76470588235</v>
      </c>
      <c r="X20" s="11" t="n">
        <f aca="false">IFERROR(X13/'Unit Economics'!$C$15,0)</f>
        <v>2176.47058823529</v>
      </c>
      <c r="Y20" s="11" t="n">
        <f aca="false">IFERROR(Y13/'Unit Economics'!$C$15,0)</f>
        <v>2235.29411764706</v>
      </c>
      <c r="Z20" s="11" t="n">
        <f aca="false">IFERROR(Z13/'Unit Economics'!$C$15,0)</f>
        <v>2294.11764705882</v>
      </c>
      <c r="AA20" s="11" t="n">
        <f aca="false">IFERROR(AA13/'Unit Economics'!$C$15,0)</f>
        <v>2352.94117647059</v>
      </c>
      <c r="AB20" s="11" t="n">
        <f aca="false">IFERROR(AB13/'Unit Economics'!$C$15,0)</f>
        <v>2705.88235294118</v>
      </c>
      <c r="AC20" s="11" t="n">
        <f aca="false">IFERROR(AC13/'Unit Economics'!$C$15,0)</f>
        <v>3411.76470588235</v>
      </c>
      <c r="AD20" s="11" t="n">
        <f aca="false">IFERROR(AD13/'Unit Economics'!$C$15,0)</f>
        <v>2000</v>
      </c>
      <c r="AE20" s="11" t="n">
        <f aca="false">IFERROR(AE13/'Unit Economics'!$C$15,0)</f>
        <v>2705.88235294118</v>
      </c>
      <c r="AF20" s="11" t="n">
        <f aca="false">IFERROR(AF13/'Unit Economics'!$C$15,0)</f>
        <v>2176.47058823529</v>
      </c>
      <c r="AG20" s="11" t="n">
        <f aca="false">IFERROR(AG13/'Unit Economics'!$C$15,0)</f>
        <v>2235.29411764706</v>
      </c>
      <c r="AH20" s="11" t="n">
        <f aca="false">IFERROR(AH13/'Unit Economics'!$C$15,0)</f>
        <v>2823.52941176471</v>
      </c>
      <c r="AI20" s="11" t="n">
        <f aca="false">IFERROR(AI13/'Unit Economics'!$C$15,0)</f>
        <v>2411.76470588235</v>
      </c>
      <c r="AJ20" s="11" t="n">
        <f aca="false">IFERROR(AJ13/'Unit Economics'!$C$15,0)</f>
        <v>2176.47058823529</v>
      </c>
      <c r="AK20" s="11" t="n">
        <f aca="false">IFERROR(AK13/'Unit Economics'!$C$15,0)</f>
        <v>2235.29411764706</v>
      </c>
      <c r="AL20" s="11" t="n">
        <f aca="false">IFERROR(AL13/'Unit Economics'!$C$15,0)</f>
        <v>2294.11764705882</v>
      </c>
      <c r="AM20" s="11" t="n">
        <f aca="false">IFERROR(AM13/'Unit Economics'!$C$15,0)</f>
        <v>2352.94117647059</v>
      </c>
      <c r="AO20" s="11" t="n">
        <f aca="false">SUM(D20:O20)</f>
        <v>29529.4117647059</v>
      </c>
      <c r="AP20" s="11" t="n">
        <f aca="false">SUM(P20:AA20)</f>
        <v>29529.4117647059</v>
      </c>
      <c r="AQ20" s="11" t="n">
        <f aca="false">SUM(AB20:AM20)</f>
        <v>29529.4117647059</v>
      </c>
    </row>
    <row r="21" customFormat="false" ht="15" hidden="false" customHeight="false" outlineLevel="0" collapsed="false">
      <c r="A21" s="6" t="str">
        <f aca="false">"  Paid visits - "&amp;Inputs!A58</f>
        <v>  Paid visits - pinterest_ads</v>
      </c>
      <c r="B21" s="20" t="s">
        <v>95</v>
      </c>
      <c r="D21" s="11" t="n">
        <f aca="false">IFERROR(D14/'Unit Economics'!$C$16,0)</f>
        <v>1672.72727272727</v>
      </c>
      <c r="E21" s="11" t="n">
        <f aca="false">IFERROR(E14/'Unit Economics'!$C$16,0)</f>
        <v>2109.09090909091</v>
      </c>
      <c r="F21" s="11" t="n">
        <f aca="false">IFERROR(F14/'Unit Economics'!$C$16,0)</f>
        <v>1236.36363636364</v>
      </c>
      <c r="G21" s="11" t="n">
        <f aca="false">IFERROR(G14/'Unit Economics'!$C$16,0)</f>
        <v>1672.72727272727</v>
      </c>
      <c r="H21" s="11" t="n">
        <f aca="false">IFERROR(H14/'Unit Economics'!$C$16,0)</f>
        <v>1345.45454545455</v>
      </c>
      <c r="I21" s="11" t="n">
        <f aca="false">IFERROR(I14/'Unit Economics'!$C$16,0)</f>
        <v>1381.81818181818</v>
      </c>
      <c r="J21" s="11" t="n">
        <f aca="false">IFERROR(J14/'Unit Economics'!$C$16,0)</f>
        <v>1745.45454545455</v>
      </c>
      <c r="K21" s="11" t="n">
        <f aca="false">IFERROR(K14/'Unit Economics'!$C$16,0)</f>
        <v>1490.90909090909</v>
      </c>
      <c r="L21" s="11" t="n">
        <f aca="false">IFERROR(L14/'Unit Economics'!$C$16,0)</f>
        <v>1345.45454545455</v>
      </c>
      <c r="M21" s="11" t="n">
        <f aca="false">IFERROR(M14/'Unit Economics'!$C$16,0)</f>
        <v>1381.81818181818</v>
      </c>
      <c r="N21" s="11" t="n">
        <f aca="false">IFERROR(N14/'Unit Economics'!$C$16,0)</f>
        <v>1418.18181818182</v>
      </c>
      <c r="O21" s="11" t="n">
        <f aca="false">IFERROR(O14/'Unit Economics'!$C$16,0)</f>
        <v>1454.54545454545</v>
      </c>
      <c r="P21" s="11" t="n">
        <f aca="false">IFERROR(P14/'Unit Economics'!$C$16,0)</f>
        <v>1672.72727272727</v>
      </c>
      <c r="Q21" s="11" t="n">
        <f aca="false">IFERROR(Q14/'Unit Economics'!$C$16,0)</f>
        <v>2109.09090909091</v>
      </c>
      <c r="R21" s="11" t="n">
        <f aca="false">IFERROR(R14/'Unit Economics'!$C$16,0)</f>
        <v>1236.36363636364</v>
      </c>
      <c r="S21" s="11" t="n">
        <f aca="false">IFERROR(S14/'Unit Economics'!$C$16,0)</f>
        <v>1672.72727272727</v>
      </c>
      <c r="T21" s="11" t="n">
        <f aca="false">IFERROR(T14/'Unit Economics'!$C$16,0)</f>
        <v>1345.45454545455</v>
      </c>
      <c r="U21" s="11" t="n">
        <f aca="false">IFERROR(U14/'Unit Economics'!$C$16,0)</f>
        <v>1381.81818181818</v>
      </c>
      <c r="V21" s="11" t="n">
        <f aca="false">IFERROR(V14/'Unit Economics'!$C$16,0)</f>
        <v>1745.45454545455</v>
      </c>
      <c r="W21" s="11" t="n">
        <f aca="false">IFERROR(W14/'Unit Economics'!$C$16,0)</f>
        <v>1490.90909090909</v>
      </c>
      <c r="X21" s="11" t="n">
        <f aca="false">IFERROR(X14/'Unit Economics'!$C$16,0)</f>
        <v>1345.45454545455</v>
      </c>
      <c r="Y21" s="11" t="n">
        <f aca="false">IFERROR(Y14/'Unit Economics'!$C$16,0)</f>
        <v>1381.81818181818</v>
      </c>
      <c r="Z21" s="11" t="n">
        <f aca="false">IFERROR(Z14/'Unit Economics'!$C$16,0)</f>
        <v>1418.18181818182</v>
      </c>
      <c r="AA21" s="11" t="n">
        <f aca="false">IFERROR(AA14/'Unit Economics'!$C$16,0)</f>
        <v>1454.54545454545</v>
      </c>
      <c r="AB21" s="11" t="n">
        <f aca="false">IFERROR(AB14/'Unit Economics'!$C$16,0)</f>
        <v>1672.72727272727</v>
      </c>
      <c r="AC21" s="11" t="n">
        <f aca="false">IFERROR(AC14/'Unit Economics'!$C$16,0)</f>
        <v>2109.09090909091</v>
      </c>
      <c r="AD21" s="11" t="n">
        <f aca="false">IFERROR(AD14/'Unit Economics'!$C$16,0)</f>
        <v>1236.36363636364</v>
      </c>
      <c r="AE21" s="11" t="n">
        <f aca="false">IFERROR(AE14/'Unit Economics'!$C$16,0)</f>
        <v>1672.72727272727</v>
      </c>
      <c r="AF21" s="11" t="n">
        <f aca="false">IFERROR(AF14/'Unit Economics'!$C$16,0)</f>
        <v>1345.45454545455</v>
      </c>
      <c r="AG21" s="11" t="n">
        <f aca="false">IFERROR(AG14/'Unit Economics'!$C$16,0)</f>
        <v>1381.81818181818</v>
      </c>
      <c r="AH21" s="11" t="n">
        <f aca="false">IFERROR(AH14/'Unit Economics'!$C$16,0)</f>
        <v>1745.45454545455</v>
      </c>
      <c r="AI21" s="11" t="n">
        <f aca="false">IFERROR(AI14/'Unit Economics'!$C$16,0)</f>
        <v>1490.90909090909</v>
      </c>
      <c r="AJ21" s="11" t="n">
        <f aca="false">IFERROR(AJ14/'Unit Economics'!$C$16,0)</f>
        <v>1345.45454545455</v>
      </c>
      <c r="AK21" s="11" t="n">
        <f aca="false">IFERROR(AK14/'Unit Economics'!$C$16,0)</f>
        <v>1381.81818181818</v>
      </c>
      <c r="AL21" s="11" t="n">
        <f aca="false">IFERROR(AL14/'Unit Economics'!$C$16,0)</f>
        <v>1418.18181818182</v>
      </c>
      <c r="AM21" s="11" t="n">
        <f aca="false">IFERROR(AM14/'Unit Economics'!$C$16,0)</f>
        <v>1454.54545454545</v>
      </c>
      <c r="AO21" s="11" t="n">
        <f aca="false">SUM(D21:O21)</f>
        <v>18254.5454545455</v>
      </c>
      <c r="AP21" s="11" t="n">
        <f aca="false">SUM(P21:AA21)</f>
        <v>18254.5454545455</v>
      </c>
      <c r="AQ21" s="11" t="n">
        <f aca="false">SUM(AB21:AM21)</f>
        <v>18254.5454545455</v>
      </c>
    </row>
    <row r="22" customFormat="false" ht="15" hidden="false" customHeight="false" outlineLevel="0" collapsed="false">
      <c r="A22" s="6" t="str">
        <f aca="false">"  Paid visits - "&amp;Inputs!A59</f>
        <v>  Paid visits - google_search</v>
      </c>
      <c r="B22" s="20" t="s">
        <v>95</v>
      </c>
      <c r="D22" s="11" t="n">
        <f aca="false">IFERROR(D15/'Unit Economics'!$C$17,0)</f>
        <v>222.222222222222</v>
      </c>
      <c r="E22" s="11" t="n">
        <f aca="false">IFERROR(E15/'Unit Economics'!$C$17,0)</f>
        <v>280.193236714976</v>
      </c>
      <c r="F22" s="11" t="n">
        <f aca="false">IFERROR(F15/'Unit Economics'!$C$17,0)</f>
        <v>164.251207729469</v>
      </c>
      <c r="G22" s="11" t="n">
        <f aca="false">IFERROR(G15/'Unit Economics'!$C$17,0)</f>
        <v>222.222222222222</v>
      </c>
      <c r="H22" s="11" t="n">
        <f aca="false">IFERROR(H15/'Unit Economics'!$C$17,0)</f>
        <v>178.743961352657</v>
      </c>
      <c r="I22" s="11" t="n">
        <f aca="false">IFERROR(I15/'Unit Economics'!$C$17,0)</f>
        <v>183.574879227053</v>
      </c>
      <c r="J22" s="11" t="n">
        <f aca="false">IFERROR(J15/'Unit Economics'!$C$17,0)</f>
        <v>231.884057971015</v>
      </c>
      <c r="K22" s="11" t="n">
        <f aca="false">IFERROR(K15/'Unit Economics'!$C$17,0)</f>
        <v>198.067632850242</v>
      </c>
      <c r="L22" s="11" t="n">
        <f aca="false">IFERROR(L15/'Unit Economics'!$C$17,0)</f>
        <v>178.743961352657</v>
      </c>
      <c r="M22" s="11" t="n">
        <f aca="false">IFERROR(M15/'Unit Economics'!$C$17,0)</f>
        <v>183.574879227053</v>
      </c>
      <c r="N22" s="11" t="n">
        <f aca="false">IFERROR(N15/'Unit Economics'!$C$17,0)</f>
        <v>188.405797101449</v>
      </c>
      <c r="O22" s="11" t="n">
        <f aca="false">IFERROR(O15/'Unit Economics'!$C$17,0)</f>
        <v>193.236714975845</v>
      </c>
      <c r="P22" s="11" t="n">
        <f aca="false">IFERROR(P15/'Unit Economics'!$C$17,0)</f>
        <v>222.222222222222</v>
      </c>
      <c r="Q22" s="11" t="n">
        <f aca="false">IFERROR(Q15/'Unit Economics'!$C$17,0)</f>
        <v>280.193236714976</v>
      </c>
      <c r="R22" s="11" t="n">
        <f aca="false">IFERROR(R15/'Unit Economics'!$C$17,0)</f>
        <v>164.251207729469</v>
      </c>
      <c r="S22" s="11" t="n">
        <f aca="false">IFERROR(S15/'Unit Economics'!$C$17,0)</f>
        <v>222.222222222222</v>
      </c>
      <c r="T22" s="11" t="n">
        <f aca="false">IFERROR(T15/'Unit Economics'!$C$17,0)</f>
        <v>178.743961352657</v>
      </c>
      <c r="U22" s="11" t="n">
        <f aca="false">IFERROR(U15/'Unit Economics'!$C$17,0)</f>
        <v>183.574879227053</v>
      </c>
      <c r="V22" s="11" t="n">
        <f aca="false">IFERROR(V15/'Unit Economics'!$C$17,0)</f>
        <v>231.884057971015</v>
      </c>
      <c r="W22" s="11" t="n">
        <f aca="false">IFERROR(W15/'Unit Economics'!$C$17,0)</f>
        <v>198.067632850242</v>
      </c>
      <c r="X22" s="11" t="n">
        <f aca="false">IFERROR(X15/'Unit Economics'!$C$17,0)</f>
        <v>178.743961352657</v>
      </c>
      <c r="Y22" s="11" t="n">
        <f aca="false">IFERROR(Y15/'Unit Economics'!$C$17,0)</f>
        <v>183.574879227053</v>
      </c>
      <c r="Z22" s="11" t="n">
        <f aca="false">IFERROR(Z15/'Unit Economics'!$C$17,0)</f>
        <v>188.405797101449</v>
      </c>
      <c r="AA22" s="11" t="n">
        <f aca="false">IFERROR(AA15/'Unit Economics'!$C$17,0)</f>
        <v>193.236714975845</v>
      </c>
      <c r="AB22" s="11" t="n">
        <f aca="false">IFERROR(AB15/'Unit Economics'!$C$17,0)</f>
        <v>222.222222222222</v>
      </c>
      <c r="AC22" s="11" t="n">
        <f aca="false">IFERROR(AC15/'Unit Economics'!$C$17,0)</f>
        <v>280.193236714976</v>
      </c>
      <c r="AD22" s="11" t="n">
        <f aca="false">IFERROR(AD15/'Unit Economics'!$C$17,0)</f>
        <v>164.251207729469</v>
      </c>
      <c r="AE22" s="11" t="n">
        <f aca="false">IFERROR(AE15/'Unit Economics'!$C$17,0)</f>
        <v>222.222222222222</v>
      </c>
      <c r="AF22" s="11" t="n">
        <f aca="false">IFERROR(AF15/'Unit Economics'!$C$17,0)</f>
        <v>178.743961352657</v>
      </c>
      <c r="AG22" s="11" t="n">
        <f aca="false">IFERROR(AG15/'Unit Economics'!$C$17,0)</f>
        <v>183.574879227053</v>
      </c>
      <c r="AH22" s="11" t="n">
        <f aca="false">IFERROR(AH15/'Unit Economics'!$C$17,0)</f>
        <v>231.884057971015</v>
      </c>
      <c r="AI22" s="11" t="n">
        <f aca="false">IFERROR(AI15/'Unit Economics'!$C$17,0)</f>
        <v>198.067632850242</v>
      </c>
      <c r="AJ22" s="11" t="n">
        <f aca="false">IFERROR(AJ15/'Unit Economics'!$C$17,0)</f>
        <v>178.743961352657</v>
      </c>
      <c r="AK22" s="11" t="n">
        <f aca="false">IFERROR(AK15/'Unit Economics'!$C$17,0)</f>
        <v>183.574879227053</v>
      </c>
      <c r="AL22" s="11" t="n">
        <f aca="false">IFERROR(AL15/'Unit Economics'!$C$17,0)</f>
        <v>188.405797101449</v>
      </c>
      <c r="AM22" s="11" t="n">
        <f aca="false">IFERROR(AM15/'Unit Economics'!$C$17,0)</f>
        <v>193.236714975845</v>
      </c>
      <c r="AO22" s="11" t="n">
        <f aca="false">SUM(D22:O22)</f>
        <v>2425.12077294686</v>
      </c>
      <c r="AP22" s="11" t="n">
        <f aca="false">SUM(P22:AA22)</f>
        <v>2425.12077294686</v>
      </c>
      <c r="AQ22" s="11" t="n">
        <f aca="false">SUM(AB22:AM22)</f>
        <v>2425.12077294686</v>
      </c>
    </row>
    <row r="23" customFormat="false" ht="15" hidden="false" customHeight="false" outlineLevel="0" collapsed="false">
      <c r="A23" s="6" t="str">
        <f aca="false">"  Paid visits - "&amp;Inputs!A60</f>
        <v>  Paid visits - tiktok_ads</v>
      </c>
      <c r="B23" s="20" t="s">
        <v>95</v>
      </c>
      <c r="D23" s="11" t="n">
        <f aca="false">IFERROR(D16/'Unit Economics'!$C$18,0)</f>
        <v>575</v>
      </c>
      <c r="E23" s="11" t="n">
        <f aca="false">IFERROR(E16/'Unit Economics'!$C$18,0)</f>
        <v>725</v>
      </c>
      <c r="F23" s="11" t="n">
        <f aca="false">IFERROR(F16/'Unit Economics'!$C$18,0)</f>
        <v>425</v>
      </c>
      <c r="G23" s="11" t="n">
        <f aca="false">IFERROR(G16/'Unit Economics'!$C$18,0)</f>
        <v>575</v>
      </c>
      <c r="H23" s="11" t="n">
        <f aca="false">IFERROR(H16/'Unit Economics'!$C$18,0)</f>
        <v>462.5</v>
      </c>
      <c r="I23" s="11" t="n">
        <f aca="false">IFERROR(I16/'Unit Economics'!$C$18,0)</f>
        <v>475</v>
      </c>
      <c r="J23" s="11" t="n">
        <f aca="false">IFERROR(J16/'Unit Economics'!$C$18,0)</f>
        <v>600</v>
      </c>
      <c r="K23" s="11" t="n">
        <f aca="false">IFERROR(K16/'Unit Economics'!$C$18,0)</f>
        <v>512.5</v>
      </c>
      <c r="L23" s="11" t="n">
        <f aca="false">IFERROR(L16/'Unit Economics'!$C$18,0)</f>
        <v>462.5</v>
      </c>
      <c r="M23" s="11" t="n">
        <f aca="false">IFERROR(M16/'Unit Economics'!$C$18,0)</f>
        <v>475</v>
      </c>
      <c r="N23" s="11" t="n">
        <f aca="false">IFERROR(N16/'Unit Economics'!$C$18,0)</f>
        <v>487.5</v>
      </c>
      <c r="O23" s="11" t="n">
        <f aca="false">IFERROR(O16/'Unit Economics'!$C$18,0)</f>
        <v>500</v>
      </c>
      <c r="P23" s="11" t="n">
        <f aca="false">IFERROR(P16/'Unit Economics'!$C$18,0)</f>
        <v>575</v>
      </c>
      <c r="Q23" s="11" t="n">
        <f aca="false">IFERROR(Q16/'Unit Economics'!$C$18,0)</f>
        <v>725</v>
      </c>
      <c r="R23" s="11" t="n">
        <f aca="false">IFERROR(R16/'Unit Economics'!$C$18,0)</f>
        <v>425</v>
      </c>
      <c r="S23" s="11" t="n">
        <f aca="false">IFERROR(S16/'Unit Economics'!$C$18,0)</f>
        <v>575</v>
      </c>
      <c r="T23" s="11" t="n">
        <f aca="false">IFERROR(T16/'Unit Economics'!$C$18,0)</f>
        <v>462.5</v>
      </c>
      <c r="U23" s="11" t="n">
        <f aca="false">IFERROR(U16/'Unit Economics'!$C$18,0)</f>
        <v>475</v>
      </c>
      <c r="V23" s="11" t="n">
        <f aca="false">IFERROR(V16/'Unit Economics'!$C$18,0)</f>
        <v>600</v>
      </c>
      <c r="W23" s="11" t="n">
        <f aca="false">IFERROR(W16/'Unit Economics'!$C$18,0)</f>
        <v>512.5</v>
      </c>
      <c r="X23" s="11" t="n">
        <f aca="false">IFERROR(X16/'Unit Economics'!$C$18,0)</f>
        <v>462.5</v>
      </c>
      <c r="Y23" s="11" t="n">
        <f aca="false">IFERROR(Y16/'Unit Economics'!$C$18,0)</f>
        <v>475</v>
      </c>
      <c r="Z23" s="11" t="n">
        <f aca="false">IFERROR(Z16/'Unit Economics'!$C$18,0)</f>
        <v>487.5</v>
      </c>
      <c r="AA23" s="11" t="n">
        <f aca="false">IFERROR(AA16/'Unit Economics'!$C$18,0)</f>
        <v>500</v>
      </c>
      <c r="AB23" s="11" t="n">
        <f aca="false">IFERROR(AB16/'Unit Economics'!$C$18,0)</f>
        <v>575</v>
      </c>
      <c r="AC23" s="11" t="n">
        <f aca="false">IFERROR(AC16/'Unit Economics'!$C$18,0)</f>
        <v>725</v>
      </c>
      <c r="AD23" s="11" t="n">
        <f aca="false">IFERROR(AD16/'Unit Economics'!$C$18,0)</f>
        <v>425</v>
      </c>
      <c r="AE23" s="11" t="n">
        <f aca="false">IFERROR(AE16/'Unit Economics'!$C$18,0)</f>
        <v>575</v>
      </c>
      <c r="AF23" s="11" t="n">
        <f aca="false">IFERROR(AF16/'Unit Economics'!$C$18,0)</f>
        <v>462.5</v>
      </c>
      <c r="AG23" s="11" t="n">
        <f aca="false">IFERROR(AG16/'Unit Economics'!$C$18,0)</f>
        <v>475</v>
      </c>
      <c r="AH23" s="11" t="n">
        <f aca="false">IFERROR(AH16/'Unit Economics'!$C$18,0)</f>
        <v>600</v>
      </c>
      <c r="AI23" s="11" t="n">
        <f aca="false">IFERROR(AI16/'Unit Economics'!$C$18,0)</f>
        <v>512.5</v>
      </c>
      <c r="AJ23" s="11" t="n">
        <f aca="false">IFERROR(AJ16/'Unit Economics'!$C$18,0)</f>
        <v>462.5</v>
      </c>
      <c r="AK23" s="11" t="n">
        <f aca="false">IFERROR(AK16/'Unit Economics'!$C$18,0)</f>
        <v>475</v>
      </c>
      <c r="AL23" s="11" t="n">
        <f aca="false">IFERROR(AL16/'Unit Economics'!$C$18,0)</f>
        <v>487.5</v>
      </c>
      <c r="AM23" s="11" t="n">
        <f aca="false">IFERROR(AM16/'Unit Economics'!$C$18,0)</f>
        <v>500</v>
      </c>
      <c r="AO23" s="11" t="n">
        <f aca="false">SUM(D23:O23)</f>
        <v>6275</v>
      </c>
      <c r="AP23" s="11" t="n">
        <f aca="false">SUM(P23:AA23)</f>
        <v>6275</v>
      </c>
      <c r="AQ23" s="11" t="n">
        <f aca="false">SUM(AB23:AM23)</f>
        <v>6275</v>
      </c>
    </row>
    <row r="24" customFormat="false" ht="15" hidden="false" customHeight="false" outlineLevel="0" collapsed="false">
      <c r="A24" s="6" t="str">
        <f aca="false">"  Paid visits - "&amp;Inputs!A61</f>
        <v>  Paid visits - creators_affiliate</v>
      </c>
      <c r="B24" s="20" t="s">
        <v>95</v>
      </c>
      <c r="D24" s="11" t="n">
        <f aca="false">IFERROR(D17/'Unit Economics'!$C$19,0)</f>
        <v>1341.66666666667</v>
      </c>
      <c r="E24" s="11" t="n">
        <f aca="false">IFERROR(E17/'Unit Economics'!$C$19,0)</f>
        <v>1691.66666666667</v>
      </c>
      <c r="F24" s="11" t="n">
        <f aca="false">IFERROR(F17/'Unit Economics'!$C$19,0)</f>
        <v>991.666666666667</v>
      </c>
      <c r="G24" s="11" t="n">
        <f aca="false">IFERROR(G17/'Unit Economics'!$C$19,0)</f>
        <v>1341.66666666667</v>
      </c>
      <c r="H24" s="11" t="n">
        <f aca="false">IFERROR(H17/'Unit Economics'!$C$19,0)</f>
        <v>1079.16666666667</v>
      </c>
      <c r="I24" s="11" t="n">
        <f aca="false">IFERROR(I17/'Unit Economics'!$C$19,0)</f>
        <v>1108.33333333333</v>
      </c>
      <c r="J24" s="11" t="n">
        <f aca="false">IFERROR(J17/'Unit Economics'!$C$19,0)</f>
        <v>1400</v>
      </c>
      <c r="K24" s="11" t="n">
        <f aca="false">IFERROR(K17/'Unit Economics'!$C$19,0)</f>
        <v>1195.83333333333</v>
      </c>
      <c r="L24" s="11" t="n">
        <f aca="false">IFERROR(L17/'Unit Economics'!$C$19,0)</f>
        <v>1079.16666666667</v>
      </c>
      <c r="M24" s="11" t="n">
        <f aca="false">IFERROR(M17/'Unit Economics'!$C$19,0)</f>
        <v>1108.33333333333</v>
      </c>
      <c r="N24" s="11" t="n">
        <f aca="false">IFERROR(N17/'Unit Economics'!$C$19,0)</f>
        <v>1137.5</v>
      </c>
      <c r="O24" s="11" t="n">
        <f aca="false">IFERROR(O17/'Unit Economics'!$C$19,0)</f>
        <v>1166.66666666667</v>
      </c>
      <c r="P24" s="11" t="n">
        <f aca="false">IFERROR(P17/'Unit Economics'!$C$19,0)</f>
        <v>1341.66666666667</v>
      </c>
      <c r="Q24" s="11" t="n">
        <f aca="false">IFERROR(Q17/'Unit Economics'!$C$19,0)</f>
        <v>1691.66666666667</v>
      </c>
      <c r="R24" s="11" t="n">
        <f aca="false">IFERROR(R17/'Unit Economics'!$C$19,0)</f>
        <v>991.666666666667</v>
      </c>
      <c r="S24" s="11" t="n">
        <f aca="false">IFERROR(S17/'Unit Economics'!$C$19,0)</f>
        <v>1341.66666666667</v>
      </c>
      <c r="T24" s="11" t="n">
        <f aca="false">IFERROR(T17/'Unit Economics'!$C$19,0)</f>
        <v>1079.16666666667</v>
      </c>
      <c r="U24" s="11" t="n">
        <f aca="false">IFERROR(U17/'Unit Economics'!$C$19,0)</f>
        <v>1108.33333333333</v>
      </c>
      <c r="V24" s="11" t="n">
        <f aca="false">IFERROR(V17/'Unit Economics'!$C$19,0)</f>
        <v>1400</v>
      </c>
      <c r="W24" s="11" t="n">
        <f aca="false">IFERROR(W17/'Unit Economics'!$C$19,0)</f>
        <v>1195.83333333333</v>
      </c>
      <c r="X24" s="11" t="n">
        <f aca="false">IFERROR(X17/'Unit Economics'!$C$19,0)</f>
        <v>1079.16666666667</v>
      </c>
      <c r="Y24" s="11" t="n">
        <f aca="false">IFERROR(Y17/'Unit Economics'!$C$19,0)</f>
        <v>1108.33333333333</v>
      </c>
      <c r="Z24" s="11" t="n">
        <f aca="false">IFERROR(Z17/'Unit Economics'!$C$19,0)</f>
        <v>1137.5</v>
      </c>
      <c r="AA24" s="11" t="n">
        <f aca="false">IFERROR(AA17/'Unit Economics'!$C$19,0)</f>
        <v>1166.66666666667</v>
      </c>
      <c r="AB24" s="11" t="n">
        <f aca="false">IFERROR(AB17/'Unit Economics'!$C$19,0)</f>
        <v>1341.66666666667</v>
      </c>
      <c r="AC24" s="11" t="n">
        <f aca="false">IFERROR(AC17/'Unit Economics'!$C$19,0)</f>
        <v>1691.66666666667</v>
      </c>
      <c r="AD24" s="11" t="n">
        <f aca="false">IFERROR(AD17/'Unit Economics'!$C$19,0)</f>
        <v>991.666666666667</v>
      </c>
      <c r="AE24" s="11" t="n">
        <f aca="false">IFERROR(AE17/'Unit Economics'!$C$19,0)</f>
        <v>1341.66666666667</v>
      </c>
      <c r="AF24" s="11" t="n">
        <f aca="false">IFERROR(AF17/'Unit Economics'!$C$19,0)</f>
        <v>1079.16666666667</v>
      </c>
      <c r="AG24" s="11" t="n">
        <f aca="false">IFERROR(AG17/'Unit Economics'!$C$19,0)</f>
        <v>1108.33333333333</v>
      </c>
      <c r="AH24" s="11" t="n">
        <f aca="false">IFERROR(AH17/'Unit Economics'!$C$19,0)</f>
        <v>1400</v>
      </c>
      <c r="AI24" s="11" t="n">
        <f aca="false">IFERROR(AI17/'Unit Economics'!$C$19,0)</f>
        <v>1195.83333333333</v>
      </c>
      <c r="AJ24" s="11" t="n">
        <f aca="false">IFERROR(AJ17/'Unit Economics'!$C$19,0)</f>
        <v>1079.16666666667</v>
      </c>
      <c r="AK24" s="11" t="n">
        <f aca="false">IFERROR(AK17/'Unit Economics'!$C$19,0)</f>
        <v>1108.33333333333</v>
      </c>
      <c r="AL24" s="11" t="n">
        <f aca="false">IFERROR(AL17/'Unit Economics'!$C$19,0)</f>
        <v>1137.5</v>
      </c>
      <c r="AM24" s="11" t="n">
        <f aca="false">IFERROR(AM17/'Unit Economics'!$C$19,0)</f>
        <v>1166.66666666667</v>
      </c>
      <c r="AO24" s="11" t="n">
        <f aca="false">SUM(D24:O24)</f>
        <v>14641.6666666667</v>
      </c>
      <c r="AP24" s="11" t="n">
        <f aca="false">SUM(P24:AA24)</f>
        <v>14641.6666666667</v>
      </c>
      <c r="AQ24" s="11" t="n">
        <f aca="false">SUM(AB24:AM24)</f>
        <v>14641.6666666667</v>
      </c>
    </row>
    <row r="25" customFormat="false" ht="15" hidden="false" customHeight="false" outlineLevel="0" collapsed="false">
      <c r="A25" s="6" t="str">
        <f aca="false">"  Paid visits - "&amp;Inputs!A62</f>
        <v>  Paid visits - occasion_seo_content</v>
      </c>
      <c r="B25" s="20" t="s">
        <v>95</v>
      </c>
      <c r="D25" s="11" t="n">
        <f aca="false">IFERROR(D18/'Unit Economics'!$C$20,0)</f>
        <v>3942.85714285714</v>
      </c>
      <c r="E25" s="11" t="n">
        <f aca="false">IFERROR(E18/'Unit Economics'!$C$20,0)</f>
        <v>4971.42857142857</v>
      </c>
      <c r="F25" s="11" t="n">
        <f aca="false">IFERROR(F18/'Unit Economics'!$C$20,0)</f>
        <v>2914.28571428571</v>
      </c>
      <c r="G25" s="11" t="n">
        <f aca="false">IFERROR(G18/'Unit Economics'!$C$20,0)</f>
        <v>3942.85714285714</v>
      </c>
      <c r="H25" s="11" t="n">
        <f aca="false">IFERROR(H18/'Unit Economics'!$C$20,0)</f>
        <v>3171.42857142857</v>
      </c>
      <c r="I25" s="11" t="n">
        <f aca="false">IFERROR(I18/'Unit Economics'!$C$20,0)</f>
        <v>3257.14285714286</v>
      </c>
      <c r="J25" s="11" t="n">
        <f aca="false">IFERROR(J18/'Unit Economics'!$C$20,0)</f>
        <v>4114.28571428572</v>
      </c>
      <c r="K25" s="11" t="n">
        <f aca="false">IFERROR(K18/'Unit Economics'!$C$20,0)</f>
        <v>3514.28571428571</v>
      </c>
      <c r="L25" s="11" t="n">
        <f aca="false">IFERROR(L18/'Unit Economics'!$C$20,0)</f>
        <v>3171.42857142857</v>
      </c>
      <c r="M25" s="11" t="n">
        <f aca="false">IFERROR(M18/'Unit Economics'!$C$20,0)</f>
        <v>3257.14285714286</v>
      </c>
      <c r="N25" s="11" t="n">
        <f aca="false">IFERROR(N18/'Unit Economics'!$C$20,0)</f>
        <v>3342.85714285714</v>
      </c>
      <c r="O25" s="11" t="n">
        <f aca="false">IFERROR(O18/'Unit Economics'!$C$20,0)</f>
        <v>3428.57142857143</v>
      </c>
      <c r="P25" s="11" t="n">
        <f aca="false">IFERROR(P18/'Unit Economics'!$C$20,0)</f>
        <v>3942.85714285714</v>
      </c>
      <c r="Q25" s="11" t="n">
        <f aca="false">IFERROR(Q18/'Unit Economics'!$C$20,0)</f>
        <v>4971.42857142857</v>
      </c>
      <c r="R25" s="11" t="n">
        <f aca="false">IFERROR(R18/'Unit Economics'!$C$20,0)</f>
        <v>2914.28571428571</v>
      </c>
      <c r="S25" s="11" t="n">
        <f aca="false">IFERROR(S18/'Unit Economics'!$C$20,0)</f>
        <v>3942.85714285714</v>
      </c>
      <c r="T25" s="11" t="n">
        <f aca="false">IFERROR(T18/'Unit Economics'!$C$20,0)</f>
        <v>3171.42857142857</v>
      </c>
      <c r="U25" s="11" t="n">
        <f aca="false">IFERROR(U18/'Unit Economics'!$C$20,0)</f>
        <v>3257.14285714286</v>
      </c>
      <c r="V25" s="11" t="n">
        <f aca="false">IFERROR(V18/'Unit Economics'!$C$20,0)</f>
        <v>4114.28571428572</v>
      </c>
      <c r="W25" s="11" t="n">
        <f aca="false">IFERROR(W18/'Unit Economics'!$C$20,0)</f>
        <v>3514.28571428571</v>
      </c>
      <c r="X25" s="11" t="n">
        <f aca="false">IFERROR(X18/'Unit Economics'!$C$20,0)</f>
        <v>3171.42857142857</v>
      </c>
      <c r="Y25" s="11" t="n">
        <f aca="false">IFERROR(Y18/'Unit Economics'!$C$20,0)</f>
        <v>3257.14285714286</v>
      </c>
      <c r="Z25" s="11" t="n">
        <f aca="false">IFERROR(Z18/'Unit Economics'!$C$20,0)</f>
        <v>3342.85714285714</v>
      </c>
      <c r="AA25" s="11" t="n">
        <f aca="false">IFERROR(AA18/'Unit Economics'!$C$20,0)</f>
        <v>3428.57142857143</v>
      </c>
      <c r="AB25" s="11" t="n">
        <f aca="false">IFERROR(AB18/'Unit Economics'!$C$20,0)</f>
        <v>3942.85714285714</v>
      </c>
      <c r="AC25" s="11" t="n">
        <f aca="false">IFERROR(AC18/'Unit Economics'!$C$20,0)</f>
        <v>4971.42857142857</v>
      </c>
      <c r="AD25" s="11" t="n">
        <f aca="false">IFERROR(AD18/'Unit Economics'!$C$20,0)</f>
        <v>2914.28571428571</v>
      </c>
      <c r="AE25" s="11" t="n">
        <f aca="false">IFERROR(AE18/'Unit Economics'!$C$20,0)</f>
        <v>3942.85714285714</v>
      </c>
      <c r="AF25" s="11" t="n">
        <f aca="false">IFERROR(AF18/'Unit Economics'!$C$20,0)</f>
        <v>3171.42857142857</v>
      </c>
      <c r="AG25" s="11" t="n">
        <f aca="false">IFERROR(AG18/'Unit Economics'!$C$20,0)</f>
        <v>3257.14285714286</v>
      </c>
      <c r="AH25" s="11" t="n">
        <f aca="false">IFERROR(AH18/'Unit Economics'!$C$20,0)</f>
        <v>4114.28571428572</v>
      </c>
      <c r="AI25" s="11" t="n">
        <f aca="false">IFERROR(AI18/'Unit Economics'!$C$20,0)</f>
        <v>3514.28571428571</v>
      </c>
      <c r="AJ25" s="11" t="n">
        <f aca="false">IFERROR(AJ18/'Unit Economics'!$C$20,0)</f>
        <v>3171.42857142857</v>
      </c>
      <c r="AK25" s="11" t="n">
        <f aca="false">IFERROR(AK18/'Unit Economics'!$C$20,0)</f>
        <v>3257.14285714286</v>
      </c>
      <c r="AL25" s="11" t="n">
        <f aca="false">IFERROR(AL18/'Unit Economics'!$C$20,0)</f>
        <v>3342.85714285714</v>
      </c>
      <c r="AM25" s="11" t="n">
        <f aca="false">IFERROR(AM18/'Unit Economics'!$C$20,0)</f>
        <v>3428.57142857143</v>
      </c>
      <c r="AO25" s="11" t="n">
        <f aca="false">SUM(D25:O25)</f>
        <v>43028.5714285714</v>
      </c>
      <c r="AP25" s="11" t="n">
        <f aca="false">SUM(P25:AA25)</f>
        <v>43028.5714285714</v>
      </c>
      <c r="AQ25" s="11" t="n">
        <f aca="false">SUM(AB25:AM25)</f>
        <v>43028.5714285714</v>
      </c>
    </row>
    <row r="26" customFormat="false" ht="15" hidden="false" customHeight="false" outlineLevel="0" collapsed="false">
      <c r="A26" s="3" t="s">
        <v>1068</v>
      </c>
      <c r="B26" s="20" t="s">
        <v>95</v>
      </c>
      <c r="D26" s="7" t="n">
        <f aca="false">SUM(D20:D25)</f>
        <v>10460.3556574145</v>
      </c>
      <c r="E26" s="7" t="n">
        <f aca="false">SUM(E20:E25)</f>
        <v>13189.1440897835</v>
      </c>
      <c r="F26" s="7" t="n">
        <f aca="false">SUM(F20:F25)</f>
        <v>7731.56722504549</v>
      </c>
      <c r="G26" s="7" t="n">
        <f aca="false">SUM(G20:G25)</f>
        <v>10460.3556574145</v>
      </c>
      <c r="H26" s="7" t="n">
        <f aca="false">SUM(H20:H25)</f>
        <v>8413.76433313774</v>
      </c>
      <c r="I26" s="7" t="n">
        <f aca="false">SUM(I20:I25)</f>
        <v>8641.16336916849</v>
      </c>
      <c r="J26" s="7" t="n">
        <f aca="false">SUM(J20:J25)</f>
        <v>10915.153729476</v>
      </c>
      <c r="K26" s="7" t="n">
        <f aca="false">SUM(K20:K25)</f>
        <v>9323.36047726073</v>
      </c>
      <c r="L26" s="7" t="n">
        <f aca="false">SUM(L20:L25)</f>
        <v>8413.76433313774</v>
      </c>
      <c r="M26" s="7" t="n">
        <f aca="false">SUM(M20:M25)</f>
        <v>8641.16336916849</v>
      </c>
      <c r="N26" s="7" t="n">
        <f aca="false">SUM(N20:N25)</f>
        <v>8868.56240519923</v>
      </c>
      <c r="O26" s="7" t="n">
        <f aca="false">SUM(O20:O25)</f>
        <v>9095.96144122998</v>
      </c>
      <c r="P26" s="7" t="n">
        <f aca="false">SUM(P20:P25)</f>
        <v>10460.3556574145</v>
      </c>
      <c r="Q26" s="7" t="n">
        <f aca="false">SUM(Q20:Q25)</f>
        <v>13189.1440897835</v>
      </c>
      <c r="R26" s="7" t="n">
        <f aca="false">SUM(R20:R25)</f>
        <v>7731.56722504549</v>
      </c>
      <c r="S26" s="7" t="n">
        <f aca="false">SUM(S20:S25)</f>
        <v>10460.3556574145</v>
      </c>
      <c r="T26" s="7" t="n">
        <f aca="false">SUM(T20:T25)</f>
        <v>8413.76433313774</v>
      </c>
      <c r="U26" s="7" t="n">
        <f aca="false">SUM(U20:U25)</f>
        <v>8641.16336916849</v>
      </c>
      <c r="V26" s="7" t="n">
        <f aca="false">SUM(V20:V25)</f>
        <v>10915.153729476</v>
      </c>
      <c r="W26" s="7" t="n">
        <f aca="false">SUM(W20:W25)</f>
        <v>9323.36047726073</v>
      </c>
      <c r="X26" s="7" t="n">
        <f aca="false">SUM(X20:X25)</f>
        <v>8413.76433313774</v>
      </c>
      <c r="Y26" s="7" t="n">
        <f aca="false">SUM(Y20:Y25)</f>
        <v>8641.16336916849</v>
      </c>
      <c r="Z26" s="7" t="n">
        <f aca="false">SUM(Z20:Z25)</f>
        <v>8868.56240519923</v>
      </c>
      <c r="AA26" s="7" t="n">
        <f aca="false">SUM(AA20:AA25)</f>
        <v>9095.96144122998</v>
      </c>
      <c r="AB26" s="7" t="n">
        <f aca="false">SUM(AB20:AB25)</f>
        <v>10460.3556574145</v>
      </c>
      <c r="AC26" s="7" t="n">
        <f aca="false">SUM(AC20:AC25)</f>
        <v>13189.1440897835</v>
      </c>
      <c r="AD26" s="7" t="n">
        <f aca="false">SUM(AD20:AD25)</f>
        <v>7731.56722504549</v>
      </c>
      <c r="AE26" s="7" t="n">
        <f aca="false">SUM(AE20:AE25)</f>
        <v>10460.3556574145</v>
      </c>
      <c r="AF26" s="7" t="n">
        <f aca="false">SUM(AF20:AF25)</f>
        <v>8413.76433313774</v>
      </c>
      <c r="AG26" s="7" t="n">
        <f aca="false">SUM(AG20:AG25)</f>
        <v>8641.16336916849</v>
      </c>
      <c r="AH26" s="7" t="n">
        <f aca="false">SUM(AH20:AH25)</f>
        <v>10915.153729476</v>
      </c>
      <c r="AI26" s="7" t="n">
        <f aca="false">SUM(AI20:AI25)</f>
        <v>9323.36047726073</v>
      </c>
      <c r="AJ26" s="7" t="n">
        <f aca="false">SUM(AJ20:AJ25)</f>
        <v>8413.76433313774</v>
      </c>
      <c r="AK26" s="7" t="n">
        <f aca="false">SUM(AK20:AK25)</f>
        <v>8641.16336916849</v>
      </c>
      <c r="AL26" s="7" t="n">
        <f aca="false">SUM(AL20:AL25)</f>
        <v>8868.56240519923</v>
      </c>
      <c r="AM26" s="7" t="n">
        <f aca="false">SUM(AM20:AM25)</f>
        <v>9095.96144122998</v>
      </c>
      <c r="AO26" s="7" t="n">
        <f aca="false">SUM(D26:O26)</f>
        <v>114154.316087436</v>
      </c>
      <c r="AP26" s="7" t="n">
        <f aca="false">SUM(P26:AA26)</f>
        <v>114154.316087436</v>
      </c>
      <c r="AQ26" s="7" t="n">
        <f aca="false">SUM(AB26:AM26)</f>
        <v>114154.316087436</v>
      </c>
    </row>
    <row r="27" customFormat="false" ht="15" hidden="false" customHeight="false" outlineLevel="0" collapsed="false">
      <c r="A27" s="6" t="s">
        <v>1069</v>
      </c>
      <c r="B27" s="20" t="s">
        <v>95</v>
      </c>
      <c r="D27" s="11" t="n">
        <f aca="false">IF(D6=1,Inputs!$B$20,C27*(1+Inputs!$B$21*Inputs!$B$22^(D6-1)))</f>
        <v>2000</v>
      </c>
      <c r="E27" s="11" t="n">
        <f aca="false">IF(E6=1,Inputs!$B$20,D27*(1+Inputs!$B$21*Inputs!$B$22^(E6-1)))</f>
        <v>2223.2</v>
      </c>
      <c r="F27" s="11" t="n">
        <f aca="false">IF(F6=1,Inputs!$B$20,E27*(1+Inputs!$B$21*Inputs!$B$22^(F6-1)))</f>
        <v>2453.9414816</v>
      </c>
      <c r="G27" s="11" t="n">
        <f aca="false">IF(G6=1,Inputs!$B$20,F27*(1+Inputs!$B$21*Inputs!$B$22^(G6-1)))</f>
        <v>2690.80288259784</v>
      </c>
      <c r="H27" s="11" t="n">
        <f aca="false">IF(H6=1,Inputs!$B$20,G27*(1+Inputs!$B$21*Inputs!$B$22^(H6-1)))</f>
        <v>2932.34614317877</v>
      </c>
      <c r="I27" s="11" t="n">
        <f aca="false">IF(I6=1,Inputs!$B$20,H27*(1+Inputs!$B$21*Inputs!$B$22^(I6-1)))</f>
        <v>3177.14603596731</v>
      </c>
      <c r="J27" s="11" t="n">
        <f aca="false">IF(J6=1,Inputs!$B$20,I27*(1+Inputs!$B$21*Inputs!$B$22^(J6-1)))</f>
        <v>3423.81591156588</v>
      </c>
      <c r="K27" s="11" t="n">
        <f aca="false">IF(K6=1,Inputs!$B$20,J27*(1+Inputs!$B$21*Inputs!$B$22^(K6-1)))</f>
        <v>3671.02947334059</v>
      </c>
      <c r="L27" s="11" t="n">
        <f aca="false">IF(L6=1,Inputs!$B$20,K27*(1+Inputs!$B$21*Inputs!$B$22^(L6-1)))</f>
        <v>3917.53843126367</v>
      </c>
      <c r="M27" s="11" t="n">
        <f aca="false">IF(M6=1,Inputs!$B$20,L27*(1+Inputs!$B$21*Inputs!$B$22^(M6-1)))</f>
        <v>4162.18608138322</v>
      </c>
      <c r="N27" s="11" t="n">
        <f aca="false">IF(N6=1,Inputs!$B$20,M27*(1+Inputs!$B$21*Inputs!$B$22^(N6-1)))</f>
        <v>4403.91701209251</v>
      </c>
      <c r="O27" s="11" t="n">
        <f aca="false">IF(O6=1,Inputs!$B$20,N27*(1+Inputs!$B$21*Inputs!$B$22^(O6-1)))</f>
        <v>4641.78325153359</v>
      </c>
      <c r="P27" s="11" t="n">
        <f aca="false">IF(P6=1,Inputs!$B$20,O27*(1+Inputs!$B$21*Inputs!$B$22^(P6-1)))</f>
        <v>4874.94724546883</v>
      </c>
      <c r="Q27" s="11" t="n">
        <f aca="false">IF(Q6=1,Inputs!$B$20,P27*(1+Inputs!$B$21*Inputs!$B$22^(Q6-1)))</f>
        <v>5102.68209666627</v>
      </c>
      <c r="R27" s="11" t="n">
        <f aca="false">IF(R6=1,Inputs!$B$20,Q27*(1+Inputs!$B$21*Inputs!$B$22^(R6-1)))</f>
        <v>5324.36951095309</v>
      </c>
      <c r="S27" s="11" t="n">
        <f aca="false">IF(S6=1,Inputs!$B$20,R27*(1+Inputs!$B$21*Inputs!$B$22^(S6-1)))</f>
        <v>5539.4958874594</v>
      </c>
      <c r="T27" s="11" t="n">
        <f aca="false">IF(T6=1,Inputs!$B$20,S27*(1+Inputs!$B$21*Inputs!$B$22^(T6-1)))</f>
        <v>5747.6469667947</v>
      </c>
      <c r="U27" s="11" t="n">
        <f aca="false">IF(U6=1,Inputs!$B$20,T27*(1+Inputs!$B$21*Inputs!$B$22^(U6-1)))</f>
        <v>5948.50141600751</v>
      </c>
      <c r="V27" s="11" t="n">
        <f aca="false">IF(V6=1,Inputs!$B$20,U27*(1+Inputs!$B$21*Inputs!$B$22^(V6-1)))</f>
        <v>6141.82368748388</v>
      </c>
      <c r="W27" s="11" t="n">
        <f aca="false">IF(W6=1,Inputs!$B$20,V27*(1+Inputs!$B$21*Inputs!$B$22^(W6-1)))</f>
        <v>6327.45644397297</v>
      </c>
      <c r="X27" s="11" t="n">
        <f aca="false">IF(X6=1,Inputs!$B$20,W27*(1+Inputs!$B$21*Inputs!$B$22^(X6-1)))</f>
        <v>6505.31279644321</v>
      </c>
      <c r="Y27" s="11" t="n">
        <f aca="false">IF(Y6=1,Inputs!$B$20,X27*(1+Inputs!$B$21*Inputs!$B$22^(Y6-1)))</f>
        <v>6675.36855751962</v>
      </c>
      <c r="Z27" s="11" t="n">
        <f aca="false">IF(Z6=1,Inputs!$B$20,Y27*(1+Inputs!$B$21*Inputs!$B$22^(Z6-1)))</f>
        <v>6837.65467225582</v>
      </c>
      <c r="AA27" s="11" t="n">
        <f aca="false">IF(AA6=1,Inputs!$B$20,Z27*(1+Inputs!$B$21*Inputs!$B$22^(AA6-1)))</f>
        <v>6992.24995085793</v>
      </c>
      <c r="AB27" s="11" t="n">
        <f aca="false">IF(AB6=1,Inputs!$B$20,AA27*(1+Inputs!$B$21*Inputs!$B$22^(AB6-1)))</f>
        <v>7139.27419518587</v>
      </c>
      <c r="AC27" s="11" t="n">
        <f aca="false">IF(AC6=1,Inputs!$B$20,AB27*(1+Inputs!$B$21*Inputs!$B$22^(AC6-1)))</f>
        <v>7278.88178257277</v>
      </c>
      <c r="AD27" s="11" t="n">
        <f aca="false">IF(AD6=1,Inputs!$B$20,AC27*(1+Inputs!$B$21*Inputs!$B$22^(AD6-1)))</f>
        <v>7411.25574664588</v>
      </c>
      <c r="AE27" s="11" t="n">
        <f aca="false">IF(AE6=1,Inputs!$B$20,AD27*(1+Inputs!$B$21*Inputs!$B$22^(AE6-1)))</f>
        <v>7536.60237516121</v>
      </c>
      <c r="AF27" s="11" t="n">
        <f aca="false">IF(AF6=1,Inputs!$B$20,AE27*(1+Inputs!$B$21*Inputs!$B$22^(AF6-1)))</f>
        <v>7655.14632902646</v>
      </c>
      <c r="AG27" s="11" t="n">
        <f aca="false">IF(AG6=1,Inputs!$B$20,AF27*(1+Inputs!$B$21*Inputs!$B$22^(AG6-1)))</f>
        <v>7767.12627427514</v>
      </c>
      <c r="AH27" s="11" t="n">
        <f aca="false">IF(AH6=1,Inputs!$B$20,AG27*(1+Inputs!$B$21*Inputs!$B$22^(AH6-1)))</f>
        <v>7872.79100933326</v>
      </c>
      <c r="AI27" s="11" t="n">
        <f aca="false">IF(AI6=1,Inputs!$B$20,AH27*(1+Inputs!$B$21*Inputs!$B$22^(AI6-1)))</f>
        <v>7972.39606305815</v>
      </c>
      <c r="AJ27" s="11" t="n">
        <f aca="false">IF(AJ6=1,Inputs!$B$20,AI27*(1+Inputs!$B$21*Inputs!$B$22^(AJ6-1)))</f>
        <v>8066.20073431504</v>
      </c>
      <c r="AK27" s="11" t="n">
        <f aca="false">IF(AK6=1,Inputs!$B$20,AJ27*(1+Inputs!$B$21*Inputs!$B$22^(AK6-1)))</f>
        <v>8154.46554090975</v>
      </c>
      <c r="AL27" s="11" t="n">
        <f aca="false">IF(AL6=1,Inputs!$B$20,AK27*(1+Inputs!$B$21*Inputs!$B$22^(AL6-1)))</f>
        <v>8237.45004417588</v>
      </c>
      <c r="AM27" s="11" t="n">
        <f aca="false">IF(AM6=1,Inputs!$B$20,AL27*(1+Inputs!$B$21*Inputs!$B$22^(AM6-1)))</f>
        <v>8315.41101511867</v>
      </c>
    </row>
    <row r="28" customFormat="false" ht="15" hidden="false" customHeight="false" outlineLevel="0" collapsed="false">
      <c r="A28" s="3" t="s">
        <v>1070</v>
      </c>
      <c r="B28" s="20" t="s">
        <v>95</v>
      </c>
      <c r="D28" s="7" t="n">
        <f aca="false">D27*D9*Scenarios!$B$7</f>
        <v>2600</v>
      </c>
      <c r="E28" s="7" t="n">
        <f aca="false">E27*E9*Scenarios!$B$7</f>
        <v>4224.08</v>
      </c>
      <c r="F28" s="7" t="n">
        <f aca="false">F27*F9*Scenarios!$B$7</f>
        <v>1717.75903712</v>
      </c>
      <c r="G28" s="7" t="n">
        <f aca="false">G27*G9*Scenarios!$B$7</f>
        <v>3498.04374737719</v>
      </c>
      <c r="H28" s="7" t="n">
        <f aca="false">H27*H9*Scenarios!$B$7</f>
        <v>2492.49422170196</v>
      </c>
      <c r="I28" s="7" t="n">
        <f aca="false">I27*I9*Scenarios!$B$7</f>
        <v>2859.43143237058</v>
      </c>
      <c r="J28" s="7" t="n">
        <f aca="false">J27*J9*Scenarios!$B$7</f>
        <v>4793.34227619224</v>
      </c>
      <c r="K28" s="7" t="n">
        <f aca="false">K27*K9*Scenarios!$B$7</f>
        <v>3854.58094700762</v>
      </c>
      <c r="L28" s="7" t="n">
        <f aca="false">L27*L9*Scenarios!$B$7</f>
        <v>3329.90766657412</v>
      </c>
      <c r="M28" s="7" t="n">
        <f aca="false">M27*M9*Scenarios!$B$7</f>
        <v>3745.9674732449</v>
      </c>
      <c r="N28" s="7" t="n">
        <f aca="false">N27*N9*Scenarios!$B$7</f>
        <v>4183.72116148788</v>
      </c>
      <c r="O28" s="7" t="n">
        <f aca="false">O27*O9*Scenarios!$B$7</f>
        <v>4641.78325153359</v>
      </c>
      <c r="P28" s="7" t="n">
        <f aca="false">P27*P9*Scenarios!$B$7</f>
        <v>6337.43141910948</v>
      </c>
      <c r="Q28" s="7" t="n">
        <f aca="false">Q27*Q9*Scenarios!$B$7</f>
        <v>9695.0959836659</v>
      </c>
      <c r="R28" s="7" t="n">
        <f aca="false">R27*R9*Scenarios!$B$7</f>
        <v>3727.05865766716</v>
      </c>
      <c r="S28" s="7" t="n">
        <f aca="false">S27*S9*Scenarios!$B$7</f>
        <v>7201.34465369722</v>
      </c>
      <c r="T28" s="7" t="n">
        <f aca="false">T27*T9*Scenarios!$B$7</f>
        <v>4885.4999217755</v>
      </c>
      <c r="U28" s="7" t="n">
        <f aca="false">U27*U9*Scenarios!$B$7</f>
        <v>5353.65127440676</v>
      </c>
      <c r="V28" s="7" t="n">
        <f aca="false">V27*V9*Scenarios!$B$7</f>
        <v>8598.55316247743</v>
      </c>
      <c r="W28" s="7" t="n">
        <f aca="false">W27*W9*Scenarios!$B$7</f>
        <v>6643.82926617162</v>
      </c>
      <c r="X28" s="7" t="n">
        <f aca="false">X27*X9*Scenarios!$B$7</f>
        <v>5529.51587697673</v>
      </c>
      <c r="Y28" s="7" t="n">
        <f aca="false">Y27*Y9*Scenarios!$B$7</f>
        <v>6007.83170176765</v>
      </c>
      <c r="Z28" s="7" t="n">
        <f aca="false">Z27*Z9*Scenarios!$B$7</f>
        <v>6495.77193864303</v>
      </c>
      <c r="AA28" s="7" t="n">
        <f aca="false">AA27*AA9*Scenarios!$B$7</f>
        <v>6992.24995085793</v>
      </c>
      <c r="AB28" s="7" t="n">
        <f aca="false">AB27*AB9*Scenarios!$B$7</f>
        <v>9281.05645374163</v>
      </c>
      <c r="AC28" s="7" t="n">
        <f aca="false">AC27*AC9*Scenarios!$B$7</f>
        <v>13829.8753868883</v>
      </c>
      <c r="AD28" s="7" t="n">
        <f aca="false">AD27*AD9*Scenarios!$B$7</f>
        <v>5187.87902265211</v>
      </c>
      <c r="AE28" s="7" t="n">
        <f aca="false">AE27*AE9*Scenarios!$B$7</f>
        <v>9797.58308770957</v>
      </c>
      <c r="AF28" s="7" t="n">
        <f aca="false">AF27*AF9*Scenarios!$B$7</f>
        <v>6506.87437967249</v>
      </c>
      <c r="AG28" s="7" t="n">
        <f aca="false">AG27*AG9*Scenarios!$B$7</f>
        <v>6990.41364684763</v>
      </c>
      <c r="AH28" s="7" t="n">
        <f aca="false">AH27*AH9*Scenarios!$B$7</f>
        <v>11021.9074130666</v>
      </c>
      <c r="AI28" s="7" t="n">
        <f aca="false">AI27*AI9*Scenarios!$B$7</f>
        <v>8371.01586621106</v>
      </c>
      <c r="AJ28" s="7" t="n">
        <f aca="false">AJ27*AJ9*Scenarios!$B$7</f>
        <v>6856.27062416778</v>
      </c>
      <c r="AK28" s="7" t="n">
        <f aca="false">AK27*AK9*Scenarios!$B$7</f>
        <v>7339.01898681878</v>
      </c>
      <c r="AL28" s="7" t="n">
        <f aca="false">AL27*AL9*Scenarios!$B$7</f>
        <v>7825.57754196709</v>
      </c>
      <c r="AM28" s="7" t="n">
        <f aca="false">AM27*AM9*Scenarios!$B$7</f>
        <v>8315.41101511867</v>
      </c>
      <c r="AO28" s="7" t="n">
        <f aca="false">SUM(D28:O28)</f>
        <v>41941.1112146101</v>
      </c>
      <c r="AP28" s="7" t="n">
        <f aca="false">SUM(P28:AA28)</f>
        <v>77467.8338072164</v>
      </c>
      <c r="AQ28" s="7" t="n">
        <f aca="false">SUM(AB28:AM28)</f>
        <v>101322.883424862</v>
      </c>
    </row>
    <row r="29" customFormat="false" ht="15" hidden="false" customHeight="false" outlineLevel="0" collapsed="false">
      <c r="A29" s="6" t="s">
        <v>1071</v>
      </c>
      <c r="B29" s="20" t="s">
        <v>95</v>
      </c>
      <c r="D29" s="11" t="n">
        <f aca="false">C44*Inputs!$B$23*Scenarios!$B$7</f>
        <v>0</v>
      </c>
      <c r="E29" s="11" t="n">
        <f aca="false">D44*Inputs!$B$23*Scenarios!$B$7</f>
        <v>52.9722848796791</v>
      </c>
      <c r="F29" s="11" t="n">
        <f aca="false">E44*Inputs!$B$23*Scenarios!$B$7</f>
        <v>92.3967421394225</v>
      </c>
      <c r="G29" s="11" t="n">
        <f aca="false">F44*Inputs!$B$23*Scenarios!$B$7</f>
        <v>31.5039280155442</v>
      </c>
      <c r="H29" s="11" t="n">
        <f aca="false">G44*Inputs!$B$23*Scenarios!$B$7</f>
        <v>63.3295286995249</v>
      </c>
      <c r="I29" s="11" t="n">
        <f aca="false">H44*Inputs!$B$23*Scenarios!$B$7</f>
        <v>41.4776615751661</v>
      </c>
      <c r="J29" s="11" t="n">
        <f aca="false">I44*Inputs!$B$23*Scenarios!$B$7</f>
        <v>45.6631560541284</v>
      </c>
      <c r="K29" s="11" t="n">
        <f aca="false">J44*Inputs!$B$23*Scenarios!$B$7</f>
        <v>79.2700322153093</v>
      </c>
      <c r="L29" s="11" t="n">
        <f aca="false">K44*Inputs!$B$23*Scenarios!$B$7</f>
        <v>59.3962000092725</v>
      </c>
      <c r="M29" s="11" t="n">
        <f aca="false">L44*Inputs!$B$23*Scenarios!$B$7</f>
        <v>48.9703515424284</v>
      </c>
      <c r="N29" s="11" t="n">
        <f aca="false">M44*Inputs!$B$23*Scenarios!$B$7</f>
        <v>53.7894725095576</v>
      </c>
      <c r="O29" s="11" t="n">
        <f aca="false">N44*Inputs!$B$23*Scenarios!$B$7</f>
        <v>59.0535761413588</v>
      </c>
      <c r="P29" s="11" t="n">
        <f aca="false">O44*Inputs!$B$23*Scenarios!$B$7</f>
        <v>64.7351611345427</v>
      </c>
      <c r="Q29" s="11" t="n">
        <f aca="false">P44*Inputs!$B$23*Scenarios!$B$7</f>
        <v>91.259750381019</v>
      </c>
      <c r="R29" s="11" t="n">
        <f aca="false">Q44*Inputs!$B$23*Scenarios!$B$7</f>
        <v>155.021594354773</v>
      </c>
      <c r="S29" s="11" t="n">
        <f aca="false">R44*Inputs!$B$23*Scenarios!$B$7</f>
        <v>50.8852993590957</v>
      </c>
      <c r="T29" s="11" t="n">
        <f aca="false">S44*Inputs!$B$23*Scenarios!$B$7</f>
        <v>103.225589484297</v>
      </c>
      <c r="U29" s="11" t="n">
        <f aca="false">T44*Inputs!$B$23*Scenarios!$B$7</f>
        <v>65.9602240427511</v>
      </c>
      <c r="V29" s="11" t="n">
        <f aca="false">U44*Inputs!$B$23*Scenarios!$B$7</f>
        <v>71.8359252615219</v>
      </c>
      <c r="W29" s="11" t="n">
        <f aca="false">V44*Inputs!$B$23*Scenarios!$B$7</f>
        <v>123.508945009391</v>
      </c>
      <c r="X29" s="11" t="n">
        <f aca="false">W44*Inputs!$B$23*Scenarios!$B$7</f>
        <v>91.1150913602086</v>
      </c>
      <c r="Y29" s="11" t="n">
        <f aca="false">X44*Inputs!$B$23*Scenarios!$B$7</f>
        <v>73.8682077287446</v>
      </c>
      <c r="Z29" s="11" t="n">
        <f aca="false">Y44*Inputs!$B$23*Scenarios!$B$7</f>
        <v>80.3012111758035</v>
      </c>
      <c r="AA29" s="11" t="n">
        <f aca="false">Z44*Inputs!$B$23*Scenarios!$B$7</f>
        <v>87.2090932909672</v>
      </c>
      <c r="AB29" s="11" t="n">
        <f aca="false">AA44*Inputs!$B$23*Scenarios!$B$7</f>
        <v>94.535637822607</v>
      </c>
      <c r="AC29" s="11" t="n">
        <f aca="false">AB44*Inputs!$B$23*Scenarios!$B$7</f>
        <v>131.512473599171</v>
      </c>
      <c r="AD29" s="11" t="n">
        <f aca="false">AC44*Inputs!$B$23*Scenarios!$B$7</f>
        <v>218.364858862926</v>
      </c>
      <c r="AE29" s="11" t="n">
        <f aca="false">AD44*Inputs!$B$23*Scenarios!$B$7</f>
        <v>71.2836881114426</v>
      </c>
      <c r="AF29" s="11" t="n">
        <f aca="false">AE44*Inputs!$B$23*Scenarios!$B$7</f>
        <v>143.471100524067</v>
      </c>
      <c r="AG29" s="11" t="n">
        <f aca="false">AF44*Inputs!$B$23*Scenarios!$B$7</f>
        <v>90.985313635659</v>
      </c>
      <c r="AH29" s="11" t="n">
        <f aca="false">AG44*Inputs!$B$23*Scenarios!$B$7</f>
        <v>98.3027736664887</v>
      </c>
      <c r="AI29" s="11" t="n">
        <f aca="false">AH44*Inputs!$B$23*Scenarios!$B$7</f>
        <v>166.666525717921</v>
      </c>
      <c r="AJ29" s="11" t="n">
        <f aca="false">AI44*Inputs!$B$23*Scenarios!$B$7</f>
        <v>122.395783270457</v>
      </c>
      <c r="AK29" s="11" t="n">
        <f aca="false">AJ44*Inputs!$B$23*Scenarios!$B$7</f>
        <v>98.5828375721601</v>
      </c>
      <c r="AL29" s="11" t="n">
        <f aca="false">AK44*Inputs!$B$23*Scenarios!$B$7</f>
        <v>106.43706103603</v>
      </c>
      <c r="AM29" s="11" t="n">
        <f aca="false">AL44*Inputs!$B$23*Scenarios!$B$7</f>
        <v>114.789928535982</v>
      </c>
      <c r="AO29" s="11" t="n">
        <f aca="false">SUM(D29:O29)</f>
        <v>627.822933781392</v>
      </c>
      <c r="AP29" s="11" t="n">
        <f aca="false">SUM(P29:AA29)</f>
        <v>1058.92609258312</v>
      </c>
      <c r="AQ29" s="11" t="n">
        <f aca="false">SUM(AB29:AM29)</f>
        <v>1457.32798235491</v>
      </c>
    </row>
    <row r="30" customFormat="false" ht="15" hidden="false" customHeight="false" outlineLevel="0" collapsed="false">
      <c r="A30" s="3" t="s">
        <v>1072</v>
      </c>
      <c r="B30" s="20" t="s">
        <v>95</v>
      </c>
      <c r="D30" s="7" t="n">
        <f aca="false">D26+D28+D29</f>
        <v>13060.3556574145</v>
      </c>
      <c r="E30" s="7" t="n">
        <f aca="false">E26+E28+E29</f>
        <v>17466.1963746632</v>
      </c>
      <c r="F30" s="7" t="n">
        <f aca="false">F26+F28+F29</f>
        <v>9541.72300430491</v>
      </c>
      <c r="G30" s="7" t="n">
        <f aca="false">G26+G28+G29</f>
        <v>13989.9033328072</v>
      </c>
      <c r="H30" s="7" t="n">
        <f aca="false">H26+H28+H29</f>
        <v>10969.5880835392</v>
      </c>
      <c r="I30" s="7" t="n">
        <f aca="false">I26+I28+I29</f>
        <v>11542.0724631142</v>
      </c>
      <c r="J30" s="7" t="n">
        <f aca="false">J26+J28+J29</f>
        <v>15754.1591617223</v>
      </c>
      <c r="K30" s="7" t="n">
        <f aca="false">K26+K28+K29</f>
        <v>13257.2114564837</v>
      </c>
      <c r="L30" s="7" t="n">
        <f aca="false">L26+L28+L29</f>
        <v>11803.0681997211</v>
      </c>
      <c r="M30" s="7" t="n">
        <f aca="false">M26+M28+M29</f>
        <v>12436.1011939558</v>
      </c>
      <c r="N30" s="7" t="n">
        <f aca="false">N26+N28+N29</f>
        <v>13106.0730391967</v>
      </c>
      <c r="O30" s="7" t="n">
        <f aca="false">O26+O28+O29</f>
        <v>13796.7982689049</v>
      </c>
      <c r="P30" s="7" t="n">
        <f aca="false">P26+P28+P29</f>
        <v>16862.5222376585</v>
      </c>
      <c r="Q30" s="7" t="n">
        <f aca="false">Q26+Q28+Q29</f>
        <v>22975.4998238304</v>
      </c>
      <c r="R30" s="7" t="n">
        <f aca="false">R26+R28+R29</f>
        <v>11613.6474770674</v>
      </c>
      <c r="S30" s="7" t="n">
        <f aca="false">S26+S28+S29</f>
        <v>17712.5856104708</v>
      </c>
      <c r="T30" s="7" t="n">
        <f aca="false">T26+T28+T29</f>
        <v>13402.4898443975</v>
      </c>
      <c r="U30" s="7" t="n">
        <f aca="false">U26+U28+U29</f>
        <v>14060.774867618</v>
      </c>
      <c r="V30" s="7" t="n">
        <f aca="false">V26+V28+V29</f>
        <v>19585.5428172149</v>
      </c>
      <c r="W30" s="7" t="n">
        <f aca="false">W26+W28+W29</f>
        <v>16090.6986884417</v>
      </c>
      <c r="X30" s="7" t="n">
        <f aca="false">X26+X28+X29</f>
        <v>14034.3953014747</v>
      </c>
      <c r="Y30" s="7" t="n">
        <f aca="false">Y26+Y28+Y29</f>
        <v>14722.8632786649</v>
      </c>
      <c r="Z30" s="7" t="n">
        <f aca="false">Z26+Z28+Z29</f>
        <v>15444.6355550181</v>
      </c>
      <c r="AA30" s="7" t="n">
        <f aca="false">AA26+AA28+AA29</f>
        <v>16175.4204853789</v>
      </c>
      <c r="AB30" s="7" t="n">
        <f aca="false">AB26+AB28+AB29</f>
        <v>19835.9477489787</v>
      </c>
      <c r="AC30" s="7" t="n">
        <f aca="false">AC26+AC28+AC29</f>
        <v>27150.5319502709</v>
      </c>
      <c r="AD30" s="7" t="n">
        <f aca="false">AD26+AD28+AD29</f>
        <v>13137.8111065605</v>
      </c>
      <c r="AE30" s="7" t="n">
        <f aca="false">AE26+AE28+AE29</f>
        <v>20329.2224332355</v>
      </c>
      <c r="AF30" s="7" t="n">
        <f aca="false">AF26+AF28+AF29</f>
        <v>15064.1098133343</v>
      </c>
      <c r="AG30" s="7" t="n">
        <f aca="false">AG26+AG28+AG29</f>
        <v>15722.5623296518</v>
      </c>
      <c r="AH30" s="7" t="n">
        <f aca="false">AH26+AH28+AH29</f>
        <v>22035.363916209</v>
      </c>
      <c r="AI30" s="7" t="n">
        <f aca="false">AI26+AI28+AI29</f>
        <v>17861.0428691897</v>
      </c>
      <c r="AJ30" s="7" t="n">
        <f aca="false">AJ26+AJ28+AJ29</f>
        <v>15392.430740576</v>
      </c>
      <c r="AK30" s="7" t="n">
        <f aca="false">AK26+AK28+AK29</f>
        <v>16078.7651935594</v>
      </c>
      <c r="AL30" s="7" t="n">
        <f aca="false">AL26+AL28+AL29</f>
        <v>16800.5770082024</v>
      </c>
      <c r="AM30" s="7" t="n">
        <f aca="false">AM26+AM28+AM29</f>
        <v>17526.1623848846</v>
      </c>
      <c r="AO30" s="7" t="n">
        <f aca="false">SUM(D30:O30)</f>
        <v>156723.250235828</v>
      </c>
      <c r="AP30" s="7" t="n">
        <f aca="false">SUM(P30:AA30)</f>
        <v>192681.075987236</v>
      </c>
      <c r="AQ30" s="7" t="n">
        <f aca="false">SUM(AB30:AM30)</f>
        <v>216934.527494653</v>
      </c>
    </row>
    <row r="31" customFormat="false" ht="15" hidden="false" customHeight="false" outlineLevel="0" collapsed="false">
      <c r="A31" s="23" t="s">
        <v>1073</v>
      </c>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row>
    <row r="32" customFormat="false" ht="15" hidden="false" customHeight="false" outlineLevel="0" collapsed="false">
      <c r="A32" s="6" t="s">
        <v>1074</v>
      </c>
      <c r="B32" s="20" t="s">
        <v>766</v>
      </c>
      <c r="D32" s="11" t="n">
        <f aca="false">D30*Inputs!$B$15</f>
        <v>1959.05334861217</v>
      </c>
      <c r="E32" s="11" t="n">
        <f aca="false">E30*Inputs!$B$15</f>
        <v>2619.92945619947</v>
      </c>
      <c r="F32" s="11" t="n">
        <f aca="false">F30*Inputs!$B$15</f>
        <v>1431.25845064574</v>
      </c>
      <c r="G32" s="11" t="n">
        <f aca="false">G30*Inputs!$B$15</f>
        <v>2098.48549992108</v>
      </c>
      <c r="H32" s="11" t="n">
        <f aca="false">H30*Inputs!$B$15</f>
        <v>1645.43821253088</v>
      </c>
      <c r="I32" s="11" t="n">
        <f aca="false">I30*Inputs!$B$15</f>
        <v>1731.31086946713</v>
      </c>
      <c r="J32" s="11" t="n">
        <f aca="false">J30*Inputs!$B$15</f>
        <v>2363.12387425835</v>
      </c>
      <c r="K32" s="11" t="n">
        <f aca="false">K30*Inputs!$B$15</f>
        <v>1988.58171847255</v>
      </c>
      <c r="L32" s="11" t="n">
        <f aca="false">L30*Inputs!$B$15</f>
        <v>1770.46022995817</v>
      </c>
      <c r="M32" s="11" t="n">
        <f aca="false">M30*Inputs!$B$15</f>
        <v>1865.41517909337</v>
      </c>
      <c r="N32" s="11" t="n">
        <f aca="false">N30*Inputs!$B$15</f>
        <v>1965.9109558795</v>
      </c>
      <c r="O32" s="11" t="n">
        <f aca="false">O30*Inputs!$B$15</f>
        <v>2069.51974033574</v>
      </c>
      <c r="P32" s="11" t="n">
        <f aca="false">P30*Inputs!$B$15</f>
        <v>2529.37833564878</v>
      </c>
      <c r="Q32" s="11" t="n">
        <f aca="false">Q30*Inputs!$B$15</f>
        <v>3446.32497357456</v>
      </c>
      <c r="R32" s="11" t="n">
        <f aca="false">R30*Inputs!$B$15</f>
        <v>1742.04712156011</v>
      </c>
      <c r="S32" s="11" t="n">
        <f aca="false">S30*Inputs!$B$15</f>
        <v>2656.88784157062</v>
      </c>
      <c r="T32" s="11" t="n">
        <f aca="false">T30*Inputs!$B$15</f>
        <v>2010.37347665963</v>
      </c>
      <c r="U32" s="11" t="n">
        <f aca="false">U30*Inputs!$B$15</f>
        <v>2109.1162301427</v>
      </c>
      <c r="V32" s="11" t="n">
        <f aca="false">V30*Inputs!$B$15</f>
        <v>2937.83142258224</v>
      </c>
      <c r="W32" s="11" t="n">
        <f aca="false">W30*Inputs!$B$15</f>
        <v>2413.60480326626</v>
      </c>
      <c r="X32" s="11" t="n">
        <f aca="false">X30*Inputs!$B$15</f>
        <v>2105.1592952212</v>
      </c>
      <c r="Y32" s="11" t="n">
        <f aca="false">Y30*Inputs!$B$15</f>
        <v>2208.42949179973</v>
      </c>
      <c r="Z32" s="11" t="n">
        <f aca="false">Z30*Inputs!$B$15</f>
        <v>2316.69533325271</v>
      </c>
      <c r="AA32" s="11" t="n">
        <f aca="false">AA30*Inputs!$B$15</f>
        <v>2426.31307280683</v>
      </c>
      <c r="AB32" s="11" t="n">
        <f aca="false">AB30*Inputs!$B$15</f>
        <v>2975.39216234681</v>
      </c>
      <c r="AC32" s="11" t="n">
        <f aca="false">AC30*Inputs!$B$15</f>
        <v>4072.57979254064</v>
      </c>
      <c r="AD32" s="11" t="n">
        <f aca="false">AD30*Inputs!$B$15</f>
        <v>1970.67166598408</v>
      </c>
      <c r="AE32" s="11" t="n">
        <f aca="false">AE30*Inputs!$B$15</f>
        <v>3049.38336498532</v>
      </c>
      <c r="AF32" s="11" t="n">
        <f aca="false">AF30*Inputs!$B$15</f>
        <v>2259.61647200014</v>
      </c>
      <c r="AG32" s="11" t="n">
        <f aca="false">AG30*Inputs!$B$15</f>
        <v>2358.38434944777</v>
      </c>
      <c r="AH32" s="11" t="n">
        <f aca="false">AH30*Inputs!$B$15</f>
        <v>3305.30458743135</v>
      </c>
      <c r="AI32" s="11" t="n">
        <f aca="false">AI30*Inputs!$B$15</f>
        <v>2679.15643037846</v>
      </c>
      <c r="AJ32" s="11" t="n">
        <f aca="false">AJ30*Inputs!$B$15</f>
        <v>2308.8646110864</v>
      </c>
      <c r="AK32" s="11" t="n">
        <f aca="false">AK30*Inputs!$B$15</f>
        <v>2411.81477903391</v>
      </c>
      <c r="AL32" s="11" t="n">
        <f aca="false">AL30*Inputs!$B$15</f>
        <v>2520.08655123035</v>
      </c>
      <c r="AM32" s="11" t="n">
        <f aca="false">AM30*Inputs!$B$15</f>
        <v>2628.92435773269</v>
      </c>
      <c r="AO32" s="11" t="n">
        <f aca="false">SUM(D32:O32)</f>
        <v>23508.4875353742</v>
      </c>
      <c r="AP32" s="11" t="n">
        <f aca="false">SUM(P32:AA32)</f>
        <v>28902.1613980854</v>
      </c>
      <c r="AQ32" s="11" t="n">
        <f aca="false">SUM(AB32:AM32)</f>
        <v>32540.1791241979</v>
      </c>
    </row>
    <row r="33" customFormat="false" ht="15" hidden="false" customHeight="false" outlineLevel="0" collapsed="false">
      <c r="A33" s="6" t="s">
        <v>1075</v>
      </c>
      <c r="B33" s="20" t="s">
        <v>766</v>
      </c>
      <c r="D33" s="11" t="n">
        <f aca="false">SUMPRODUCT(D20:D25,'Unit Economics'!$E$15:$E$20)</f>
        <v>716.108734402852</v>
      </c>
      <c r="E33" s="11" t="n">
        <f aca="false">SUMPRODUCT(E20:E25,'Unit Economics'!$E$15:$E$20)</f>
        <v>902.919708594901</v>
      </c>
      <c r="F33" s="11" t="n">
        <f aca="false">SUMPRODUCT(F20:F25,'Unit Economics'!$E$15:$E$20)</f>
        <v>529.297760210804</v>
      </c>
      <c r="G33" s="11" t="n">
        <f aca="false">SUMPRODUCT(G20:G25,'Unit Economics'!$E$15:$E$20)</f>
        <v>716.108734402852</v>
      </c>
      <c r="H33" s="11" t="n">
        <f aca="false">SUMPRODUCT(H20:H25,'Unit Economics'!$E$15:$E$20)</f>
        <v>576.000503758816</v>
      </c>
      <c r="I33" s="11" t="n">
        <f aca="false">SUMPRODUCT(I20:I25,'Unit Economics'!$E$15:$E$20)</f>
        <v>591.568084941487</v>
      </c>
      <c r="J33" s="11" t="n">
        <f aca="false">SUMPRODUCT(J20:J25,'Unit Economics'!$E$15:$E$20)</f>
        <v>747.243896768194</v>
      </c>
      <c r="K33" s="11" t="n">
        <f aca="false">SUMPRODUCT(K20:K25,'Unit Economics'!$E$15:$E$20)</f>
        <v>638.270828489499</v>
      </c>
      <c r="L33" s="11" t="n">
        <f aca="false">SUMPRODUCT(L20:L25,'Unit Economics'!$E$15:$E$20)</f>
        <v>576.000503758816</v>
      </c>
      <c r="M33" s="11" t="n">
        <f aca="false">SUMPRODUCT(M20:M25,'Unit Economics'!$E$15:$E$20)</f>
        <v>591.568084941487</v>
      </c>
      <c r="N33" s="11" t="n">
        <f aca="false">SUMPRODUCT(N20:N25,'Unit Economics'!$E$15:$E$20)</f>
        <v>607.135666124157</v>
      </c>
      <c r="O33" s="11" t="n">
        <f aca="false">SUMPRODUCT(O20:O25,'Unit Economics'!$E$15:$E$20)</f>
        <v>622.703247306828</v>
      </c>
      <c r="P33" s="11" t="n">
        <f aca="false">SUMPRODUCT(P20:P25,'Unit Economics'!$E$15:$E$20)</f>
        <v>716.108734402852</v>
      </c>
      <c r="Q33" s="11" t="n">
        <f aca="false">SUMPRODUCT(Q20:Q25,'Unit Economics'!$E$15:$E$20)</f>
        <v>902.919708594901</v>
      </c>
      <c r="R33" s="11" t="n">
        <f aca="false">SUMPRODUCT(R20:R25,'Unit Economics'!$E$15:$E$20)</f>
        <v>529.297760210804</v>
      </c>
      <c r="S33" s="11" t="n">
        <f aca="false">SUMPRODUCT(S20:S25,'Unit Economics'!$E$15:$E$20)</f>
        <v>716.108734402852</v>
      </c>
      <c r="T33" s="11" t="n">
        <f aca="false">SUMPRODUCT(T20:T25,'Unit Economics'!$E$15:$E$20)</f>
        <v>576.000503758816</v>
      </c>
      <c r="U33" s="11" t="n">
        <f aca="false">SUMPRODUCT(U20:U25,'Unit Economics'!$E$15:$E$20)</f>
        <v>591.568084941487</v>
      </c>
      <c r="V33" s="11" t="n">
        <f aca="false">SUMPRODUCT(V20:V25,'Unit Economics'!$E$15:$E$20)</f>
        <v>747.243896768194</v>
      </c>
      <c r="W33" s="11" t="n">
        <f aca="false">SUMPRODUCT(W20:W25,'Unit Economics'!$E$15:$E$20)</f>
        <v>638.270828489499</v>
      </c>
      <c r="X33" s="11" t="n">
        <f aca="false">SUMPRODUCT(X20:X25,'Unit Economics'!$E$15:$E$20)</f>
        <v>576.000503758816</v>
      </c>
      <c r="Y33" s="11" t="n">
        <f aca="false">SUMPRODUCT(Y20:Y25,'Unit Economics'!$E$15:$E$20)</f>
        <v>591.568084941487</v>
      </c>
      <c r="Z33" s="11" t="n">
        <f aca="false">SUMPRODUCT(Z20:Z25,'Unit Economics'!$E$15:$E$20)</f>
        <v>607.135666124157</v>
      </c>
      <c r="AA33" s="11" t="n">
        <f aca="false">SUMPRODUCT(AA20:AA25,'Unit Economics'!$E$15:$E$20)</f>
        <v>622.703247306828</v>
      </c>
      <c r="AB33" s="11" t="n">
        <f aca="false">SUMPRODUCT(AB20:AB25,'Unit Economics'!$E$15:$E$20)</f>
        <v>716.108734402852</v>
      </c>
      <c r="AC33" s="11" t="n">
        <f aca="false">SUMPRODUCT(AC20:AC25,'Unit Economics'!$E$15:$E$20)</f>
        <v>902.919708594901</v>
      </c>
      <c r="AD33" s="11" t="n">
        <f aca="false">SUMPRODUCT(AD20:AD25,'Unit Economics'!$E$15:$E$20)</f>
        <v>529.297760210804</v>
      </c>
      <c r="AE33" s="11" t="n">
        <f aca="false">SUMPRODUCT(AE20:AE25,'Unit Economics'!$E$15:$E$20)</f>
        <v>716.108734402852</v>
      </c>
      <c r="AF33" s="11" t="n">
        <f aca="false">SUMPRODUCT(AF20:AF25,'Unit Economics'!$E$15:$E$20)</f>
        <v>576.000503758816</v>
      </c>
      <c r="AG33" s="11" t="n">
        <f aca="false">SUMPRODUCT(AG20:AG25,'Unit Economics'!$E$15:$E$20)</f>
        <v>591.568084941487</v>
      </c>
      <c r="AH33" s="11" t="n">
        <f aca="false">SUMPRODUCT(AH20:AH25,'Unit Economics'!$E$15:$E$20)</f>
        <v>747.243896768194</v>
      </c>
      <c r="AI33" s="11" t="n">
        <f aca="false">SUMPRODUCT(AI20:AI25,'Unit Economics'!$E$15:$E$20)</f>
        <v>638.270828489499</v>
      </c>
      <c r="AJ33" s="11" t="n">
        <f aca="false">SUMPRODUCT(AJ20:AJ25,'Unit Economics'!$E$15:$E$20)</f>
        <v>576.000503758816</v>
      </c>
      <c r="AK33" s="11" t="n">
        <f aca="false">SUMPRODUCT(AK20:AK25,'Unit Economics'!$E$15:$E$20)</f>
        <v>591.568084941487</v>
      </c>
      <c r="AL33" s="11" t="n">
        <f aca="false">SUMPRODUCT(AL20:AL25,'Unit Economics'!$E$15:$E$20)</f>
        <v>607.135666124157</v>
      </c>
      <c r="AM33" s="11" t="n">
        <f aca="false">SUMPRODUCT(AM20:AM25,'Unit Economics'!$E$15:$E$20)</f>
        <v>622.703247306828</v>
      </c>
      <c r="AO33" s="11" t="n">
        <f aca="false">SUM(D33:O33)</f>
        <v>7814.92575370069</v>
      </c>
      <c r="AP33" s="11" t="n">
        <f aca="false">SUM(P33:AA33)</f>
        <v>7814.92575370069</v>
      </c>
      <c r="AQ33" s="11" t="n">
        <f aca="false">SUM(AB33:AM33)</f>
        <v>7814.92575370069</v>
      </c>
    </row>
    <row r="34" customFormat="false" ht="15" hidden="false" customHeight="false" outlineLevel="0" collapsed="false">
      <c r="A34" s="6" t="s">
        <v>1076</v>
      </c>
      <c r="B34" s="20" t="s">
        <v>766</v>
      </c>
      <c r="D34" s="11" t="n">
        <f aca="false">Inputs!$B$12*(D28+D29)</f>
        <v>182</v>
      </c>
      <c r="E34" s="11" t="n">
        <f aca="false">Inputs!$B$12*(E28+E29)</f>
        <v>299.393659941578</v>
      </c>
      <c r="F34" s="11" t="n">
        <f aca="false">Inputs!$B$12*(F28+F29)</f>
        <v>126.71090454816</v>
      </c>
      <c r="G34" s="11" t="n">
        <f aca="false">Inputs!$B$12*(G28+G29)</f>
        <v>247.068337277492</v>
      </c>
      <c r="H34" s="11" t="n">
        <f aca="false">Inputs!$B$12*(H28+H29)</f>
        <v>178.907662528104</v>
      </c>
      <c r="I34" s="11" t="n">
        <f aca="false">Inputs!$B$12*(I28+I29)</f>
        <v>203.063636576202</v>
      </c>
      <c r="J34" s="11" t="n">
        <f aca="false">Inputs!$B$12*(J28+J29)</f>
        <v>338.730380257246</v>
      </c>
      <c r="K34" s="11" t="n">
        <f aca="false">Inputs!$B$12*(K28+K29)</f>
        <v>275.369568545605</v>
      </c>
      <c r="L34" s="11" t="n">
        <f aca="false">Inputs!$B$12*(L28+L29)</f>
        <v>237.251270660837</v>
      </c>
      <c r="M34" s="11" t="n">
        <f aca="false">Inputs!$B$12*(M28+M29)</f>
        <v>265.645647735113</v>
      </c>
      <c r="N34" s="11" t="n">
        <f aca="false">Inputs!$B$12*(N28+N29)</f>
        <v>296.625744379821</v>
      </c>
      <c r="O34" s="11" t="n">
        <f aca="false">Inputs!$B$12*(O28+O29)</f>
        <v>329.058577937246</v>
      </c>
      <c r="P34" s="11" t="n">
        <f aca="false">Inputs!$B$12*(P28+P29)</f>
        <v>448.151660617082</v>
      </c>
      <c r="Q34" s="11" t="n">
        <f aca="false">Inputs!$B$12*(Q28+Q29)</f>
        <v>685.044901383285</v>
      </c>
      <c r="R34" s="11" t="n">
        <f aca="false">Inputs!$B$12*(R28+R29)</f>
        <v>271.745617641535</v>
      </c>
      <c r="S34" s="11" t="n">
        <f aca="false">Inputs!$B$12*(S28+S29)</f>
        <v>507.656096713942</v>
      </c>
      <c r="T34" s="11" t="n">
        <f aca="false">Inputs!$B$12*(T28+T29)</f>
        <v>349.210785788186</v>
      </c>
      <c r="U34" s="11" t="n">
        <f aca="false">Inputs!$B$12*(U28+U29)</f>
        <v>379.372804891466</v>
      </c>
      <c r="V34" s="11" t="n">
        <f aca="false">Inputs!$B$12*(V28+V29)</f>
        <v>606.927236141727</v>
      </c>
      <c r="W34" s="11" t="n">
        <f aca="false">Inputs!$B$12*(W28+W29)</f>
        <v>473.713674782671</v>
      </c>
      <c r="X34" s="11" t="n">
        <f aca="false">Inputs!$B$12*(X28+X29)</f>
        <v>393.444167783586</v>
      </c>
      <c r="Y34" s="11" t="n">
        <f aca="false">Inputs!$B$12*(Y28+Y29)</f>
        <v>425.718993664748</v>
      </c>
      <c r="Z34" s="11" t="n">
        <f aca="false">Inputs!$B$12*(Z28+Z29)</f>
        <v>460.325120487318</v>
      </c>
      <c r="AA34" s="11" t="n">
        <f aca="false">Inputs!$B$12*(AA28+AA29)</f>
        <v>495.562133090423</v>
      </c>
      <c r="AB34" s="11" t="n">
        <f aca="false">Inputs!$B$12*(AB28+AB29)</f>
        <v>656.291446409497</v>
      </c>
      <c r="AC34" s="11" t="n">
        <f aca="false">Inputs!$B$12*(AC28+AC29)</f>
        <v>977.29715023412</v>
      </c>
      <c r="AD34" s="11" t="n">
        <f aca="false">Inputs!$B$12*(AD28+AD29)</f>
        <v>378.437071706053</v>
      </c>
      <c r="AE34" s="11" t="n">
        <f aca="false">Inputs!$B$12*(AE28+AE29)</f>
        <v>690.820674307471</v>
      </c>
      <c r="AF34" s="11" t="n">
        <f aca="false">Inputs!$B$12*(AF28+AF29)</f>
        <v>465.524183613759</v>
      </c>
      <c r="AG34" s="11" t="n">
        <f aca="false">Inputs!$B$12*(AG28+AG29)</f>
        <v>495.69792723383</v>
      </c>
      <c r="AH34" s="11" t="n">
        <f aca="false">Inputs!$B$12*(AH28+AH29)</f>
        <v>778.414713071313</v>
      </c>
      <c r="AI34" s="11" t="n">
        <f aca="false">Inputs!$B$12*(AI28+AI29)</f>
        <v>597.637767435029</v>
      </c>
      <c r="AJ34" s="11" t="n">
        <f aca="false">Inputs!$B$12*(AJ28+AJ29)</f>
        <v>488.506648520677</v>
      </c>
      <c r="AK34" s="11" t="n">
        <f aca="false">Inputs!$B$12*(AK28+AK29)</f>
        <v>520.632127707366</v>
      </c>
      <c r="AL34" s="11" t="n">
        <f aca="false">Inputs!$B$12*(AL28+AL29)</f>
        <v>555.241022210218</v>
      </c>
      <c r="AM34" s="11" t="n">
        <f aca="false">Inputs!$B$12*(AM28+AM29)</f>
        <v>590.114066055825</v>
      </c>
      <c r="AO34" s="11" t="n">
        <f aca="false">SUM(D34:O34)</f>
        <v>2979.8253903874</v>
      </c>
      <c r="AP34" s="11" t="n">
        <f aca="false">SUM(P34:AA34)</f>
        <v>5496.87319298597</v>
      </c>
      <c r="AQ34" s="11" t="n">
        <f aca="false">SUM(AB34:AM34)</f>
        <v>7194.61479850516</v>
      </c>
    </row>
    <row r="35" customFormat="false" ht="15" hidden="false" customHeight="false" outlineLevel="0" collapsed="false">
      <c r="A35" s="3" t="s">
        <v>1077</v>
      </c>
      <c r="B35" s="20" t="s">
        <v>766</v>
      </c>
      <c r="D35" s="7" t="n">
        <f aca="false">D33+D34</f>
        <v>898.108734402852</v>
      </c>
      <c r="E35" s="7" t="n">
        <f aca="false">E33+E34</f>
        <v>1202.31336853648</v>
      </c>
      <c r="F35" s="7" t="n">
        <f aca="false">F33+F34</f>
        <v>656.008664758963</v>
      </c>
      <c r="G35" s="7" t="n">
        <f aca="false">G33+G34</f>
        <v>963.177071680344</v>
      </c>
      <c r="H35" s="7" t="n">
        <f aca="false">H33+H34</f>
        <v>754.90816628692</v>
      </c>
      <c r="I35" s="7" t="n">
        <f aca="false">I33+I34</f>
        <v>794.631721517689</v>
      </c>
      <c r="J35" s="7" t="n">
        <f aca="false">J33+J34</f>
        <v>1085.97427702544</v>
      </c>
      <c r="K35" s="7" t="n">
        <f aca="false">K33+K34</f>
        <v>913.640397035104</v>
      </c>
      <c r="L35" s="7" t="n">
        <f aca="false">L33+L34</f>
        <v>813.251774419653</v>
      </c>
      <c r="M35" s="7" t="n">
        <f aca="false">M33+M34</f>
        <v>857.2137326766</v>
      </c>
      <c r="N35" s="7" t="n">
        <f aca="false">N33+N34</f>
        <v>903.761410503978</v>
      </c>
      <c r="O35" s="7" t="n">
        <f aca="false">O33+O34</f>
        <v>951.761825244074</v>
      </c>
      <c r="P35" s="7" t="n">
        <f aca="false">P33+P34</f>
        <v>1164.26039501993</v>
      </c>
      <c r="Q35" s="7" t="n">
        <f aca="false">Q33+Q34</f>
        <v>1587.96460997819</v>
      </c>
      <c r="R35" s="7" t="n">
        <f aca="false">R33+R34</f>
        <v>801.043377852339</v>
      </c>
      <c r="S35" s="7" t="n">
        <f aca="false">S33+S34</f>
        <v>1223.76483111679</v>
      </c>
      <c r="T35" s="7" t="n">
        <f aca="false">T33+T34</f>
        <v>925.211289547002</v>
      </c>
      <c r="U35" s="7" t="n">
        <f aca="false">U33+U34</f>
        <v>970.940889832952</v>
      </c>
      <c r="V35" s="7" t="n">
        <f aca="false">V33+V34</f>
        <v>1354.17113290992</v>
      </c>
      <c r="W35" s="7" t="n">
        <f aca="false">W33+W34</f>
        <v>1111.98450327217</v>
      </c>
      <c r="X35" s="7" t="n">
        <f aca="false">X33+X34</f>
        <v>969.444671542402</v>
      </c>
      <c r="Y35" s="7" t="n">
        <f aca="false">Y33+Y34</f>
        <v>1017.28707860623</v>
      </c>
      <c r="Z35" s="7" t="n">
        <f aca="false">Z33+Z34</f>
        <v>1067.46078661148</v>
      </c>
      <c r="AA35" s="7" t="n">
        <f aca="false">AA33+AA34</f>
        <v>1118.26538039725</v>
      </c>
      <c r="AB35" s="7" t="n">
        <f aca="false">AB33+AB34</f>
        <v>1372.40018081235</v>
      </c>
      <c r="AC35" s="7" t="n">
        <f aca="false">AC33+AC34</f>
        <v>1880.21685882902</v>
      </c>
      <c r="AD35" s="7" t="n">
        <f aca="false">AD33+AD34</f>
        <v>907.734831916857</v>
      </c>
      <c r="AE35" s="7" t="n">
        <f aca="false">AE33+AE34</f>
        <v>1406.92940871032</v>
      </c>
      <c r="AF35" s="7" t="n">
        <f aca="false">AF33+AF34</f>
        <v>1041.52468737257</v>
      </c>
      <c r="AG35" s="7" t="n">
        <f aca="false">AG33+AG34</f>
        <v>1087.26601217532</v>
      </c>
      <c r="AH35" s="7" t="n">
        <f aca="false">AH33+AH34</f>
        <v>1525.65860983951</v>
      </c>
      <c r="AI35" s="7" t="n">
        <f aca="false">AI33+AI34</f>
        <v>1235.90859592453</v>
      </c>
      <c r="AJ35" s="7" t="n">
        <f aca="false">AJ33+AJ34</f>
        <v>1064.50715227949</v>
      </c>
      <c r="AK35" s="7" t="n">
        <f aca="false">AK33+AK34</f>
        <v>1112.20021264885</v>
      </c>
      <c r="AL35" s="7" t="n">
        <f aca="false">AL33+AL34</f>
        <v>1162.37668833438</v>
      </c>
      <c r="AM35" s="7" t="n">
        <f aca="false">AM33+AM34</f>
        <v>1212.81731336265</v>
      </c>
      <c r="AO35" s="7" t="n">
        <f aca="false">SUM(D35:O35)</f>
        <v>10794.7511440881</v>
      </c>
      <c r="AP35" s="7" t="n">
        <f aca="false">SUM(P35:AA35)</f>
        <v>13311.7989466867</v>
      </c>
      <c r="AQ35" s="7" t="n">
        <f aca="false">SUM(AB35:AM35)</f>
        <v>15009.5405522058</v>
      </c>
    </row>
    <row r="36" customFormat="false" ht="15" hidden="false" customHeight="false" outlineLevel="0" collapsed="false">
      <c r="A36" s="6" t="s">
        <v>1078</v>
      </c>
      <c r="B36" s="20" t="s">
        <v>766</v>
      </c>
      <c r="D36" s="11" t="n">
        <f aca="false">D35*Inputs!$B$13</f>
        <v>538.865240641711</v>
      </c>
      <c r="E36" s="11" t="n">
        <f aca="false">E35*Inputs!$B$13</f>
        <v>721.388021121887</v>
      </c>
      <c r="F36" s="11" t="n">
        <f aca="false">F35*Inputs!$B$13</f>
        <v>393.605198855378</v>
      </c>
      <c r="G36" s="11" t="n">
        <f aca="false">G35*Inputs!$B$13</f>
        <v>577.906243008206</v>
      </c>
      <c r="H36" s="11" t="n">
        <f aca="false">H35*Inputs!$B$13</f>
        <v>452.944899772152</v>
      </c>
      <c r="I36" s="11" t="n">
        <f aca="false">I35*Inputs!$B$13</f>
        <v>476.779032910613</v>
      </c>
      <c r="J36" s="11" t="n">
        <f aca="false">J35*Inputs!$B$13</f>
        <v>651.584566215264</v>
      </c>
      <c r="K36" s="11" t="n">
        <f aca="false">K35*Inputs!$B$13</f>
        <v>548.184238221062</v>
      </c>
      <c r="L36" s="11" t="n">
        <f aca="false">L35*Inputs!$B$13</f>
        <v>487.951064651792</v>
      </c>
      <c r="M36" s="11" t="n">
        <f aca="false">M35*Inputs!$B$13</f>
        <v>514.32823960596</v>
      </c>
      <c r="N36" s="11" t="n">
        <f aca="false">N35*Inputs!$B$13</f>
        <v>542.256846302387</v>
      </c>
      <c r="O36" s="11" t="n">
        <f aca="false">O35*Inputs!$B$13</f>
        <v>571.057095146445</v>
      </c>
      <c r="P36" s="11" t="n">
        <f aca="false">P35*Inputs!$B$13</f>
        <v>698.55623701196</v>
      </c>
      <c r="Q36" s="11" t="n">
        <f aca="false">Q35*Inputs!$B$13</f>
        <v>952.778765986911</v>
      </c>
      <c r="R36" s="11" t="n">
        <f aca="false">R35*Inputs!$B$13</f>
        <v>480.626026711404</v>
      </c>
      <c r="S36" s="11" t="n">
        <f aca="false">S35*Inputs!$B$13</f>
        <v>734.258898670076</v>
      </c>
      <c r="T36" s="11" t="n">
        <f aca="false">T35*Inputs!$B$13</f>
        <v>555.126773728201</v>
      </c>
      <c r="U36" s="11" t="n">
        <f aca="false">U35*Inputs!$B$13</f>
        <v>582.564533899771</v>
      </c>
      <c r="V36" s="11" t="n">
        <f aca="false">V35*Inputs!$B$13</f>
        <v>812.502679745952</v>
      </c>
      <c r="W36" s="11" t="n">
        <f aca="false">W35*Inputs!$B$13</f>
        <v>667.190701963302</v>
      </c>
      <c r="X36" s="11" t="n">
        <f aca="false">X35*Inputs!$B$13</f>
        <v>581.666802925441</v>
      </c>
      <c r="Y36" s="11" t="n">
        <f aca="false">Y35*Inputs!$B$13</f>
        <v>610.372247163741</v>
      </c>
      <c r="Z36" s="11" t="n">
        <f aca="false">Z35*Inputs!$B$13</f>
        <v>640.476471966885</v>
      </c>
      <c r="AA36" s="11" t="n">
        <f aca="false">AA35*Inputs!$B$13</f>
        <v>670.95922823835</v>
      </c>
      <c r="AB36" s="11" t="n">
        <f aca="false">AB35*Inputs!$B$13</f>
        <v>823.440108487409</v>
      </c>
      <c r="AC36" s="11" t="n">
        <f aca="false">AC35*Inputs!$B$13</f>
        <v>1128.13011529741</v>
      </c>
      <c r="AD36" s="11" t="n">
        <f aca="false">AD35*Inputs!$B$13</f>
        <v>544.640899150114</v>
      </c>
      <c r="AE36" s="11" t="n">
        <f aca="false">AE35*Inputs!$B$13</f>
        <v>844.157645226194</v>
      </c>
      <c r="AF36" s="11" t="n">
        <f aca="false">AF35*Inputs!$B$13</f>
        <v>624.914812423545</v>
      </c>
      <c r="AG36" s="11" t="n">
        <f aca="false">AG35*Inputs!$B$13</f>
        <v>652.35960730519</v>
      </c>
      <c r="AH36" s="11" t="n">
        <f aca="false">AH35*Inputs!$B$13</f>
        <v>915.395165903704</v>
      </c>
      <c r="AI36" s="11" t="n">
        <f aca="false">AI35*Inputs!$B$13</f>
        <v>741.545157554716</v>
      </c>
      <c r="AJ36" s="11" t="n">
        <f aca="false">AJ35*Inputs!$B$13</f>
        <v>638.704291367696</v>
      </c>
      <c r="AK36" s="11" t="n">
        <f aca="false">AK35*Inputs!$B$13</f>
        <v>667.320127589311</v>
      </c>
      <c r="AL36" s="11" t="n">
        <f aca="false">AL35*Inputs!$B$13</f>
        <v>697.426013000625</v>
      </c>
      <c r="AM36" s="11" t="n">
        <f aca="false">AM35*Inputs!$B$13</f>
        <v>727.690388017592</v>
      </c>
      <c r="AO36" s="11" t="n">
        <f aca="false">SUM(D36:O36)</f>
        <v>6476.85068645286</v>
      </c>
      <c r="AP36" s="11" t="n">
        <f aca="false">SUM(P36:AA36)</f>
        <v>7987.07936801199</v>
      </c>
      <c r="AQ36" s="11" t="n">
        <f aca="false">SUM(AB36:AM36)</f>
        <v>9005.72433132351</v>
      </c>
    </row>
    <row r="37" customFormat="false" ht="15" hidden="false" customHeight="false" outlineLevel="0" collapsed="false">
      <c r="A37" s="6" t="s">
        <v>1079</v>
      </c>
      <c r="B37" s="20" t="s">
        <v>103</v>
      </c>
      <c r="D37" s="68" t="n">
        <f aca="false">Scenarios!$B$8*D10</f>
        <v>1.15</v>
      </c>
      <c r="E37" s="68" t="n">
        <f aca="false">Scenarios!$B$8*E10</f>
        <v>1.45</v>
      </c>
      <c r="F37" s="68" t="n">
        <f aca="false">Scenarios!$B$8*F10</f>
        <v>0.85</v>
      </c>
      <c r="G37" s="68" t="n">
        <f aca="false">Scenarios!$B$8*G10</f>
        <v>1.15</v>
      </c>
      <c r="H37" s="68" t="n">
        <f aca="false">Scenarios!$B$8*H10</f>
        <v>0.925</v>
      </c>
      <c r="I37" s="68" t="n">
        <f aca="false">Scenarios!$B$8*I10</f>
        <v>0.95</v>
      </c>
      <c r="J37" s="68" t="n">
        <f aca="false">Scenarios!$B$8*J10</f>
        <v>1.2</v>
      </c>
      <c r="K37" s="68" t="n">
        <f aca="false">Scenarios!$B$8*K10</f>
        <v>1.025</v>
      </c>
      <c r="L37" s="68" t="n">
        <f aca="false">Scenarios!$B$8*L10</f>
        <v>0.925</v>
      </c>
      <c r="M37" s="68" t="n">
        <f aca="false">Scenarios!$B$8*M10</f>
        <v>0.95</v>
      </c>
      <c r="N37" s="68" t="n">
        <f aca="false">Scenarios!$B$8*N10</f>
        <v>0.975</v>
      </c>
      <c r="O37" s="68" t="n">
        <f aca="false">Scenarios!$B$8*O10</f>
        <v>1</v>
      </c>
      <c r="P37" s="68" t="n">
        <f aca="false">Scenarios!$B$8*P10</f>
        <v>1.15</v>
      </c>
      <c r="Q37" s="68" t="n">
        <f aca="false">Scenarios!$B$8*Q10</f>
        <v>1.45</v>
      </c>
      <c r="R37" s="68" t="n">
        <f aca="false">Scenarios!$B$8*R10</f>
        <v>0.85</v>
      </c>
      <c r="S37" s="68" t="n">
        <f aca="false">Scenarios!$B$8*S10</f>
        <v>1.15</v>
      </c>
      <c r="T37" s="68" t="n">
        <f aca="false">Scenarios!$B$8*T10</f>
        <v>0.925</v>
      </c>
      <c r="U37" s="68" t="n">
        <f aca="false">Scenarios!$B$8*U10</f>
        <v>0.95</v>
      </c>
      <c r="V37" s="68" t="n">
        <f aca="false">Scenarios!$B$8*V10</f>
        <v>1.2</v>
      </c>
      <c r="W37" s="68" t="n">
        <f aca="false">Scenarios!$B$8*W10</f>
        <v>1.025</v>
      </c>
      <c r="X37" s="68" t="n">
        <f aca="false">Scenarios!$B$8*X10</f>
        <v>0.925</v>
      </c>
      <c r="Y37" s="68" t="n">
        <f aca="false">Scenarios!$B$8*Y10</f>
        <v>0.95</v>
      </c>
      <c r="Z37" s="68" t="n">
        <f aca="false">Scenarios!$B$8*Z10</f>
        <v>0.975</v>
      </c>
      <c r="AA37" s="68" t="n">
        <f aca="false">Scenarios!$B$8*AA10</f>
        <v>1</v>
      </c>
      <c r="AB37" s="68" t="n">
        <f aca="false">Scenarios!$B$8*AB10</f>
        <v>1.15</v>
      </c>
      <c r="AC37" s="68" t="n">
        <f aca="false">Scenarios!$B$8*AC10</f>
        <v>1.45</v>
      </c>
      <c r="AD37" s="68" t="n">
        <f aca="false">Scenarios!$B$8*AD10</f>
        <v>0.85</v>
      </c>
      <c r="AE37" s="68" t="n">
        <f aca="false">Scenarios!$B$8*AE10</f>
        <v>1.15</v>
      </c>
      <c r="AF37" s="68" t="n">
        <f aca="false">Scenarios!$B$8*AF10</f>
        <v>0.925</v>
      </c>
      <c r="AG37" s="68" t="n">
        <f aca="false">Scenarios!$B$8*AG10</f>
        <v>0.95</v>
      </c>
      <c r="AH37" s="68" t="n">
        <f aca="false">Scenarios!$B$8*AH10</f>
        <v>1.2</v>
      </c>
      <c r="AI37" s="68" t="n">
        <f aca="false">Scenarios!$B$8*AI10</f>
        <v>1.025</v>
      </c>
      <c r="AJ37" s="68" t="n">
        <f aca="false">Scenarios!$B$8*AJ10</f>
        <v>0.925</v>
      </c>
      <c r="AK37" s="68" t="n">
        <f aca="false">Scenarios!$B$8*AK10</f>
        <v>0.95</v>
      </c>
      <c r="AL37" s="68" t="n">
        <f aca="false">Scenarios!$B$8*AL10</f>
        <v>0.975</v>
      </c>
      <c r="AM37" s="68" t="n">
        <f aca="false">Scenarios!$B$8*AM10</f>
        <v>1</v>
      </c>
      <c r="AO37" s="68" t="n">
        <f aca="false">AVERAGE(D37:O37)</f>
        <v>1.04583333333333</v>
      </c>
      <c r="AP37" s="68" t="n">
        <f aca="false">AVERAGE(P37:AA37)</f>
        <v>1.04583333333333</v>
      </c>
      <c r="AQ37" s="68" t="n">
        <f aca="false">AVERAGE(AB37:AM37)</f>
        <v>1.04583333333333</v>
      </c>
    </row>
    <row r="38" customFormat="false" ht="15" hidden="false" customHeight="false" outlineLevel="0" collapsed="false">
      <c r="A38" s="6" t="s">
        <v>1080</v>
      </c>
      <c r="B38" s="20" t="s">
        <v>766</v>
      </c>
      <c r="D38" s="11" t="n">
        <f aca="false">SUMPRODUCT(D20:D25,'Unit Economics'!$E$15:$E$20,Inputs!$H$57:$H$62)*D37</f>
        <v>122.147854723708</v>
      </c>
      <c r="E38" s="11" t="n">
        <f aca="false">SUMPRODUCT(E20:E25,'Unit Economics'!$E$15:$E$20,Inputs!$H$57:$H$62)*E37</f>
        <v>194.189689645819</v>
      </c>
      <c r="F38" s="11" t="n">
        <f aca="false">SUMPRODUCT(F20:F25,'Unit Economics'!$E$15:$E$20,Inputs!$H$57:$H$62)*F37</f>
        <v>66.731058629776</v>
      </c>
      <c r="G38" s="11" t="n">
        <f aca="false">SUMPRODUCT(G20:G25,'Unit Economics'!$E$15:$E$20,Inputs!$H$57:$H$62)*G37</f>
        <v>122.147854723708</v>
      </c>
      <c r="H38" s="11" t="n">
        <f aca="false">SUMPRODUCT(H20:H25,'Unit Economics'!$E$15:$E$20,Inputs!$H$57:$H$62)*H37</f>
        <v>79.0266602631171</v>
      </c>
      <c r="I38" s="11" t="n">
        <f aca="false">SUMPRODUCT(I20:I25,'Unit Economics'!$E$15:$E$20,Inputs!$H$57:$H$62)*I37</f>
        <v>83.3560974579555</v>
      </c>
      <c r="J38" s="11" t="n">
        <f aca="false">SUMPRODUCT(J20:J25,'Unit Economics'!$E$15:$E$20,Inputs!$H$57:$H$62)*J37</f>
        <v>133.000310625436</v>
      </c>
      <c r="K38" s="11" t="n">
        <f aca="false">SUMPRODUCT(K20:K25,'Unit Economics'!$E$15:$E$20,Inputs!$H$57:$H$62)*K37</f>
        <v>97.0371189936449</v>
      </c>
      <c r="L38" s="11" t="n">
        <f aca="false">SUMPRODUCT(L20:L25,'Unit Economics'!$E$15:$E$20,Inputs!$H$57:$H$62)*L37</f>
        <v>79.0266602631171</v>
      </c>
      <c r="M38" s="11" t="n">
        <f aca="false">SUMPRODUCT(M20:M25,'Unit Economics'!$E$15:$E$20,Inputs!$H$57:$H$62)*M37</f>
        <v>83.3560974579555</v>
      </c>
      <c r="N38" s="11" t="n">
        <f aca="false">SUMPRODUCT(N20:N25,'Unit Economics'!$E$15:$E$20,Inputs!$H$57:$H$62)*N37</f>
        <v>87.8009863113229</v>
      </c>
      <c r="O38" s="11" t="n">
        <f aca="false">SUMPRODUCT(O20:O25,'Unit Economics'!$E$15:$E$20,Inputs!$H$57:$H$62)*O37</f>
        <v>92.3613268232194</v>
      </c>
      <c r="P38" s="11" t="n">
        <f aca="false">SUMPRODUCT(P20:P25,'Unit Economics'!$E$15:$E$20,Inputs!$H$57:$H$62)*P37</f>
        <v>122.147854723708</v>
      </c>
      <c r="Q38" s="11" t="n">
        <f aca="false">SUMPRODUCT(Q20:Q25,'Unit Economics'!$E$15:$E$20,Inputs!$H$57:$H$62)*Q37</f>
        <v>194.189689645819</v>
      </c>
      <c r="R38" s="11" t="n">
        <f aca="false">SUMPRODUCT(R20:R25,'Unit Economics'!$E$15:$E$20,Inputs!$H$57:$H$62)*R37</f>
        <v>66.731058629776</v>
      </c>
      <c r="S38" s="11" t="n">
        <f aca="false">SUMPRODUCT(S20:S25,'Unit Economics'!$E$15:$E$20,Inputs!$H$57:$H$62)*S37</f>
        <v>122.147854723708</v>
      </c>
      <c r="T38" s="11" t="n">
        <f aca="false">SUMPRODUCT(T20:T25,'Unit Economics'!$E$15:$E$20,Inputs!$H$57:$H$62)*T37</f>
        <v>79.0266602631171</v>
      </c>
      <c r="U38" s="11" t="n">
        <f aca="false">SUMPRODUCT(U20:U25,'Unit Economics'!$E$15:$E$20,Inputs!$H$57:$H$62)*U37</f>
        <v>83.3560974579555</v>
      </c>
      <c r="V38" s="11" t="n">
        <f aca="false">SUMPRODUCT(V20:V25,'Unit Economics'!$E$15:$E$20,Inputs!$H$57:$H$62)*V37</f>
        <v>133.000310625436</v>
      </c>
      <c r="W38" s="11" t="n">
        <f aca="false">SUMPRODUCT(W20:W25,'Unit Economics'!$E$15:$E$20,Inputs!$H$57:$H$62)*W37</f>
        <v>97.0371189936449</v>
      </c>
      <c r="X38" s="11" t="n">
        <f aca="false">SUMPRODUCT(X20:X25,'Unit Economics'!$E$15:$E$20,Inputs!$H$57:$H$62)*X37</f>
        <v>79.0266602631171</v>
      </c>
      <c r="Y38" s="11" t="n">
        <f aca="false">SUMPRODUCT(Y20:Y25,'Unit Economics'!$E$15:$E$20,Inputs!$H$57:$H$62)*Y37</f>
        <v>83.3560974579555</v>
      </c>
      <c r="Z38" s="11" t="n">
        <f aca="false">SUMPRODUCT(Z20:Z25,'Unit Economics'!$E$15:$E$20,Inputs!$H$57:$H$62)*Z37</f>
        <v>87.8009863113229</v>
      </c>
      <c r="AA38" s="11" t="n">
        <f aca="false">SUMPRODUCT(AA20:AA25,'Unit Economics'!$E$15:$E$20,Inputs!$H$57:$H$62)*AA37</f>
        <v>92.3613268232194</v>
      </c>
      <c r="AB38" s="11" t="n">
        <f aca="false">SUMPRODUCT(AB20:AB25,'Unit Economics'!$E$15:$E$20,Inputs!$H$57:$H$62)*AB37</f>
        <v>122.147854723708</v>
      </c>
      <c r="AC38" s="11" t="n">
        <f aca="false">SUMPRODUCT(AC20:AC25,'Unit Economics'!$E$15:$E$20,Inputs!$H$57:$H$62)*AC37</f>
        <v>194.189689645819</v>
      </c>
      <c r="AD38" s="11" t="n">
        <f aca="false">SUMPRODUCT(AD20:AD25,'Unit Economics'!$E$15:$E$20,Inputs!$H$57:$H$62)*AD37</f>
        <v>66.731058629776</v>
      </c>
      <c r="AE38" s="11" t="n">
        <f aca="false">SUMPRODUCT(AE20:AE25,'Unit Economics'!$E$15:$E$20,Inputs!$H$57:$H$62)*AE37</f>
        <v>122.147854723708</v>
      </c>
      <c r="AF38" s="11" t="n">
        <f aca="false">SUMPRODUCT(AF20:AF25,'Unit Economics'!$E$15:$E$20,Inputs!$H$57:$H$62)*AF37</f>
        <v>79.0266602631171</v>
      </c>
      <c r="AG38" s="11" t="n">
        <f aca="false">SUMPRODUCT(AG20:AG25,'Unit Economics'!$E$15:$E$20,Inputs!$H$57:$H$62)*AG37</f>
        <v>83.3560974579555</v>
      </c>
      <c r="AH38" s="11" t="n">
        <f aca="false">SUMPRODUCT(AH20:AH25,'Unit Economics'!$E$15:$E$20,Inputs!$H$57:$H$62)*AH37</f>
        <v>133.000310625436</v>
      </c>
      <c r="AI38" s="11" t="n">
        <f aca="false">SUMPRODUCT(AI20:AI25,'Unit Economics'!$E$15:$E$20,Inputs!$H$57:$H$62)*AI37</f>
        <v>97.0371189936449</v>
      </c>
      <c r="AJ38" s="11" t="n">
        <f aca="false">SUMPRODUCT(AJ20:AJ25,'Unit Economics'!$E$15:$E$20,Inputs!$H$57:$H$62)*AJ37</f>
        <v>79.0266602631171</v>
      </c>
      <c r="AK38" s="11" t="n">
        <f aca="false">SUMPRODUCT(AK20:AK25,'Unit Economics'!$E$15:$E$20,Inputs!$H$57:$H$62)*AK37</f>
        <v>83.3560974579555</v>
      </c>
      <c r="AL38" s="11" t="n">
        <f aca="false">SUMPRODUCT(AL20:AL25,'Unit Economics'!$E$15:$E$20,Inputs!$H$57:$H$62)*AL37</f>
        <v>87.8009863113229</v>
      </c>
      <c r="AM38" s="11" t="n">
        <f aca="false">SUMPRODUCT(AM20:AM25,'Unit Economics'!$E$15:$E$20,Inputs!$H$57:$H$62)*AM37</f>
        <v>92.3613268232194</v>
      </c>
      <c r="AO38" s="11" t="n">
        <f aca="false">SUM(D38:O38)</f>
        <v>1240.18171591878</v>
      </c>
      <c r="AP38" s="11" t="n">
        <f aca="false">SUM(P38:AA38)</f>
        <v>1240.18171591878</v>
      </c>
      <c r="AQ38" s="11" t="n">
        <f aca="false">SUM(AB38:AM38)</f>
        <v>1240.18171591878</v>
      </c>
    </row>
    <row r="39" customFormat="false" ht="15" hidden="false" customHeight="false" outlineLevel="0" collapsed="false">
      <c r="A39" s="6" t="s">
        <v>1081</v>
      </c>
      <c r="B39" s="20" t="s">
        <v>766</v>
      </c>
      <c r="D39" s="11" t="n">
        <f aca="false">D34*Inputs!$B$13*Inputs!$B$14*D37</f>
        <v>31.395</v>
      </c>
      <c r="E39" s="11" t="n">
        <f aca="false">E34*Inputs!$B$13*Inputs!$B$14*E37</f>
        <v>65.1181210372931</v>
      </c>
      <c r="F39" s="11" t="n">
        <f aca="false">F34*Inputs!$B$13*Inputs!$B$14*F37</f>
        <v>16.1556403298903</v>
      </c>
      <c r="G39" s="11" t="n">
        <f aca="false">G34*Inputs!$B$13*Inputs!$B$14*G37</f>
        <v>42.6192881803673</v>
      </c>
      <c r="H39" s="11" t="n">
        <f aca="false">H34*Inputs!$B$13*Inputs!$B$14*H37</f>
        <v>24.8234381757744</v>
      </c>
      <c r="I39" s="11" t="n">
        <f aca="false">I34*Inputs!$B$13*Inputs!$B$14*I37</f>
        <v>28.9365682121089</v>
      </c>
      <c r="J39" s="11" t="n">
        <f aca="false">J34*Inputs!$B$13*Inputs!$B$14*J37</f>
        <v>60.9714684463042</v>
      </c>
      <c r="K39" s="11" t="n">
        <f aca="false">K34*Inputs!$B$13*Inputs!$B$14*K37</f>
        <v>42.3380711638868</v>
      </c>
      <c r="L39" s="11" t="n">
        <f aca="false">L34*Inputs!$B$13*Inputs!$B$14*L37</f>
        <v>32.9186138041912</v>
      </c>
      <c r="M39" s="11" t="n">
        <f aca="false">M34*Inputs!$B$13*Inputs!$B$14*M37</f>
        <v>37.8545048022536</v>
      </c>
      <c r="N39" s="11" t="n">
        <f aca="false">N34*Inputs!$B$13*Inputs!$B$14*N37</f>
        <v>43.3815151155488</v>
      </c>
      <c r="O39" s="11" t="n">
        <f aca="false">O34*Inputs!$B$13*Inputs!$B$14*O37</f>
        <v>49.3587866905869</v>
      </c>
      <c r="P39" s="11" t="n">
        <f aca="false">P34*Inputs!$B$13*Inputs!$B$14*P37</f>
        <v>77.3061614564466</v>
      </c>
      <c r="Q39" s="11" t="n">
        <f aca="false">Q34*Inputs!$B$13*Inputs!$B$14*Q37</f>
        <v>148.997266050864</v>
      </c>
      <c r="R39" s="11" t="n">
        <f aca="false">R34*Inputs!$B$13*Inputs!$B$14*R37</f>
        <v>34.6475662492958</v>
      </c>
      <c r="S39" s="11" t="n">
        <f aca="false">S34*Inputs!$B$13*Inputs!$B$14*S37</f>
        <v>87.5706766831549</v>
      </c>
      <c r="T39" s="11" t="n">
        <f aca="false">T34*Inputs!$B$13*Inputs!$B$14*T37</f>
        <v>48.4529965281108</v>
      </c>
      <c r="U39" s="11" t="n">
        <f aca="false">U34*Inputs!$B$13*Inputs!$B$14*U37</f>
        <v>54.0606246970339</v>
      </c>
      <c r="V39" s="11" t="n">
        <f aca="false">V34*Inputs!$B$13*Inputs!$B$14*V37</f>
        <v>109.246902505511</v>
      </c>
      <c r="W39" s="11" t="n">
        <f aca="false">W34*Inputs!$B$13*Inputs!$B$14*W37</f>
        <v>72.8334774978356</v>
      </c>
      <c r="X39" s="11" t="n">
        <f aca="false">X34*Inputs!$B$13*Inputs!$B$14*X37</f>
        <v>54.5903782799725</v>
      </c>
      <c r="Y39" s="11" t="n">
        <f aca="false">Y34*Inputs!$B$13*Inputs!$B$14*Y37</f>
        <v>60.6649565972266</v>
      </c>
      <c r="Z39" s="11" t="n">
        <f aca="false">Z34*Inputs!$B$13*Inputs!$B$14*Z37</f>
        <v>67.3225488712703</v>
      </c>
      <c r="AA39" s="11" t="n">
        <f aca="false">AA34*Inputs!$B$13*Inputs!$B$14*AA37</f>
        <v>74.3343199635634</v>
      </c>
      <c r="AB39" s="11" t="n">
        <f aca="false">AB34*Inputs!$B$13*Inputs!$B$14*AB37</f>
        <v>113.210274505638</v>
      </c>
      <c r="AC39" s="11" t="n">
        <f aca="false">AC34*Inputs!$B$13*Inputs!$B$14*AC37</f>
        <v>212.562130175921</v>
      </c>
      <c r="AD39" s="11" t="n">
        <f aca="false">AD34*Inputs!$B$13*Inputs!$B$14*AD37</f>
        <v>48.2507266425217</v>
      </c>
      <c r="AE39" s="11" t="n">
        <f aca="false">AE34*Inputs!$B$13*Inputs!$B$14*AE37</f>
        <v>119.166566318039</v>
      </c>
      <c r="AF39" s="11" t="n">
        <f aca="false">AF34*Inputs!$B$13*Inputs!$B$14*AF37</f>
        <v>64.5914804764091</v>
      </c>
      <c r="AG39" s="11" t="n">
        <f aca="false">AG34*Inputs!$B$13*Inputs!$B$14*AG37</f>
        <v>70.6369546308208</v>
      </c>
      <c r="AH39" s="11" t="n">
        <f aca="false">AH34*Inputs!$B$13*Inputs!$B$14*AH37</f>
        <v>140.114648352836</v>
      </c>
      <c r="AI39" s="11" t="n">
        <f aca="false">AI34*Inputs!$B$13*Inputs!$B$14*AI37</f>
        <v>91.8868067431357</v>
      </c>
      <c r="AJ39" s="11" t="n">
        <f aca="false">AJ34*Inputs!$B$13*Inputs!$B$14*AJ37</f>
        <v>67.7802974822439</v>
      </c>
      <c r="AK39" s="11" t="n">
        <f aca="false">AK34*Inputs!$B$13*Inputs!$B$14*AK37</f>
        <v>74.1900781982996</v>
      </c>
      <c r="AL39" s="11" t="n">
        <f aca="false">AL34*Inputs!$B$13*Inputs!$B$14*AL37</f>
        <v>81.2039994982444</v>
      </c>
      <c r="AM39" s="11" t="n">
        <f aca="false">AM34*Inputs!$B$13*Inputs!$B$14*AM37</f>
        <v>88.5171099083738</v>
      </c>
      <c r="AO39" s="11" t="n">
        <f aca="false">SUM(D39:O39)</f>
        <v>475.871015958206</v>
      </c>
      <c r="AP39" s="11" t="n">
        <f aca="false">SUM(P39:AA39)</f>
        <v>890.027875380286</v>
      </c>
      <c r="AQ39" s="11" t="n">
        <f aca="false">SUM(AB39:AM39)</f>
        <v>1172.11107293248</v>
      </c>
    </row>
    <row r="40" customFormat="false" ht="15" hidden="false" customHeight="false" outlineLevel="0" collapsed="false">
      <c r="A40" s="3" t="s">
        <v>21</v>
      </c>
      <c r="B40" s="20" t="s">
        <v>766</v>
      </c>
      <c r="D40" s="7" t="n">
        <f aca="false">D38+D39</f>
        <v>153.542854723708</v>
      </c>
      <c r="E40" s="7" t="n">
        <f aca="false">E38+E39</f>
        <v>259.307810683112</v>
      </c>
      <c r="F40" s="7" t="n">
        <f aca="false">F38+F39</f>
        <v>82.8866989596664</v>
      </c>
      <c r="G40" s="7" t="n">
        <f aca="false">G38+G39</f>
        <v>164.767142904075</v>
      </c>
      <c r="H40" s="7" t="n">
        <f aca="false">H38+H39</f>
        <v>103.850098438892</v>
      </c>
      <c r="I40" s="7" t="n">
        <f aca="false">I38+I39</f>
        <v>112.292665670064</v>
      </c>
      <c r="J40" s="7" t="n">
        <f aca="false">J38+J39</f>
        <v>193.97177907174</v>
      </c>
      <c r="K40" s="7" t="n">
        <f aca="false">K38+K39</f>
        <v>139.375190157532</v>
      </c>
      <c r="L40" s="7" t="n">
        <f aca="false">L38+L39</f>
        <v>111.945274067308</v>
      </c>
      <c r="M40" s="7" t="n">
        <f aca="false">M38+M39</f>
        <v>121.210602260209</v>
      </c>
      <c r="N40" s="7" t="n">
        <f aca="false">N38+N39</f>
        <v>131.182501426872</v>
      </c>
      <c r="O40" s="7" t="n">
        <f aca="false">O38+O39</f>
        <v>141.720113513806</v>
      </c>
      <c r="P40" s="7" t="n">
        <f aca="false">P38+P39</f>
        <v>199.454016180154</v>
      </c>
      <c r="Q40" s="7" t="n">
        <f aca="false">Q38+Q39</f>
        <v>343.186955696683</v>
      </c>
      <c r="R40" s="7" t="n">
        <f aca="false">R38+R39</f>
        <v>101.378624879072</v>
      </c>
      <c r="S40" s="7" t="n">
        <f aca="false">S38+S39</f>
        <v>209.718531406863</v>
      </c>
      <c r="T40" s="7" t="n">
        <f aca="false">T38+T39</f>
        <v>127.479656791228</v>
      </c>
      <c r="U40" s="7" t="n">
        <f aca="false">U38+U39</f>
        <v>137.416722154989</v>
      </c>
      <c r="V40" s="7" t="n">
        <f aca="false">V38+V39</f>
        <v>242.247213130947</v>
      </c>
      <c r="W40" s="7" t="n">
        <f aca="false">W38+W39</f>
        <v>169.870596491481</v>
      </c>
      <c r="X40" s="7" t="n">
        <f aca="false">X38+X39</f>
        <v>133.61703854309</v>
      </c>
      <c r="Y40" s="7" t="n">
        <f aca="false">Y38+Y39</f>
        <v>144.021054055182</v>
      </c>
      <c r="Z40" s="7" t="n">
        <f aca="false">Z38+Z39</f>
        <v>155.123535182593</v>
      </c>
      <c r="AA40" s="7" t="n">
        <f aca="false">AA38+AA39</f>
        <v>166.695646786783</v>
      </c>
      <c r="AB40" s="7" t="n">
        <f aca="false">AB38+AB39</f>
        <v>235.358129229346</v>
      </c>
      <c r="AC40" s="7" t="n">
        <f aca="false">AC38+AC39</f>
        <v>406.75181982174</v>
      </c>
      <c r="AD40" s="7" t="n">
        <f aca="false">AD38+AD39</f>
        <v>114.981785272298</v>
      </c>
      <c r="AE40" s="7" t="n">
        <f aca="false">AE38+AE39</f>
        <v>241.314421041746</v>
      </c>
      <c r="AF40" s="7" t="n">
        <f aca="false">AF38+AF39</f>
        <v>143.618140739526</v>
      </c>
      <c r="AG40" s="7" t="n">
        <f aca="false">AG38+AG39</f>
        <v>153.993052088776</v>
      </c>
      <c r="AH40" s="7" t="n">
        <f aca="false">AH38+AH39</f>
        <v>273.114958978272</v>
      </c>
      <c r="AI40" s="7" t="n">
        <f aca="false">AI38+AI39</f>
        <v>188.923925736781</v>
      </c>
      <c r="AJ40" s="7" t="n">
        <f aca="false">AJ38+AJ39</f>
        <v>146.806957745361</v>
      </c>
      <c r="AK40" s="7" t="n">
        <f aca="false">AK38+AK39</f>
        <v>157.546175656255</v>
      </c>
      <c r="AL40" s="7" t="n">
        <f aca="false">AL38+AL39</f>
        <v>169.004985809567</v>
      </c>
      <c r="AM40" s="7" t="n">
        <f aca="false">AM38+AM39</f>
        <v>180.878436731593</v>
      </c>
      <c r="AO40" s="7" t="n">
        <f aca="false">SUM(D40:O40)</f>
        <v>1716.05273187698</v>
      </c>
      <c r="AP40" s="7" t="n">
        <f aca="false">SUM(P40:AA40)</f>
        <v>2130.20959129906</v>
      </c>
      <c r="AQ40" s="7" t="n">
        <f aca="false">SUM(AB40:AM40)</f>
        <v>2412.29278885126</v>
      </c>
    </row>
    <row r="41" customFormat="false" ht="15" hidden="false" customHeight="false" outlineLevel="0" collapsed="false">
      <c r="A41" s="6" t="s">
        <v>1082</v>
      </c>
      <c r="B41" s="20" t="s">
        <v>766</v>
      </c>
      <c r="C41" s="11" t="n">
        <v>0</v>
      </c>
      <c r="D41" s="11" t="n">
        <f aca="false">C41+D40</f>
        <v>153.542854723708</v>
      </c>
      <c r="E41" s="11" t="n">
        <f aca="false">D41+E40</f>
        <v>412.85066540682</v>
      </c>
      <c r="F41" s="11" t="n">
        <f aca="false">E41+F40</f>
        <v>495.737364366486</v>
      </c>
      <c r="G41" s="11" t="n">
        <f aca="false">F41+G40</f>
        <v>660.504507270561</v>
      </c>
      <c r="H41" s="11" t="n">
        <f aca="false">G41+H40</f>
        <v>764.354605709453</v>
      </c>
      <c r="I41" s="11" t="n">
        <f aca="false">H41+I40</f>
        <v>876.647271379517</v>
      </c>
      <c r="J41" s="11" t="n">
        <f aca="false">I41+J40</f>
        <v>1070.61905045126</v>
      </c>
      <c r="K41" s="11" t="n">
        <f aca="false">J41+K40</f>
        <v>1209.99424060879</v>
      </c>
      <c r="L41" s="11" t="n">
        <f aca="false">K41+L40</f>
        <v>1321.9395146761</v>
      </c>
      <c r="M41" s="11" t="n">
        <f aca="false">L41+M40</f>
        <v>1443.15011693631</v>
      </c>
      <c r="N41" s="11" t="n">
        <f aca="false">M41+N40</f>
        <v>1574.33261836318</v>
      </c>
      <c r="O41" s="11" t="n">
        <f aca="false">N41+O40</f>
        <v>1716.05273187698</v>
      </c>
      <c r="P41" s="11" t="n">
        <f aca="false">O41+P40</f>
        <v>1915.50674805714</v>
      </c>
      <c r="Q41" s="11" t="n">
        <f aca="false">P41+Q40</f>
        <v>2258.69370375382</v>
      </c>
      <c r="R41" s="11" t="n">
        <f aca="false">Q41+R40</f>
        <v>2360.07232863289</v>
      </c>
      <c r="S41" s="11" t="n">
        <f aca="false">R41+S40</f>
        <v>2569.79086003976</v>
      </c>
      <c r="T41" s="11" t="n">
        <f aca="false">S41+T40</f>
        <v>2697.27051683098</v>
      </c>
      <c r="U41" s="11" t="n">
        <f aca="false">T41+U40</f>
        <v>2834.68723898597</v>
      </c>
      <c r="V41" s="11" t="n">
        <f aca="false">U41+V40</f>
        <v>3076.93445211692</v>
      </c>
      <c r="W41" s="11" t="n">
        <f aca="false">V41+W40</f>
        <v>3246.8050486084</v>
      </c>
      <c r="X41" s="11" t="n">
        <f aca="false">W41+X40</f>
        <v>3380.42208715149</v>
      </c>
      <c r="Y41" s="11" t="n">
        <f aca="false">X41+Y40</f>
        <v>3524.44314120667</v>
      </c>
      <c r="Z41" s="11" t="n">
        <f aca="false">Y41+Z40</f>
        <v>3679.56667638927</v>
      </c>
      <c r="AA41" s="11" t="n">
        <f aca="false">Z41+AA40</f>
        <v>3846.26232317605</v>
      </c>
      <c r="AB41" s="11" t="n">
        <f aca="false">AA41+AB40</f>
        <v>4081.62045240539</v>
      </c>
      <c r="AC41" s="11" t="n">
        <f aca="false">AB41+AC40</f>
        <v>4488.37227222713</v>
      </c>
      <c r="AD41" s="11" t="n">
        <f aca="false">AC41+AD40</f>
        <v>4603.35405749943</v>
      </c>
      <c r="AE41" s="11" t="n">
        <f aca="false">AD41+AE40</f>
        <v>4844.66847854118</v>
      </c>
      <c r="AF41" s="11" t="n">
        <f aca="false">AE41+AF40</f>
        <v>4988.28661928071</v>
      </c>
      <c r="AG41" s="11" t="n">
        <f aca="false">AF41+AG40</f>
        <v>5142.27967136948</v>
      </c>
      <c r="AH41" s="11" t="n">
        <f aca="false">AG41+AH40</f>
        <v>5415.39463034775</v>
      </c>
      <c r="AI41" s="11" t="n">
        <f aca="false">AH41+AI40</f>
        <v>5604.31855608454</v>
      </c>
      <c r="AJ41" s="11" t="n">
        <f aca="false">AI41+AJ40</f>
        <v>5751.1255138299</v>
      </c>
      <c r="AK41" s="11" t="n">
        <f aca="false">AJ41+AK40</f>
        <v>5908.67168948615</v>
      </c>
      <c r="AL41" s="11" t="n">
        <f aca="false">AK41+AL40</f>
        <v>6077.67667529572</v>
      </c>
      <c r="AM41" s="11" t="n">
        <f aca="false">AL41+AM40</f>
        <v>6258.55511202731</v>
      </c>
      <c r="AO41" s="11" t="n">
        <f aca="false">O41</f>
        <v>1716.05273187698</v>
      </c>
      <c r="AP41" s="11" t="n">
        <f aca="false">AA41</f>
        <v>3846.26232317605</v>
      </c>
      <c r="AQ41" s="11" t="n">
        <f aca="false">AM41</f>
        <v>6258.55511202731</v>
      </c>
    </row>
    <row r="42" customFormat="false" ht="15" hidden="false" customHeight="false" outlineLevel="0" collapsed="false">
      <c r="A42" s="6" t="s">
        <v>1083</v>
      </c>
      <c r="B42" s="20" t="s">
        <v>766</v>
      </c>
      <c r="D42" s="11" t="n">
        <f aca="false">C41*Inputs!$B$32/12*Scenarios!$B$9*D9</f>
        <v>0</v>
      </c>
      <c r="E42" s="11" t="n">
        <f aca="false">D41*Inputs!$B$32/12*Scenarios!$B$9*E9</f>
        <v>8.50883319927213</v>
      </c>
      <c r="F42" s="11" t="n">
        <f aca="false">E41*Inputs!$B$32/12*Scenarios!$B$9*F9</f>
        <v>8.42903441872257</v>
      </c>
      <c r="G42" s="11" t="n">
        <f aca="false">F41*Inputs!$B$32/12*Scenarios!$B$9*G9</f>
        <v>18.7967083988959</v>
      </c>
      <c r="H42" s="11" t="n">
        <f aca="false">G41*Inputs!$B$32/12*Scenarios!$B$9*H9</f>
        <v>16.3750075760827</v>
      </c>
      <c r="I42" s="11" t="n">
        <f aca="false">H41*Inputs!$B$32/12*Scenarios!$B$9*I9</f>
        <v>20.0643083998731</v>
      </c>
      <c r="J42" s="11" t="n">
        <f aca="false">I41*Inputs!$B$32/12*Scenarios!$B$9*J9</f>
        <v>35.7964302479969</v>
      </c>
      <c r="K42" s="11" t="n">
        <f aca="false">J41*Inputs!$B$32/12*Scenarios!$B$9*K9</f>
        <v>32.7877084200698</v>
      </c>
      <c r="L42" s="11" t="n">
        <f aca="false">K41*Inputs!$B$32/12*Scenarios!$B$9*L9</f>
        <v>29.9977738817595</v>
      </c>
      <c r="M42" s="11" t="n">
        <f aca="false">L41*Inputs!$B$32/12*Scenarios!$B$9*M9</f>
        <v>34.7009122602475</v>
      </c>
      <c r="N42" s="11" t="n">
        <f aca="false">M41*Inputs!$B$32/12*Scenarios!$B$9*N9</f>
        <v>39.9872844901101</v>
      </c>
      <c r="O42" s="11" t="n">
        <f aca="false">N41*Inputs!$B$32/12*Scenarios!$B$9*O9</f>
        <v>45.9180347022594</v>
      </c>
      <c r="P42" s="11" t="n">
        <f aca="false">O41*Inputs!$B$32/12*Scenarios!$B$9*P9</f>
        <v>65.0669994170023</v>
      </c>
      <c r="Q42" s="11" t="n">
        <f aca="false">P41*Inputs!$B$32/12*Scenarios!$B$9*Q9</f>
        <v>106.150998954833</v>
      </c>
      <c r="R42" s="11" t="n">
        <f aca="false">Q41*Inputs!$B$32/12*Scenarios!$B$9*R9</f>
        <v>46.1149964516405</v>
      </c>
      <c r="S42" s="11" t="n">
        <f aca="false">R41*Inputs!$B$32/12*Scenarios!$B$9*S9</f>
        <v>89.4860757939972</v>
      </c>
      <c r="T42" s="11" t="n">
        <f aca="false">S41*Inputs!$B$32/12*Scenarios!$B$9*T9</f>
        <v>63.7093984051523</v>
      </c>
      <c r="U42" s="11" t="n">
        <f aca="false">T41*Inputs!$B$32/12*Scenarios!$B$9*U9</f>
        <v>70.8033510668133</v>
      </c>
      <c r="V42" s="11" t="n">
        <f aca="false">U41*Inputs!$B$32/12*Scenarios!$B$9*V9</f>
        <v>115.749728925261</v>
      </c>
      <c r="W42" s="11" t="n">
        <f aca="false">V41*Inputs!$B$32/12*Scenarios!$B$9*W9</f>
        <v>94.2311175960807</v>
      </c>
      <c r="X42" s="11" t="n">
        <f aca="false">W41*Inputs!$B$32/12*Scenarios!$B$9*X9</f>
        <v>80.4937084967499</v>
      </c>
      <c r="Y42" s="11" t="n">
        <f aca="false">X41*Inputs!$B$32/12*Scenarios!$B$9*Y9</f>
        <v>88.7360797877266</v>
      </c>
      <c r="Z42" s="11" t="n">
        <f aca="false">Y41*Inputs!$B$32/12*Scenarios!$B$9*Z9</f>
        <v>97.6564453709349</v>
      </c>
      <c r="AA42" s="11" t="n">
        <f aca="false">Z41*Inputs!$B$32/12*Scenarios!$B$9*AA9</f>
        <v>107.32069472802</v>
      </c>
      <c r="AB42" s="11" t="n">
        <f aca="false">AA41*Inputs!$B$32/12*Scenarios!$B$9*AB9</f>
        <v>145.837446420425</v>
      </c>
      <c r="AC42" s="11" t="n">
        <f aca="false">AB41*Inputs!$B$32/12*Scenarios!$B$9*AC9</f>
        <v>226.189800070799</v>
      </c>
      <c r="AD42" s="11" t="n">
        <f aca="false">AC41*Inputs!$B$32/12*Scenarios!$B$9*AD9</f>
        <v>91.6376005579706</v>
      </c>
      <c r="AE42" s="11" t="n">
        <f aca="false">AD41*Inputs!$B$32/12*Scenarios!$B$9*AE9</f>
        <v>174.543841346854</v>
      </c>
      <c r="AF42" s="11" t="n">
        <f aca="false">AE41*Inputs!$B$32/12*Scenarios!$B$9*AF9</f>
        <v>120.1074060305</v>
      </c>
      <c r="AG42" s="11" t="n">
        <f aca="false">AF41*Inputs!$B$32/12*Scenarios!$B$9*AG9</f>
        <v>130.942523756119</v>
      </c>
      <c r="AH42" s="11" t="n">
        <f aca="false">AG41*Inputs!$B$32/12*Scenarios!$B$9*AH9</f>
        <v>209.976419914254</v>
      </c>
      <c r="AI42" s="11" t="n">
        <f aca="false">AH41*Inputs!$B$32/12*Scenarios!$B$9*AI9</f>
        <v>165.8464605544</v>
      </c>
      <c r="AJ42" s="11" t="n">
        <f aca="false">AI41*Inputs!$B$32/12*Scenarios!$B$9*AJ9</f>
        <v>138.940397536262</v>
      </c>
      <c r="AK42" s="11" t="n">
        <f aca="false">AJ41*Inputs!$B$32/12*Scenarios!$B$9*AK9</f>
        <v>150.967044738035</v>
      </c>
      <c r="AL42" s="11" t="n">
        <f aca="false">AK41*Inputs!$B$32/12*Scenarios!$B$9*AL9</f>
        <v>163.719444729512</v>
      </c>
      <c r="AM42" s="11" t="n">
        <f aca="false">AL41*Inputs!$B$32/12*Scenarios!$B$9*AM9</f>
        <v>177.265569696125</v>
      </c>
      <c r="AO42" s="11" t="n">
        <f aca="false">SUM(D42:O42)</f>
        <v>291.36203599529</v>
      </c>
      <c r="AP42" s="11" t="n">
        <f aca="false">SUM(P42:AA42)</f>
        <v>1025.51959499421</v>
      </c>
      <c r="AQ42" s="11" t="n">
        <f aca="false">SUM(AB42:AM42)</f>
        <v>1895.97395535126</v>
      </c>
    </row>
    <row r="43" customFormat="false" ht="15" hidden="false" customHeight="false" outlineLevel="0" collapsed="false">
      <c r="A43" s="3" t="s">
        <v>22</v>
      </c>
      <c r="B43" s="20" t="s">
        <v>766</v>
      </c>
      <c r="D43" s="7" t="n">
        <f aca="false">D40+D42</f>
        <v>153.542854723708</v>
      </c>
      <c r="E43" s="7" t="n">
        <f aca="false">E40+E42</f>
        <v>267.816643882384</v>
      </c>
      <c r="F43" s="7" t="n">
        <f aca="false">F40+F42</f>
        <v>91.3157333783889</v>
      </c>
      <c r="G43" s="7" t="n">
        <f aca="false">G40+G42</f>
        <v>183.563851302971</v>
      </c>
      <c r="H43" s="7" t="n">
        <f aca="false">H40+H42</f>
        <v>120.225106014974</v>
      </c>
      <c r="I43" s="7" t="n">
        <f aca="false">I40+I42</f>
        <v>132.356974069938</v>
      </c>
      <c r="J43" s="7" t="n">
        <f aca="false">J40+J42</f>
        <v>229.768209319737</v>
      </c>
      <c r="K43" s="7" t="n">
        <f aca="false">K40+K42</f>
        <v>172.162898577601</v>
      </c>
      <c r="L43" s="7" t="n">
        <f aca="false">L40+L42</f>
        <v>141.943047949068</v>
      </c>
      <c r="M43" s="7" t="n">
        <f aca="false">M40+M42</f>
        <v>155.911514520457</v>
      </c>
      <c r="N43" s="7" t="n">
        <f aca="false">N40+N42</f>
        <v>171.169785916982</v>
      </c>
      <c r="O43" s="7" t="n">
        <f aca="false">O40+O42</f>
        <v>187.638148216066</v>
      </c>
      <c r="P43" s="7" t="n">
        <f aca="false">P40+P42</f>
        <v>264.521015597157</v>
      </c>
      <c r="Q43" s="7" t="n">
        <f aca="false">Q40+Q42</f>
        <v>449.337954651516</v>
      </c>
      <c r="R43" s="7" t="n">
        <f aca="false">R40+R42</f>
        <v>147.493621330712</v>
      </c>
      <c r="S43" s="7" t="n">
        <f aca="false">S40+S42</f>
        <v>299.20460720086</v>
      </c>
      <c r="T43" s="7" t="n">
        <f aca="false">T40+T42</f>
        <v>191.18905519638</v>
      </c>
      <c r="U43" s="7" t="n">
        <f aca="false">U40+U42</f>
        <v>208.220073221803</v>
      </c>
      <c r="V43" s="7" t="n">
        <f aca="false">V40+V42</f>
        <v>357.996942056207</v>
      </c>
      <c r="W43" s="7" t="n">
        <f aca="false">W40+W42</f>
        <v>264.101714087561</v>
      </c>
      <c r="X43" s="7" t="n">
        <f aca="false">X40+X42</f>
        <v>214.11074703984</v>
      </c>
      <c r="Y43" s="7" t="n">
        <f aca="false">Y40+Y42</f>
        <v>232.757133842909</v>
      </c>
      <c r="Z43" s="7" t="n">
        <f aca="false">Z40+Z42</f>
        <v>252.779980553528</v>
      </c>
      <c r="AA43" s="7" t="n">
        <f aca="false">AA40+AA42</f>
        <v>274.016341514803</v>
      </c>
      <c r="AB43" s="7" t="n">
        <f aca="false">AB40+AB42</f>
        <v>381.195575649771</v>
      </c>
      <c r="AC43" s="7" t="n">
        <f aca="false">AC40+AC42</f>
        <v>632.941619892539</v>
      </c>
      <c r="AD43" s="7" t="n">
        <f aca="false">AD40+AD42</f>
        <v>206.619385830268</v>
      </c>
      <c r="AE43" s="7" t="n">
        <f aca="false">AE40+AE42</f>
        <v>415.8582623886</v>
      </c>
      <c r="AF43" s="7" t="n">
        <f aca="false">AF40+AF42</f>
        <v>263.725546770026</v>
      </c>
      <c r="AG43" s="7" t="n">
        <f aca="false">AG40+AG42</f>
        <v>284.935575844895</v>
      </c>
      <c r="AH43" s="7" t="n">
        <f aca="false">AH40+AH42</f>
        <v>483.091378892526</v>
      </c>
      <c r="AI43" s="7" t="n">
        <f aca="false">AI40+AI42</f>
        <v>354.770386291181</v>
      </c>
      <c r="AJ43" s="7" t="n">
        <f aca="false">AJ40+AJ42</f>
        <v>285.747355281623</v>
      </c>
      <c r="AK43" s="7" t="n">
        <f aca="false">AK40+AK42</f>
        <v>308.51322039429</v>
      </c>
      <c r="AL43" s="7" t="n">
        <f aca="false">AL40+AL42</f>
        <v>332.724430539079</v>
      </c>
      <c r="AM43" s="7" t="n">
        <f aca="false">AM40+AM42</f>
        <v>358.144006427718</v>
      </c>
      <c r="AO43" s="7" t="n">
        <f aca="false">SUM(D43:O43)</f>
        <v>2007.41476787227</v>
      </c>
      <c r="AP43" s="7" t="n">
        <f aca="false">SUM(P43:AA43)</f>
        <v>3155.72918629328</v>
      </c>
      <c r="AQ43" s="7" t="n">
        <f aca="false">SUM(AB43:AM43)</f>
        <v>4308.26674420252</v>
      </c>
    </row>
    <row r="44" customFormat="false" ht="15" hidden="false" customHeight="false" outlineLevel="0" collapsed="false">
      <c r="A44" s="6" t="s">
        <v>1084</v>
      </c>
      <c r="B44" s="20" t="s">
        <v>766</v>
      </c>
      <c r="C44" s="11" t="n">
        <v>0</v>
      </c>
      <c r="D44" s="11" t="n">
        <f aca="false">D43*Inputs!$B$9</f>
        <v>176.574282932264</v>
      </c>
      <c r="E44" s="11" t="n">
        <f aca="false">E43*Inputs!$B$9</f>
        <v>307.989140464742</v>
      </c>
      <c r="F44" s="11" t="n">
        <f aca="false">F43*Inputs!$B$9</f>
        <v>105.013093385147</v>
      </c>
      <c r="G44" s="11" t="n">
        <f aca="false">G43*Inputs!$B$9</f>
        <v>211.098428998417</v>
      </c>
      <c r="H44" s="11" t="n">
        <f aca="false">H43*Inputs!$B$9</f>
        <v>138.25887191722</v>
      </c>
      <c r="I44" s="11" t="n">
        <f aca="false">I43*Inputs!$B$9</f>
        <v>152.210520180428</v>
      </c>
      <c r="J44" s="11" t="n">
        <f aca="false">J43*Inputs!$B$9</f>
        <v>264.233440717698</v>
      </c>
      <c r="K44" s="11" t="n">
        <f aca="false">K43*Inputs!$B$9</f>
        <v>197.987333364242</v>
      </c>
      <c r="L44" s="11" t="n">
        <f aca="false">L43*Inputs!$B$9</f>
        <v>163.234505141428</v>
      </c>
      <c r="M44" s="11" t="n">
        <f aca="false">M43*Inputs!$B$9</f>
        <v>179.298241698525</v>
      </c>
      <c r="N44" s="11" t="n">
        <f aca="false">N43*Inputs!$B$9</f>
        <v>196.845253804529</v>
      </c>
      <c r="O44" s="11" t="n">
        <f aca="false">O43*Inputs!$B$9</f>
        <v>215.783870448476</v>
      </c>
      <c r="P44" s="11" t="n">
        <f aca="false">P43*Inputs!$B$9</f>
        <v>304.19916793673</v>
      </c>
      <c r="Q44" s="11" t="n">
        <f aca="false">Q43*Inputs!$B$9</f>
        <v>516.738647849244</v>
      </c>
      <c r="R44" s="11" t="n">
        <f aca="false">R43*Inputs!$B$9</f>
        <v>169.617664530319</v>
      </c>
      <c r="S44" s="11" t="n">
        <f aca="false">S43*Inputs!$B$9</f>
        <v>344.085298280989</v>
      </c>
      <c r="T44" s="11" t="n">
        <f aca="false">T43*Inputs!$B$9</f>
        <v>219.867413475837</v>
      </c>
      <c r="U44" s="11" t="n">
        <f aca="false">U43*Inputs!$B$9</f>
        <v>239.453084205073</v>
      </c>
      <c r="V44" s="11" t="n">
        <f aca="false">V43*Inputs!$B$9</f>
        <v>411.696483364638</v>
      </c>
      <c r="W44" s="11" t="n">
        <f aca="false">W43*Inputs!$B$9</f>
        <v>303.716971200695</v>
      </c>
      <c r="X44" s="11" t="n">
        <f aca="false">X43*Inputs!$B$9</f>
        <v>246.227359095815</v>
      </c>
      <c r="Y44" s="11" t="n">
        <f aca="false">Y43*Inputs!$B$9</f>
        <v>267.670703919345</v>
      </c>
      <c r="Z44" s="11" t="n">
        <f aca="false">Z43*Inputs!$B$9</f>
        <v>290.696977636557</v>
      </c>
      <c r="AA44" s="11" t="n">
        <f aca="false">AA43*Inputs!$B$9</f>
        <v>315.118792742023</v>
      </c>
      <c r="AB44" s="11" t="n">
        <f aca="false">AB43*Inputs!$B$9</f>
        <v>438.374911997237</v>
      </c>
      <c r="AC44" s="11" t="n">
        <f aca="false">AC43*Inputs!$B$9</f>
        <v>727.88286287642</v>
      </c>
      <c r="AD44" s="11" t="n">
        <f aca="false">AD43*Inputs!$B$9</f>
        <v>237.612293704809</v>
      </c>
      <c r="AE44" s="11" t="n">
        <f aca="false">AE43*Inputs!$B$9</f>
        <v>478.23700174689</v>
      </c>
      <c r="AF44" s="11" t="n">
        <f aca="false">AF43*Inputs!$B$9</f>
        <v>303.28437878553</v>
      </c>
      <c r="AG44" s="11" t="n">
        <f aca="false">AG43*Inputs!$B$9</f>
        <v>327.675912221629</v>
      </c>
      <c r="AH44" s="11" t="n">
        <f aca="false">AH43*Inputs!$B$9</f>
        <v>555.555085726405</v>
      </c>
      <c r="AI44" s="11" t="n">
        <f aca="false">AI43*Inputs!$B$9</f>
        <v>407.985944234858</v>
      </c>
      <c r="AJ44" s="11" t="n">
        <f aca="false">AJ43*Inputs!$B$9</f>
        <v>328.609458573867</v>
      </c>
      <c r="AK44" s="11" t="n">
        <f aca="false">AK43*Inputs!$B$9</f>
        <v>354.790203453433</v>
      </c>
      <c r="AL44" s="11" t="n">
        <f aca="false">AL43*Inputs!$B$9</f>
        <v>382.633095119941</v>
      </c>
      <c r="AM44" s="11" t="n">
        <f aca="false">AM43*Inputs!$B$9</f>
        <v>411.865607391876</v>
      </c>
      <c r="AO44" s="11" t="n">
        <f aca="false">SUM(D44:O44)</f>
        <v>2308.52698305312</v>
      </c>
      <c r="AP44" s="11" t="n">
        <f aca="false">SUM(P44:AA44)</f>
        <v>3629.08856423727</v>
      </c>
      <c r="AQ44" s="11" t="n">
        <f aca="false">SUM(AB44:AM44)</f>
        <v>4954.5067558329</v>
      </c>
    </row>
    <row r="45" customFormat="false" ht="15" hidden="false" customHeight="false" outlineLevel="0" collapsed="false">
      <c r="A45" s="6" t="s">
        <v>1085</v>
      </c>
      <c r="B45" s="20" t="s">
        <v>612</v>
      </c>
      <c r="D45" s="67" t="n">
        <f aca="false">IFERROR(D40/D30,0)</f>
        <v>0.0117564068507231</v>
      </c>
      <c r="E45" s="67" t="n">
        <f aca="false">IFERROR(E40/E30,0)</f>
        <v>0.0148462667612778</v>
      </c>
      <c r="F45" s="67" t="n">
        <f aca="false">IFERROR(F40/F30,0)</f>
        <v>0.0086867643215246</v>
      </c>
      <c r="G45" s="67" t="n">
        <f aca="false">IFERROR(G40/G30,0)</f>
        <v>0.0117775755117396</v>
      </c>
      <c r="H45" s="67" t="n">
        <f aca="false">IFERROR(H40/H30,0)</f>
        <v>0.0094670918951576</v>
      </c>
      <c r="I45" s="67" t="n">
        <f aca="false">IFERROR(I40/I30,0)</f>
        <v>0.00972898636955586</v>
      </c>
      <c r="J45" s="67" t="n">
        <f aca="false">IFERROR(J40/J30,0)</f>
        <v>0.0123124171262044</v>
      </c>
      <c r="K45" s="67" t="n">
        <f aca="false">IFERROR(K40/K30,0)</f>
        <v>0.0105131603742632</v>
      </c>
      <c r="L45" s="67" t="n">
        <f aca="false">IFERROR(L40/L30,0)</f>
        <v>0.00948442152269808</v>
      </c>
      <c r="M45" s="67" t="n">
        <f aca="false">IFERROR(M40/M30,0)</f>
        <v>0.0097466722383314</v>
      </c>
      <c r="N45" s="67" t="n">
        <f aca="false">IFERROR(N40/N30,0)</f>
        <v>0.010009291191537</v>
      </c>
      <c r="O45" s="67" t="n">
        <f aca="false">IFERROR(O40/O30,0)</f>
        <v>0.0102719566345486</v>
      </c>
      <c r="P45" s="67" t="n">
        <f aca="false">IFERROR(P40/P30,0)</f>
        <v>0.0118282433297387</v>
      </c>
      <c r="Q45" s="67" t="n">
        <f aca="false">IFERROR(Q40/Q30,0)</f>
        <v>0.0149370833421751</v>
      </c>
      <c r="R45" s="67" t="n">
        <f aca="false">IFERROR(R40/R30,0)</f>
        <v>0.00872926658737114</v>
      </c>
      <c r="S45" s="67" t="n">
        <f aca="false">IFERROR(S40/S30,0)</f>
        <v>0.0118400856892902</v>
      </c>
      <c r="T45" s="67" t="n">
        <f aca="false">IFERROR(T40/T30,0)</f>
        <v>0.00951163987223736</v>
      </c>
      <c r="U45" s="67" t="n">
        <f aca="false">IFERROR(U40/U30,0)</f>
        <v>0.0097730547177354</v>
      </c>
      <c r="V45" s="67" t="n">
        <f aca="false">IFERROR(V40/V30,0)</f>
        <v>0.0123686749655986</v>
      </c>
      <c r="W45" s="67" t="n">
        <f aca="false">IFERROR(W40/W30,0)</f>
        <v>0.0105570677681947</v>
      </c>
      <c r="X45" s="67" t="n">
        <f aca="false">IFERROR(X40/X30,0)</f>
        <v>0.0095206836969349</v>
      </c>
      <c r="Y45" s="67" t="n">
        <f aca="false">IFERROR(Y40/Y30,0)</f>
        <v>0.00978213621421623</v>
      </c>
      <c r="Z45" s="67" t="n">
        <f aca="false">IFERROR(Z40/Z30,0)</f>
        <v>0.0100438456207011</v>
      </c>
      <c r="AA45" s="67" t="n">
        <f aca="false">IFERROR(AA40/AA30,0)</f>
        <v>0.0103054907869295</v>
      </c>
      <c r="AB45" s="67" t="n">
        <f aca="false">IFERROR(AB40/AB30,0)</f>
        <v>0.0118652323653889</v>
      </c>
      <c r="AC45" s="67" t="n">
        <f aca="false">IFERROR(AC40/AC30,0)</f>
        <v>0.014981357292253</v>
      </c>
      <c r="AD45" s="67" t="n">
        <f aca="false">IFERROR(AD40/AD30,0)</f>
        <v>0.00875197430832905</v>
      </c>
      <c r="AE45" s="67" t="n">
        <f aca="false">IFERROR(AE40/AE30,0)</f>
        <v>0.011870322233635</v>
      </c>
      <c r="AF45" s="67" t="n">
        <f aca="false">IFERROR(AF40/AF30,0)</f>
        <v>0.00953379539310048</v>
      </c>
      <c r="AG45" s="67" t="n">
        <f aca="false">IFERROR(AG40/AG30,0)</f>
        <v>0.00979439921178465</v>
      </c>
      <c r="AH45" s="67" t="n">
        <f aca="false">IFERROR(AH40/AH30,0)</f>
        <v>0.0123943929411291</v>
      </c>
      <c r="AI45" s="67" t="n">
        <f aca="false">IFERROR(AI40/AI30,0)</f>
        <v>0.0105774297234723</v>
      </c>
      <c r="AJ45" s="67" t="n">
        <f aca="false">IFERROR(AJ40/AJ30,0)</f>
        <v>0.00953760716677213</v>
      </c>
      <c r="AK45" s="67" t="n">
        <f aca="false">IFERROR(AK40/AK30,0)</f>
        <v>0.00979840017312788</v>
      </c>
      <c r="AL45" s="67" t="n">
        <f aca="false">IFERROR(AL40/AL30,0)</f>
        <v>0.0100594750839246</v>
      </c>
      <c r="AM45" s="67" t="n">
        <f aca="false">IFERROR(AM40/AM30,0)</f>
        <v>0.0103204816182458</v>
      </c>
      <c r="AO45" s="67" t="n">
        <f aca="false">IFERROR(AO40/AO30,0)</f>
        <v>0.0109495733995739</v>
      </c>
      <c r="AP45" s="67" t="n">
        <f aca="false">IFERROR(AP40/AP30,0)</f>
        <v>0.01105562432836</v>
      </c>
      <c r="AQ45" s="67" t="n">
        <f aca="false">IFERROR(AQ40/AQ30,0)</f>
        <v>0.0111199116927605</v>
      </c>
    </row>
    <row r="46" customFormat="false" ht="15" hidden="false" customHeight="false" outlineLevel="0" collapsed="false">
      <c r="A46" s="23" t="s">
        <v>1086</v>
      </c>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row>
    <row r="47" customFormat="false" ht="15" hidden="false" customHeight="false" outlineLevel="0" collapsed="false">
      <c r="A47" s="6" t="str">
        <f aca="false">"  Items - "&amp;Inputs!A47</f>
        <v>  Items - Card - Digital e-card/PDF</v>
      </c>
      <c r="B47" s="20" t="s">
        <v>766</v>
      </c>
      <c r="D47" s="11" t="n">
        <f aca="false">D44*Inputs!$G$47</f>
        <v>24.7203996105169</v>
      </c>
      <c r="E47" s="11" t="n">
        <f aca="false">E44*Inputs!$G$47</f>
        <v>43.1184796650638</v>
      </c>
      <c r="F47" s="11" t="n">
        <f aca="false">F44*Inputs!$G$47</f>
        <v>14.7018330739206</v>
      </c>
      <c r="G47" s="11" t="n">
        <f aca="false">G44*Inputs!$G$47</f>
        <v>29.5537800597783</v>
      </c>
      <c r="H47" s="11" t="n">
        <f aca="false">H44*Inputs!$G$47</f>
        <v>19.3562420684108</v>
      </c>
      <c r="I47" s="11" t="n">
        <f aca="false">I44*Inputs!$G$47</f>
        <v>21.3094728252599</v>
      </c>
      <c r="J47" s="11" t="n">
        <f aca="false">J44*Inputs!$G$47</f>
        <v>36.9926817004777</v>
      </c>
      <c r="K47" s="11" t="n">
        <f aca="false">K44*Inputs!$G$47</f>
        <v>27.7182266709938</v>
      </c>
      <c r="L47" s="11" t="n">
        <f aca="false">L44*Inputs!$G$47</f>
        <v>22.8528307197999</v>
      </c>
      <c r="M47" s="11" t="n">
        <f aca="false">M44*Inputs!$G$47</f>
        <v>25.1017538377935</v>
      </c>
      <c r="N47" s="11" t="n">
        <f aca="false">N44*Inputs!$G$47</f>
        <v>27.5583355326341</v>
      </c>
      <c r="O47" s="11" t="n">
        <f aca="false">O44*Inputs!$G$47</f>
        <v>30.2097418627866</v>
      </c>
      <c r="P47" s="11" t="n">
        <f aca="false">P44*Inputs!$G$47</f>
        <v>42.5878835111422</v>
      </c>
      <c r="Q47" s="11" t="n">
        <f aca="false">Q44*Inputs!$G$47</f>
        <v>72.3434106988941</v>
      </c>
      <c r="R47" s="11" t="n">
        <f aca="false">R44*Inputs!$G$47</f>
        <v>23.7464730342447</v>
      </c>
      <c r="S47" s="11" t="n">
        <f aca="false">S44*Inputs!$G$47</f>
        <v>48.1719417593384</v>
      </c>
      <c r="T47" s="11" t="n">
        <f aca="false">T44*Inputs!$G$47</f>
        <v>30.7814378866172</v>
      </c>
      <c r="U47" s="11" t="n">
        <f aca="false">U44*Inputs!$G$47</f>
        <v>33.5234317887102</v>
      </c>
      <c r="V47" s="11" t="n">
        <f aca="false">V44*Inputs!$G$47</f>
        <v>57.6375076710494</v>
      </c>
      <c r="W47" s="11" t="n">
        <f aca="false">W44*Inputs!$G$47</f>
        <v>42.5203759680974</v>
      </c>
      <c r="X47" s="11" t="n">
        <f aca="false">X44*Inputs!$G$47</f>
        <v>34.4718302734142</v>
      </c>
      <c r="Y47" s="11" t="n">
        <f aca="false">Y44*Inputs!$G$47</f>
        <v>37.4738985487083</v>
      </c>
      <c r="Z47" s="11" t="n">
        <f aca="false">Z44*Inputs!$G$47</f>
        <v>40.697576869118</v>
      </c>
      <c r="AA47" s="11" t="n">
        <f aca="false">AA44*Inputs!$G$47</f>
        <v>44.1166309838833</v>
      </c>
      <c r="AB47" s="11" t="n">
        <f aca="false">AB44*Inputs!$G$47</f>
        <v>61.3724876796131</v>
      </c>
      <c r="AC47" s="11" t="n">
        <f aca="false">AC44*Inputs!$G$47</f>
        <v>101.903600802699</v>
      </c>
      <c r="AD47" s="11" t="n">
        <f aca="false">AD44*Inputs!$G$47</f>
        <v>33.2657211186732</v>
      </c>
      <c r="AE47" s="11" t="n">
        <f aca="false">AE44*Inputs!$G$47</f>
        <v>66.9531802445646</v>
      </c>
      <c r="AF47" s="11" t="n">
        <f aca="false">AF44*Inputs!$G$47</f>
        <v>42.4598130299742</v>
      </c>
      <c r="AG47" s="11" t="n">
        <f aca="false">AG44*Inputs!$G$47</f>
        <v>45.8746277110281</v>
      </c>
      <c r="AH47" s="11" t="n">
        <f aca="false">AH44*Inputs!$G$47</f>
        <v>77.7777120016967</v>
      </c>
      <c r="AI47" s="11" t="n">
        <f aca="false">AI44*Inputs!$G$47</f>
        <v>57.1180321928801</v>
      </c>
      <c r="AJ47" s="11" t="n">
        <f aca="false">AJ44*Inputs!$G$47</f>
        <v>46.0053242003414</v>
      </c>
      <c r="AK47" s="11" t="n">
        <f aca="false">AK44*Inputs!$G$47</f>
        <v>49.6706284834807</v>
      </c>
      <c r="AL47" s="11" t="n">
        <f aca="false">AL44*Inputs!$G$47</f>
        <v>53.5686333167918</v>
      </c>
      <c r="AM47" s="11" t="n">
        <f aca="false">AM44*Inputs!$G$47</f>
        <v>57.6611850348627</v>
      </c>
      <c r="AO47" s="11" t="n">
        <f aca="false">SUM(D47:O47)</f>
        <v>323.193777627436</v>
      </c>
      <c r="AP47" s="11" t="n">
        <f aca="false">SUM(P47:AA47)</f>
        <v>508.072398993217</v>
      </c>
      <c r="AQ47" s="11" t="n">
        <f aca="false">SUM(AB47:AM47)</f>
        <v>693.630945816605</v>
      </c>
    </row>
    <row r="48" customFormat="false" ht="15" hidden="false" customHeight="false" outlineLevel="0" collapsed="false">
      <c r="A48" s="6" t="str">
        <f aca="false">"  Items - "&amp;Inputs!A48</f>
        <v>  Items - Card - Printed 5x7 folded</v>
      </c>
      <c r="B48" s="20" t="s">
        <v>766</v>
      </c>
      <c r="D48" s="11" t="n">
        <f aca="false">D44*Inputs!$G$48</f>
        <v>70.6297131729055</v>
      </c>
      <c r="E48" s="11" t="n">
        <f aca="false">E44*Inputs!$G$48</f>
        <v>123.195656185897</v>
      </c>
      <c r="F48" s="11" t="n">
        <f aca="false">F44*Inputs!$G$48</f>
        <v>42.0052373540589</v>
      </c>
      <c r="G48" s="11" t="n">
        <f aca="false">G44*Inputs!$G$48</f>
        <v>84.4393715993666</v>
      </c>
      <c r="H48" s="11" t="n">
        <f aca="false">H44*Inputs!$G$48</f>
        <v>55.3035487668881</v>
      </c>
      <c r="I48" s="11" t="n">
        <f aca="false">I44*Inputs!$G$48</f>
        <v>60.8842080721713</v>
      </c>
      <c r="J48" s="11" t="n">
        <f aca="false">J44*Inputs!$G$48</f>
        <v>105.693376287079</v>
      </c>
      <c r="K48" s="11" t="n">
        <f aca="false">K44*Inputs!$G$48</f>
        <v>79.1949333456967</v>
      </c>
      <c r="L48" s="11" t="n">
        <f aca="false">L44*Inputs!$G$48</f>
        <v>65.2938020565712</v>
      </c>
      <c r="M48" s="11" t="n">
        <f aca="false">M44*Inputs!$G$48</f>
        <v>71.7192966794101</v>
      </c>
      <c r="N48" s="11" t="n">
        <f aca="false">N44*Inputs!$G$48</f>
        <v>78.7381015218117</v>
      </c>
      <c r="O48" s="11" t="n">
        <f aca="false">O44*Inputs!$G$48</f>
        <v>86.3135481793902</v>
      </c>
      <c r="P48" s="11" t="n">
        <f aca="false">P44*Inputs!$G$48</f>
        <v>121.679667174692</v>
      </c>
      <c r="Q48" s="11" t="n">
        <f aca="false">Q44*Inputs!$G$48</f>
        <v>206.695459139697</v>
      </c>
      <c r="R48" s="11" t="n">
        <f aca="false">R44*Inputs!$G$48</f>
        <v>67.8470658121277</v>
      </c>
      <c r="S48" s="11" t="n">
        <f aca="false">S44*Inputs!$G$48</f>
        <v>137.634119312396</v>
      </c>
      <c r="T48" s="11" t="n">
        <f aca="false">T44*Inputs!$G$48</f>
        <v>87.9469653903349</v>
      </c>
      <c r="U48" s="11" t="n">
        <f aca="false">U44*Inputs!$G$48</f>
        <v>95.7812336820292</v>
      </c>
      <c r="V48" s="11" t="n">
        <f aca="false">V44*Inputs!$G$48</f>
        <v>164.678593345855</v>
      </c>
      <c r="W48" s="11" t="n">
        <f aca="false">W44*Inputs!$G$48</f>
        <v>121.486788480278</v>
      </c>
      <c r="X48" s="11" t="n">
        <f aca="false">X44*Inputs!$G$48</f>
        <v>98.4909436383262</v>
      </c>
      <c r="Y48" s="11" t="n">
        <f aca="false">Y44*Inputs!$G$48</f>
        <v>107.068281567738</v>
      </c>
      <c r="Z48" s="11" t="n">
        <f aca="false">Z44*Inputs!$G$48</f>
        <v>116.278791054623</v>
      </c>
      <c r="AA48" s="11" t="n">
        <f aca="false">AA44*Inputs!$G$48</f>
        <v>126.047517096809</v>
      </c>
      <c r="AB48" s="11" t="n">
        <f aca="false">AB44*Inputs!$G$48</f>
        <v>175.349964798895</v>
      </c>
      <c r="AC48" s="11" t="n">
        <f aca="false">AC44*Inputs!$G$48</f>
        <v>291.153145150568</v>
      </c>
      <c r="AD48" s="11" t="n">
        <f aca="false">AD44*Inputs!$G$48</f>
        <v>95.0449174819235</v>
      </c>
      <c r="AE48" s="11" t="n">
        <f aca="false">AE44*Inputs!$G$48</f>
        <v>191.294800698756</v>
      </c>
      <c r="AF48" s="11" t="n">
        <f aca="false">AF44*Inputs!$G$48</f>
        <v>121.313751514212</v>
      </c>
      <c r="AG48" s="11" t="n">
        <f aca="false">AG44*Inputs!$G$48</f>
        <v>131.070364888652</v>
      </c>
      <c r="AH48" s="11" t="n">
        <f aca="false">AH44*Inputs!$G$48</f>
        <v>222.222034290562</v>
      </c>
      <c r="AI48" s="11" t="n">
        <f aca="false">AI44*Inputs!$G$48</f>
        <v>163.194377693943</v>
      </c>
      <c r="AJ48" s="11" t="n">
        <f aca="false">AJ44*Inputs!$G$48</f>
        <v>131.443783429547</v>
      </c>
      <c r="AK48" s="11" t="n">
        <f aca="false">AK44*Inputs!$G$48</f>
        <v>141.916081381373</v>
      </c>
      <c r="AL48" s="11" t="n">
        <f aca="false">AL44*Inputs!$G$48</f>
        <v>153.053238047977</v>
      </c>
      <c r="AM48" s="11" t="n">
        <f aca="false">AM44*Inputs!$G$48</f>
        <v>164.74624295675</v>
      </c>
      <c r="AO48" s="11" t="n">
        <f aca="false">SUM(D48:O48)</f>
        <v>923.410793221246</v>
      </c>
      <c r="AP48" s="11" t="n">
        <f aca="false">SUM(P48:AA48)</f>
        <v>1451.63542569491</v>
      </c>
      <c r="AQ48" s="11" t="n">
        <f aca="false">SUM(AB48:AM48)</f>
        <v>1981.80270233316</v>
      </c>
    </row>
    <row r="49" customFormat="false" ht="15" hidden="false" customHeight="false" outlineLevel="0" collapsed="false">
      <c r="A49" s="6" t="str">
        <f aca="false">"  Items - "&amp;Inputs!A49</f>
        <v>  Items - Book - Digital flipbook/PDF</v>
      </c>
      <c r="B49" s="20" t="s">
        <v>766</v>
      </c>
      <c r="D49" s="11" t="n">
        <f aca="false">D44*Inputs!$G$49</f>
        <v>14.1259426345811</v>
      </c>
      <c r="E49" s="11" t="n">
        <f aca="false">E44*Inputs!$G$49</f>
        <v>24.6391312371793</v>
      </c>
      <c r="F49" s="11" t="n">
        <f aca="false">F44*Inputs!$G$49</f>
        <v>8.40104747081178</v>
      </c>
      <c r="G49" s="11" t="n">
        <f aca="false">G44*Inputs!$G$49</f>
        <v>16.8878743198733</v>
      </c>
      <c r="H49" s="11" t="n">
        <f aca="false">H44*Inputs!$G$49</f>
        <v>11.0607097533776</v>
      </c>
      <c r="I49" s="11" t="n">
        <f aca="false">I44*Inputs!$G$49</f>
        <v>12.1768416144343</v>
      </c>
      <c r="J49" s="11" t="n">
        <f aca="false">J44*Inputs!$G$49</f>
        <v>21.1386752574158</v>
      </c>
      <c r="K49" s="11" t="n">
        <f aca="false">K44*Inputs!$G$49</f>
        <v>15.8389866691393</v>
      </c>
      <c r="L49" s="11" t="n">
        <f aca="false">L44*Inputs!$G$49</f>
        <v>13.0587604113142</v>
      </c>
      <c r="M49" s="11" t="n">
        <f aca="false">M44*Inputs!$G$49</f>
        <v>14.343859335882</v>
      </c>
      <c r="N49" s="11" t="n">
        <f aca="false">N44*Inputs!$G$49</f>
        <v>15.7476203043623</v>
      </c>
      <c r="O49" s="11" t="n">
        <f aca="false">O44*Inputs!$G$49</f>
        <v>17.262709635878</v>
      </c>
      <c r="P49" s="11" t="n">
        <f aca="false">P44*Inputs!$G$49</f>
        <v>24.3359334349384</v>
      </c>
      <c r="Q49" s="11" t="n">
        <f aca="false">Q44*Inputs!$G$49</f>
        <v>41.3390918279395</v>
      </c>
      <c r="R49" s="11" t="n">
        <f aca="false">R44*Inputs!$G$49</f>
        <v>13.5694131624255</v>
      </c>
      <c r="S49" s="11" t="n">
        <f aca="false">S44*Inputs!$G$49</f>
        <v>27.5268238624791</v>
      </c>
      <c r="T49" s="11" t="n">
        <f aca="false">T44*Inputs!$G$49</f>
        <v>17.589393078067</v>
      </c>
      <c r="U49" s="11" t="n">
        <f aca="false">U44*Inputs!$G$49</f>
        <v>19.1562467364058</v>
      </c>
      <c r="V49" s="11" t="n">
        <f aca="false">V44*Inputs!$G$49</f>
        <v>32.9357186691711</v>
      </c>
      <c r="W49" s="11" t="n">
        <f aca="false">W44*Inputs!$G$49</f>
        <v>24.2973576960556</v>
      </c>
      <c r="X49" s="11" t="n">
        <f aca="false">X44*Inputs!$G$49</f>
        <v>19.6981887276652</v>
      </c>
      <c r="Y49" s="11" t="n">
        <f aca="false">Y44*Inputs!$G$49</f>
        <v>21.4136563135476</v>
      </c>
      <c r="Z49" s="11" t="n">
        <f aca="false">Z44*Inputs!$G$49</f>
        <v>23.2557582109246</v>
      </c>
      <c r="AA49" s="11" t="n">
        <f aca="false">AA44*Inputs!$G$49</f>
        <v>25.2095034193619</v>
      </c>
      <c r="AB49" s="11" t="n">
        <f aca="false">AB44*Inputs!$G$49</f>
        <v>35.0699929597789</v>
      </c>
      <c r="AC49" s="11" t="n">
        <f aca="false">AC44*Inputs!$G$49</f>
        <v>58.2306290301136</v>
      </c>
      <c r="AD49" s="11" t="n">
        <f aca="false">AD44*Inputs!$G$49</f>
        <v>19.0089834963847</v>
      </c>
      <c r="AE49" s="11" t="n">
        <f aca="false">AE44*Inputs!$G$49</f>
        <v>38.2589601397512</v>
      </c>
      <c r="AF49" s="11" t="n">
        <f aca="false">AF44*Inputs!$G$49</f>
        <v>24.2627503028424</v>
      </c>
      <c r="AG49" s="11" t="n">
        <f aca="false">AG44*Inputs!$G$49</f>
        <v>26.2140729777303</v>
      </c>
      <c r="AH49" s="11" t="n">
        <f aca="false">AH44*Inputs!$G$49</f>
        <v>44.4444068581124</v>
      </c>
      <c r="AI49" s="11" t="n">
        <f aca="false">AI44*Inputs!$G$49</f>
        <v>32.6388755387886</v>
      </c>
      <c r="AJ49" s="11" t="n">
        <f aca="false">AJ44*Inputs!$G$49</f>
        <v>26.2887566859094</v>
      </c>
      <c r="AK49" s="11" t="n">
        <f aca="false">AK44*Inputs!$G$49</f>
        <v>28.3832162762747</v>
      </c>
      <c r="AL49" s="11" t="n">
        <f aca="false">AL44*Inputs!$G$49</f>
        <v>30.6106476095953</v>
      </c>
      <c r="AM49" s="11" t="n">
        <f aca="false">AM44*Inputs!$G$49</f>
        <v>32.9492485913501</v>
      </c>
      <c r="AO49" s="11" t="n">
        <f aca="false">SUM(D49:O49)</f>
        <v>184.682158644249</v>
      </c>
      <c r="AP49" s="11" t="n">
        <f aca="false">SUM(P49:AA49)</f>
        <v>290.327085138981</v>
      </c>
      <c r="AQ49" s="11" t="n">
        <f aca="false">SUM(AB49:AM49)</f>
        <v>396.360540466632</v>
      </c>
    </row>
    <row r="50" customFormat="false" ht="15" hidden="false" customHeight="false" outlineLevel="0" collapsed="false">
      <c r="A50" s="6" t="str">
        <f aca="false">"  Items - "&amp;Inputs!A50</f>
        <v>  Items - Book - Hardcover 8.5x8.5, 24pp</v>
      </c>
      <c r="B50" s="20" t="s">
        <v>766</v>
      </c>
      <c r="D50" s="11" t="n">
        <f aca="false">D44*Inputs!$G$50</f>
        <v>26.4861424398396</v>
      </c>
      <c r="E50" s="11" t="n">
        <f aca="false">E44*Inputs!$G$50</f>
        <v>46.1983710697113</v>
      </c>
      <c r="F50" s="11" t="n">
        <f aca="false">F44*Inputs!$G$50</f>
        <v>15.7519640077721</v>
      </c>
      <c r="G50" s="11" t="n">
        <f aca="false">G44*Inputs!$G$50</f>
        <v>31.6647643497625</v>
      </c>
      <c r="H50" s="11" t="n">
        <f aca="false">H44*Inputs!$G$50</f>
        <v>20.738830787583</v>
      </c>
      <c r="I50" s="11" t="n">
        <f aca="false">I44*Inputs!$G$50</f>
        <v>22.8315780270642</v>
      </c>
      <c r="J50" s="11" t="n">
        <f aca="false">J44*Inputs!$G$50</f>
        <v>39.6350161076546</v>
      </c>
      <c r="K50" s="11" t="n">
        <f aca="false">K44*Inputs!$G$50</f>
        <v>29.6981000046362</v>
      </c>
      <c r="L50" s="11" t="n">
        <f aca="false">L44*Inputs!$G$50</f>
        <v>24.4851757712142</v>
      </c>
      <c r="M50" s="11" t="n">
        <f aca="false">M44*Inputs!$G$50</f>
        <v>26.8947362547788</v>
      </c>
      <c r="N50" s="11" t="n">
        <f aca="false">N44*Inputs!$G$50</f>
        <v>29.5267880706794</v>
      </c>
      <c r="O50" s="11" t="n">
        <f aca="false">O44*Inputs!$G$50</f>
        <v>32.3675805672713</v>
      </c>
      <c r="P50" s="11" t="n">
        <f aca="false">P44*Inputs!$G$50</f>
        <v>45.6298751905095</v>
      </c>
      <c r="Q50" s="11" t="n">
        <f aca="false">Q44*Inputs!$G$50</f>
        <v>77.5107971773866</v>
      </c>
      <c r="R50" s="11" t="n">
        <f aca="false">R44*Inputs!$G$50</f>
        <v>25.4426496795479</v>
      </c>
      <c r="S50" s="11" t="n">
        <f aca="false">S44*Inputs!$G$50</f>
        <v>51.6127947421483</v>
      </c>
      <c r="T50" s="11" t="n">
        <f aca="false">T44*Inputs!$G$50</f>
        <v>32.9801120213756</v>
      </c>
      <c r="U50" s="11" t="n">
        <f aca="false">U44*Inputs!$G$50</f>
        <v>35.917962630761</v>
      </c>
      <c r="V50" s="11" t="n">
        <f aca="false">V44*Inputs!$G$50</f>
        <v>61.7544725046957</v>
      </c>
      <c r="W50" s="11" t="n">
        <f aca="false">W44*Inputs!$G$50</f>
        <v>45.5575456801043</v>
      </c>
      <c r="X50" s="11" t="n">
        <f aca="false">X44*Inputs!$G$50</f>
        <v>36.9341038643723</v>
      </c>
      <c r="Y50" s="11" t="n">
        <f aca="false">Y44*Inputs!$G$50</f>
        <v>40.1506055879018</v>
      </c>
      <c r="Z50" s="11" t="n">
        <f aca="false">Z44*Inputs!$G$50</f>
        <v>43.6045466454836</v>
      </c>
      <c r="AA50" s="11" t="n">
        <f aca="false">AA44*Inputs!$G$50</f>
        <v>47.2678189113035</v>
      </c>
      <c r="AB50" s="11" t="n">
        <f aca="false">AB44*Inputs!$G$50</f>
        <v>65.7562367995855</v>
      </c>
      <c r="AC50" s="11" t="n">
        <f aca="false">AC44*Inputs!$G$50</f>
        <v>109.182429431463</v>
      </c>
      <c r="AD50" s="11" t="n">
        <f aca="false">AD44*Inputs!$G$50</f>
        <v>35.6418440557213</v>
      </c>
      <c r="AE50" s="11" t="n">
        <f aca="false">AE44*Inputs!$G$50</f>
        <v>71.7355502620335</v>
      </c>
      <c r="AF50" s="11" t="n">
        <f aca="false">AF44*Inputs!$G$50</f>
        <v>45.4926568178295</v>
      </c>
      <c r="AG50" s="11" t="n">
        <f aca="false">AG44*Inputs!$G$50</f>
        <v>49.1513868332444</v>
      </c>
      <c r="AH50" s="11" t="n">
        <f aca="false">AH44*Inputs!$G$50</f>
        <v>83.3332628589607</v>
      </c>
      <c r="AI50" s="11" t="n">
        <f aca="false">AI44*Inputs!$G$50</f>
        <v>61.1978916352286</v>
      </c>
      <c r="AJ50" s="11" t="n">
        <f aca="false">AJ44*Inputs!$G$50</f>
        <v>49.29141878608</v>
      </c>
      <c r="AK50" s="11" t="n">
        <f aca="false">AK44*Inputs!$G$50</f>
        <v>53.218530518015</v>
      </c>
      <c r="AL50" s="11" t="n">
        <f aca="false">AL44*Inputs!$G$50</f>
        <v>57.3949642679912</v>
      </c>
      <c r="AM50" s="11" t="n">
        <f aca="false">AM44*Inputs!$G$50</f>
        <v>61.7798411087814</v>
      </c>
      <c r="AO50" s="11" t="n">
        <f aca="false">SUM(D50:O50)</f>
        <v>346.279047457967</v>
      </c>
      <c r="AP50" s="11" t="n">
        <f aca="false">SUM(P50:AA50)</f>
        <v>544.36328463559</v>
      </c>
      <c r="AQ50" s="11" t="n">
        <f aca="false">SUM(AB50:AM50)</f>
        <v>743.176013374934</v>
      </c>
    </row>
    <row r="51" customFormat="false" ht="15" hidden="false" customHeight="false" outlineLevel="0" collapsed="false">
      <c r="A51" s="6" t="str">
        <f aca="false">"  Items - "&amp;Inputs!A51</f>
        <v>  Items - Book - Hardcover 8.5x8.5, 32pp</v>
      </c>
      <c r="B51" s="20" t="s">
        <v>766</v>
      </c>
      <c r="D51" s="11" t="n">
        <f aca="false">D44*Inputs!$G$51</f>
        <v>40.6120850744207</v>
      </c>
      <c r="E51" s="11" t="n">
        <f aca="false">E44*Inputs!$G$51</f>
        <v>70.8375023068906</v>
      </c>
      <c r="F51" s="11" t="n">
        <f aca="false">F44*Inputs!$G$51</f>
        <v>24.1530114785839</v>
      </c>
      <c r="G51" s="11" t="n">
        <f aca="false">G44*Inputs!$G$51</f>
        <v>48.5526386696358</v>
      </c>
      <c r="H51" s="11" t="n">
        <f aca="false">H44*Inputs!$G$51</f>
        <v>31.7995405409607</v>
      </c>
      <c r="I51" s="11" t="n">
        <f aca="false">I44*Inputs!$G$51</f>
        <v>35.0084196414985</v>
      </c>
      <c r="J51" s="11" t="n">
        <f aca="false">J44*Inputs!$G$51</f>
        <v>60.7736913650705</v>
      </c>
      <c r="K51" s="11" t="n">
        <f aca="false">K44*Inputs!$G$51</f>
        <v>45.5370866737756</v>
      </c>
      <c r="L51" s="11" t="n">
        <f aca="false">L44*Inputs!$G$51</f>
        <v>37.5439361825284</v>
      </c>
      <c r="M51" s="11" t="n">
        <f aca="false">M44*Inputs!$G$51</f>
        <v>41.2385955906608</v>
      </c>
      <c r="N51" s="11" t="n">
        <f aca="false">N44*Inputs!$G$51</f>
        <v>45.2744083750417</v>
      </c>
      <c r="O51" s="11" t="n">
        <f aca="false">O44*Inputs!$G$51</f>
        <v>49.6302902031494</v>
      </c>
      <c r="P51" s="11" t="n">
        <f aca="false">P44*Inputs!$G$51</f>
        <v>69.9658086254479</v>
      </c>
      <c r="Q51" s="11" t="n">
        <f aca="false">Q44*Inputs!$G$51</f>
        <v>118.849889005326</v>
      </c>
      <c r="R51" s="11" t="n">
        <f aca="false">R44*Inputs!$G$51</f>
        <v>39.0120628419734</v>
      </c>
      <c r="S51" s="11" t="n">
        <f aca="false">S44*Inputs!$G$51</f>
        <v>79.1396186046274</v>
      </c>
      <c r="T51" s="11" t="n">
        <f aca="false">T44*Inputs!$G$51</f>
        <v>50.5695050994425</v>
      </c>
      <c r="U51" s="11" t="n">
        <f aca="false">U44*Inputs!$G$51</f>
        <v>55.0742093671668</v>
      </c>
      <c r="V51" s="11" t="n">
        <f aca="false">V44*Inputs!$G$51</f>
        <v>94.6901911738668</v>
      </c>
      <c r="W51" s="11" t="n">
        <f aca="false">W44*Inputs!$G$51</f>
        <v>69.8549033761599</v>
      </c>
      <c r="X51" s="11" t="n">
        <f aca="false">X44*Inputs!$G$51</f>
        <v>56.6322925920376</v>
      </c>
      <c r="Y51" s="11" t="n">
        <f aca="false">Y44*Inputs!$G$51</f>
        <v>61.5642619014494</v>
      </c>
      <c r="Z51" s="11" t="n">
        <f aca="false">Z44*Inputs!$G$51</f>
        <v>66.8603048564082</v>
      </c>
      <c r="AA51" s="11" t="n">
        <f aca="false">AA44*Inputs!$G$51</f>
        <v>72.4773223306654</v>
      </c>
      <c r="AB51" s="11" t="n">
        <f aca="false">AB44*Inputs!$G$51</f>
        <v>100.826229759364</v>
      </c>
      <c r="AC51" s="11" t="n">
        <f aca="false">AC44*Inputs!$G$51</f>
        <v>167.413058461577</v>
      </c>
      <c r="AD51" s="11" t="n">
        <f aca="false">AD44*Inputs!$G$51</f>
        <v>54.650827552106</v>
      </c>
      <c r="AE51" s="11" t="n">
        <f aca="false">AE44*Inputs!$G$51</f>
        <v>109.994510401785</v>
      </c>
      <c r="AF51" s="11" t="n">
        <f aca="false">AF44*Inputs!$G$51</f>
        <v>69.7554071206719</v>
      </c>
      <c r="AG51" s="11" t="n">
        <f aca="false">AG44*Inputs!$G$51</f>
        <v>75.3654598109747</v>
      </c>
      <c r="AH51" s="11" t="n">
        <f aca="false">AH44*Inputs!$G$51</f>
        <v>127.777669717073</v>
      </c>
      <c r="AI51" s="11" t="n">
        <f aca="false">AI44*Inputs!$G$51</f>
        <v>93.8367671740173</v>
      </c>
      <c r="AJ51" s="11" t="n">
        <f aca="false">AJ44*Inputs!$G$51</f>
        <v>75.5801754719894</v>
      </c>
      <c r="AK51" s="11" t="n">
        <f aca="false">AK44*Inputs!$G$51</f>
        <v>81.6017467942897</v>
      </c>
      <c r="AL51" s="11" t="n">
        <f aca="false">AL44*Inputs!$G$51</f>
        <v>88.0056118775865</v>
      </c>
      <c r="AM51" s="11" t="n">
        <f aca="false">AM44*Inputs!$G$51</f>
        <v>94.7290897001315</v>
      </c>
      <c r="AO51" s="11" t="n">
        <f aca="false">SUM(D51:O51)</f>
        <v>530.961206102217</v>
      </c>
      <c r="AP51" s="11" t="n">
        <f aca="false">SUM(P51:AA51)</f>
        <v>834.690369774571</v>
      </c>
      <c r="AQ51" s="11" t="n">
        <f aca="false">SUM(AB51:AM51)</f>
        <v>1139.53655384157</v>
      </c>
    </row>
    <row r="52" customFormat="false" ht="15" hidden="false" customHeight="false" outlineLevel="0" collapsed="false">
      <c r="A52" s="23" t="s">
        <v>1087</v>
      </c>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row>
    <row r="53" customFormat="false" ht="15" hidden="false" customHeight="false" outlineLevel="0" collapsed="false">
      <c r="A53" s="6" t="str">
        <f aca="false">"  Revenue - "&amp;Inputs!A47</f>
        <v>  Revenue - Card - Digital e-card/PDF</v>
      </c>
      <c r="B53" s="20" t="s">
        <v>61</v>
      </c>
      <c r="D53" s="12" t="n">
        <f aca="false">D47*'Unit Economics'!$D$5</f>
        <v>98.6343944459626</v>
      </c>
      <c r="E53" s="12" t="n">
        <f aca="false">E47*'Unit Economics'!$D$5</f>
        <v>172.042733863605</v>
      </c>
      <c r="F53" s="12" t="n">
        <f aca="false">F47*'Unit Economics'!$D$5</f>
        <v>58.6603139649433</v>
      </c>
      <c r="G53" s="12" t="n">
        <f aca="false">G47*'Unit Economics'!$D$5</f>
        <v>117.919582438515</v>
      </c>
      <c r="H53" s="12" t="n">
        <f aca="false">H47*'Unit Economics'!$D$5</f>
        <v>77.2314058529593</v>
      </c>
      <c r="I53" s="12" t="n">
        <f aca="false">I47*'Unit Economics'!$D$5</f>
        <v>85.0247965727872</v>
      </c>
      <c r="J53" s="12" t="n">
        <f aca="false">J47*'Unit Economics'!$D$5</f>
        <v>147.600799984906</v>
      </c>
      <c r="K53" s="12" t="n">
        <f aca="false">K47*'Unit Economics'!$D$5</f>
        <v>110.595724417265</v>
      </c>
      <c r="L53" s="12" t="n">
        <f aca="false">L47*'Unit Economics'!$D$5</f>
        <v>91.1827945720017</v>
      </c>
      <c r="M53" s="12" t="n">
        <f aca="false">M47*'Unit Economics'!$D$5</f>
        <v>100.155997812796</v>
      </c>
      <c r="N53" s="12" t="n">
        <f aca="false">N47*'Unit Economics'!$D$5</f>
        <v>109.95775877521</v>
      </c>
      <c r="O53" s="12" t="n">
        <f aca="false">O47*'Unit Economics'!$D$5</f>
        <v>120.536870032518</v>
      </c>
      <c r="P53" s="12" t="n">
        <f aca="false">P47*'Unit Economics'!$D$5</f>
        <v>169.925655209457</v>
      </c>
      <c r="Q53" s="12" t="n">
        <f aca="false">Q47*'Unit Economics'!$D$5</f>
        <v>288.650208688588</v>
      </c>
      <c r="R53" s="12" t="n">
        <f aca="false">R47*'Unit Economics'!$D$5</f>
        <v>94.7484274066363</v>
      </c>
      <c r="S53" s="12" t="n">
        <f aca="false">S47*'Unit Economics'!$D$5</f>
        <v>192.20604761976</v>
      </c>
      <c r="T53" s="12" t="n">
        <f aca="false">T47*'Unit Economics'!$D$5</f>
        <v>122.817937167603</v>
      </c>
      <c r="U53" s="12" t="n">
        <f aca="false">U47*'Unit Economics'!$D$5</f>
        <v>133.758492836954</v>
      </c>
      <c r="V53" s="12" t="n">
        <f aca="false">V47*'Unit Economics'!$D$5</f>
        <v>229.973655607487</v>
      </c>
      <c r="W53" s="12" t="n">
        <f aca="false">W47*'Unit Economics'!$D$5</f>
        <v>169.656300112708</v>
      </c>
      <c r="X53" s="12" t="n">
        <f aca="false">X47*'Unit Economics'!$D$5</f>
        <v>137.542602790923</v>
      </c>
      <c r="Y53" s="12" t="n">
        <f aca="false">Y47*'Unit Economics'!$D$5</f>
        <v>149.520855209346</v>
      </c>
      <c r="Z53" s="12" t="n">
        <f aca="false">Z47*'Unit Economics'!$D$5</f>
        <v>162.383331707781</v>
      </c>
      <c r="AA53" s="12" t="n">
        <f aca="false">AA47*'Unit Economics'!$D$5</f>
        <v>176.025357625694</v>
      </c>
      <c r="AB53" s="12" t="n">
        <f aca="false">AB47*'Unit Economics'!$D$5</f>
        <v>244.876225841656</v>
      </c>
      <c r="AC53" s="12" t="n">
        <f aca="false">AC47*'Unit Economics'!$D$5</f>
        <v>406.595367202768</v>
      </c>
      <c r="AD53" s="12" t="n">
        <f aca="false">AD47*'Unit Economics'!$D$5</f>
        <v>132.730227263506</v>
      </c>
      <c r="AE53" s="12" t="n">
        <f aca="false">AE47*'Unit Economics'!$D$5</f>
        <v>267.143189175813</v>
      </c>
      <c r="AF53" s="12" t="n">
        <f aca="false">AF47*'Unit Economics'!$D$5</f>
        <v>169.414653989597</v>
      </c>
      <c r="AG53" s="12" t="n">
        <f aca="false">AG47*'Unit Economics'!$D$5</f>
        <v>183.039764567002</v>
      </c>
      <c r="AH53" s="12" t="n">
        <f aca="false">AH47*'Unit Economics'!$D$5</f>
        <v>310.33307088677</v>
      </c>
      <c r="AI53" s="12" t="n">
        <f aca="false">AI47*'Unit Economics'!$D$5</f>
        <v>227.900948449591</v>
      </c>
      <c r="AJ53" s="12" t="n">
        <f aca="false">AJ47*'Unit Economics'!$D$5</f>
        <v>183.561243559362</v>
      </c>
      <c r="AK53" s="12" t="n">
        <f aca="false">AK47*'Unit Economics'!$D$5</f>
        <v>198.185807649088</v>
      </c>
      <c r="AL53" s="12" t="n">
        <f aca="false">AL47*'Unit Economics'!$D$5</f>
        <v>213.738846933999</v>
      </c>
      <c r="AM53" s="12" t="n">
        <f aca="false">AM47*'Unit Economics'!$D$5</f>
        <v>230.068128289102</v>
      </c>
      <c r="AO53" s="12" t="n">
        <f aca="false">SUM(D53:O53)</f>
        <v>1289.54317273347</v>
      </c>
      <c r="AP53" s="12" t="n">
        <f aca="false">SUM(P53:AA53)</f>
        <v>2027.20887198294</v>
      </c>
      <c r="AQ53" s="12" t="n">
        <f aca="false">SUM(AB53:AM53)</f>
        <v>2767.58747380826</v>
      </c>
    </row>
    <row r="54" customFormat="false" ht="15" hidden="false" customHeight="false" outlineLevel="0" collapsed="false">
      <c r="A54" s="6" t="str">
        <f aca="false">"  Revenue - "&amp;Inputs!A48</f>
        <v>  Revenue - Card - Printed 5x7 folded</v>
      </c>
      <c r="B54" s="20" t="s">
        <v>61</v>
      </c>
      <c r="D54" s="12" t="n">
        <f aca="false">D48*'Unit Economics'!$D$6</f>
        <v>754.395966399804</v>
      </c>
      <c r="E54" s="12" t="n">
        <f aca="false">E48*'Unit Economics'!$D$6</f>
        <v>1315.85280372156</v>
      </c>
      <c r="F54" s="12" t="n">
        <f aca="false">F48*'Unit Economics'!$D$6</f>
        <v>448.657940178703</v>
      </c>
      <c r="G54" s="12" t="n">
        <f aca="false">G48*'Unit Economics'!$D$6</f>
        <v>901.896928052835</v>
      </c>
      <c r="H54" s="12" t="n">
        <f aca="false">H48*'Unit Economics'!$D$6</f>
        <v>590.697204379132</v>
      </c>
      <c r="I54" s="12" t="n">
        <f aca="false">I48*'Unit Economics'!$D$6</f>
        <v>650.304226418861</v>
      </c>
      <c r="J54" s="12" t="n">
        <f aca="false">J48*'Unit Economics'!$D$6</f>
        <v>1128.91095212229</v>
      </c>
      <c r="K54" s="12" t="n">
        <f aca="false">K48*'Unit Economics'!$D$6</f>
        <v>845.881083065386</v>
      </c>
      <c r="L54" s="12" t="n">
        <f aca="false">L48*'Unit Economics'!$D$6</f>
        <v>697.403099766237</v>
      </c>
      <c r="M54" s="12" t="n">
        <f aca="false">M48*'Unit Economics'!$D$6</f>
        <v>766.033807832779</v>
      </c>
      <c r="N54" s="12" t="n">
        <f aca="false">N48*'Unit Economics'!$D$6</f>
        <v>841.001662354471</v>
      </c>
      <c r="O54" s="12" t="n">
        <f aca="false">O48*'Unit Economics'!$D$6</f>
        <v>921.915008104067</v>
      </c>
      <c r="P54" s="12" t="n">
        <f aca="false">P48*'Unit Economics'!$D$6</f>
        <v>1299.66052509289</v>
      </c>
      <c r="Q54" s="12" t="n">
        <f aca="false">Q48*'Unit Economics'!$D$6</f>
        <v>2207.71419907111</v>
      </c>
      <c r="R54" s="12" t="n">
        <f aca="false">R48*'Unit Economics'!$D$6</f>
        <v>724.674509939336</v>
      </c>
      <c r="S54" s="12" t="n">
        <f aca="false">S48*'Unit Economics'!$D$6</f>
        <v>1470.0700283757</v>
      </c>
      <c r="T54" s="12" t="n">
        <f aca="false">T48*'Unit Economics'!$D$6</f>
        <v>939.361537334167</v>
      </c>
      <c r="U54" s="12" t="n">
        <f aca="false">U48*'Unit Economics'!$D$6</f>
        <v>1023.03935695775</v>
      </c>
      <c r="V54" s="12" t="n">
        <f aca="false">V48*'Unit Economics'!$D$6</f>
        <v>1758.93205552708</v>
      </c>
      <c r="W54" s="12" t="n">
        <f aca="false">W48*'Unit Economics'!$D$6</f>
        <v>1297.60038775785</v>
      </c>
      <c r="X54" s="12" t="n">
        <f aca="false">X48*'Unit Economics'!$D$6</f>
        <v>1051.98176900096</v>
      </c>
      <c r="Y54" s="12" t="n">
        <f aca="false">Y48*'Unit Economics'!$D$6</f>
        <v>1143.59631542501</v>
      </c>
      <c r="Z54" s="12" t="n">
        <f aca="false">Z48*'Unit Economics'!$D$6</f>
        <v>1241.97376725443</v>
      </c>
      <c r="AA54" s="12" t="n">
        <f aca="false">AA48*'Unit Economics'!$D$6</f>
        <v>1346.31353011102</v>
      </c>
      <c r="AB54" s="12" t="n">
        <f aca="false">AB48*'Unit Economics'!$D$6</f>
        <v>1872.91297401699</v>
      </c>
      <c r="AC54" s="12" t="n">
        <f aca="false">AC48*'Unit Economics'!$D$6</f>
        <v>3109.80674335322</v>
      </c>
      <c r="AD54" s="12" t="n">
        <f aca="false">AD48*'Unit Economics'!$D$6</f>
        <v>1015.17476362442</v>
      </c>
      <c r="AE54" s="12" t="n">
        <f aca="false">AE48*'Unit Economics'!$D$6</f>
        <v>2043.21976626341</v>
      </c>
      <c r="AF54" s="12" t="n">
        <f aca="false">AF48*'Unit Economics'!$D$6</f>
        <v>1295.7521799233</v>
      </c>
      <c r="AG54" s="12" t="n">
        <f aca="false">AG48*'Unit Economics'!$D$6</f>
        <v>1399.96256737569</v>
      </c>
      <c r="AH54" s="12" t="n">
        <f aca="false">AH48*'Unit Economics'!$D$6</f>
        <v>2373.55354825749</v>
      </c>
      <c r="AI54" s="12" t="n">
        <f aca="false">AI48*'Unit Economics'!$D$6</f>
        <v>1743.07914814901</v>
      </c>
      <c r="AJ54" s="12" t="n">
        <f aca="false">AJ48*'Unit Economics'!$D$6</f>
        <v>1403.95105081099</v>
      </c>
      <c r="AK54" s="12" t="n">
        <f aca="false">AK48*'Unit Economics'!$D$6</f>
        <v>1515.80566523445</v>
      </c>
      <c r="AL54" s="12" t="n">
        <f aca="false">AL48*'Unit Economics'!$D$6</f>
        <v>1634.76163559044</v>
      </c>
      <c r="AM54" s="12" t="n">
        <f aca="false">AM48*'Unit Economics'!$D$6</f>
        <v>1759.65462102105</v>
      </c>
      <c r="AO54" s="12" t="n">
        <f aca="false">SUM(D54:O54)</f>
        <v>9862.95068239613</v>
      </c>
      <c r="AP54" s="12" t="n">
        <f aca="false">SUM(P54:AA54)</f>
        <v>15504.9179818473</v>
      </c>
      <c r="AQ54" s="12" t="n">
        <f aca="false">SUM(AB54:AM54)</f>
        <v>21167.6346636205</v>
      </c>
    </row>
    <row r="55" customFormat="false" ht="15" hidden="false" customHeight="false" outlineLevel="0" collapsed="false">
      <c r="A55" s="6" t="str">
        <f aca="false">"  Revenue - "&amp;Inputs!A49</f>
        <v>  Revenue - Book - Digital flipbook/PDF</v>
      </c>
      <c r="B55" s="20" t="s">
        <v>61</v>
      </c>
      <c r="D55" s="12" t="n">
        <f aca="false">D49*'Unit Economics'!$D$7</f>
        <v>282.377593265276</v>
      </c>
      <c r="E55" s="12" t="n">
        <f aca="false">E49*'Unit Economics'!$D$7</f>
        <v>492.536233431215</v>
      </c>
      <c r="F55" s="12" t="n">
        <f aca="false">F49*'Unit Economics'!$D$7</f>
        <v>167.936938941527</v>
      </c>
      <c r="G55" s="12" t="n">
        <f aca="false">G49*'Unit Economics'!$D$7</f>
        <v>337.588607654268</v>
      </c>
      <c r="H55" s="12" t="n">
        <f aca="false">H49*'Unit Economics'!$D$7</f>
        <v>221.103587970019</v>
      </c>
      <c r="I55" s="12" t="n">
        <f aca="false">I49*'Unit Economics'!$D$7</f>
        <v>243.415063872541</v>
      </c>
      <c r="J55" s="12" t="n">
        <f aca="false">J49*'Unit Economics'!$D$7</f>
        <v>422.562118395742</v>
      </c>
      <c r="K55" s="12" t="n">
        <f aca="false">K49*'Unit Economics'!$D$7</f>
        <v>316.621343516095</v>
      </c>
      <c r="L55" s="12" t="n">
        <f aca="false">L49*'Unit Economics'!$D$7</f>
        <v>261.044620622172</v>
      </c>
      <c r="M55" s="12" t="n">
        <f aca="false">M49*'Unit Economics'!$D$7</f>
        <v>286.733748124281</v>
      </c>
      <c r="N55" s="12" t="n">
        <f aca="false">N49*'Unit Economics'!$D$7</f>
        <v>314.794929884203</v>
      </c>
      <c r="O55" s="12" t="n">
        <f aca="false">O49*'Unit Economics'!$D$7</f>
        <v>345.081565621202</v>
      </c>
      <c r="P55" s="12" t="n">
        <f aca="false">P49*'Unit Economics'!$D$7</f>
        <v>486.475309364419</v>
      </c>
      <c r="Q55" s="12" t="n">
        <f aca="false">Q49*'Unit Economics'!$D$7</f>
        <v>826.36844564051</v>
      </c>
      <c r="R55" s="12" t="n">
        <f aca="false">R49*'Unit Economics'!$D$7</f>
        <v>271.252569116886</v>
      </c>
      <c r="S55" s="12" t="n">
        <f aca="false">S49*'Unit Economics'!$D$7</f>
        <v>550.261209010957</v>
      </c>
      <c r="T55" s="12" t="n">
        <f aca="false">T49*'Unit Economics'!$D$7</f>
        <v>351.611967630559</v>
      </c>
      <c r="U55" s="12" t="n">
        <f aca="false">U49*'Unit Economics'!$D$7</f>
        <v>382.933372260753</v>
      </c>
      <c r="V55" s="12" t="n">
        <f aca="false">V49*'Unit Economics'!$D$7</f>
        <v>658.38501619673</v>
      </c>
      <c r="W55" s="12" t="n">
        <f aca="false">W49*'Unit Economics'!$D$7</f>
        <v>485.704180344152</v>
      </c>
      <c r="X55" s="12" t="n">
        <f aca="false">X49*'Unit Economics'!$D$7</f>
        <v>393.766792666028</v>
      </c>
      <c r="Y55" s="12" t="n">
        <f aca="false">Y49*'Unit Economics'!$D$7</f>
        <v>428.058989707817</v>
      </c>
      <c r="Z55" s="12" t="n">
        <f aca="false">Z49*'Unit Economics'!$D$7</f>
        <v>464.882606636382</v>
      </c>
      <c r="AA55" s="12" t="n">
        <f aca="false">AA49*'Unit Economics'!$D$7</f>
        <v>503.937973353044</v>
      </c>
      <c r="AB55" s="12" t="n">
        <f aca="false">AB49*'Unit Economics'!$D$7</f>
        <v>701.049159265981</v>
      </c>
      <c r="AC55" s="12" t="n">
        <f aca="false">AC49*'Unit Economics'!$D$7</f>
        <v>1164.03027431197</v>
      </c>
      <c r="AD55" s="12" t="n">
        <f aca="false">AD49*'Unit Economics'!$D$7</f>
        <v>379.98958009273</v>
      </c>
      <c r="AE55" s="12" t="n">
        <f aca="false">AE49*'Unit Economics'!$D$7</f>
        <v>764.796613193626</v>
      </c>
      <c r="AF55" s="12" t="n">
        <f aca="false">AF49*'Unit Economics'!$D$7</f>
        <v>485.01237855382</v>
      </c>
      <c r="AG55" s="12" t="n">
        <f aca="false">AG49*'Unit Economics'!$D$7</f>
        <v>524.019318824829</v>
      </c>
      <c r="AH55" s="12" t="n">
        <f aca="false">AH49*'Unit Economics'!$D$7</f>
        <v>888.443693093667</v>
      </c>
      <c r="AI55" s="12" t="n">
        <f aca="false">AI49*'Unit Economics'!$D$7</f>
        <v>652.451122020384</v>
      </c>
      <c r="AJ55" s="12" t="n">
        <f aca="false">AJ49*'Unit Economics'!$D$7</f>
        <v>525.512246151328</v>
      </c>
      <c r="AK55" s="12" t="n">
        <f aca="false">AK49*'Unit Economics'!$D$7</f>
        <v>567.380493362731</v>
      </c>
      <c r="AL55" s="12" t="n">
        <f aca="false">AL49*'Unit Economics'!$D$7</f>
        <v>611.90684571581</v>
      </c>
      <c r="AM55" s="12" t="n">
        <f aca="false">AM49*'Unit Economics'!$D$7</f>
        <v>658.655479341088</v>
      </c>
      <c r="AO55" s="12" t="n">
        <f aca="false">SUM(D55:O55)</f>
        <v>3691.79635129854</v>
      </c>
      <c r="AP55" s="12" t="n">
        <f aca="false">SUM(P55:AA55)</f>
        <v>5803.63843192824</v>
      </c>
      <c r="AQ55" s="12" t="n">
        <f aca="false">SUM(AB55:AM55)</f>
        <v>7923.24720392796</v>
      </c>
    </row>
    <row r="56" customFormat="false" ht="15" hidden="false" customHeight="false" outlineLevel="0" collapsed="false">
      <c r="A56" s="6" t="str">
        <f aca="false">"  Revenue - "&amp;Inputs!A50</f>
        <v>  Revenue - Book - Hardcover 8.5x8.5, 24pp</v>
      </c>
      <c r="B56" s="20" t="s">
        <v>61</v>
      </c>
      <c r="D56" s="12" t="n">
        <f aca="false">D50*'Unit Economics'!$D$8</f>
        <v>1175.74634904692</v>
      </c>
      <c r="E56" s="12" t="n">
        <f aca="false">E50*'Unit Economics'!$D$8</f>
        <v>2050.79189015555</v>
      </c>
      <c r="F56" s="12" t="n">
        <f aca="false">F50*'Unit Economics'!$D$8</f>
        <v>699.245434269011</v>
      </c>
      <c r="G56" s="12" t="n">
        <f aca="false">G50*'Unit Economics'!$D$8</f>
        <v>1405.63055425031</v>
      </c>
      <c r="H56" s="12" t="n">
        <f aca="false">H50*'Unit Economics'!$D$8</f>
        <v>920.617437491599</v>
      </c>
      <c r="I56" s="12" t="n">
        <f aca="false">I50*'Unit Economics'!$D$8</f>
        <v>1013.51658019941</v>
      </c>
      <c r="J56" s="12" t="n">
        <f aca="false">J50*'Unit Economics'!$D$8</f>
        <v>1759.4380000349</v>
      </c>
      <c r="K56" s="12" t="n">
        <f aca="false">K50*'Unit Economics'!$D$8</f>
        <v>1318.32835730581</v>
      </c>
      <c r="L56" s="12" t="n">
        <f aca="false">L50*'Unit Economics'!$D$8</f>
        <v>1086.92143765997</v>
      </c>
      <c r="M56" s="12" t="n">
        <f aca="false">M50*'Unit Economics'!$D$8</f>
        <v>1193.88423708588</v>
      </c>
      <c r="N56" s="12" t="n">
        <f aca="false">N50*'Unit Economics'!$D$8</f>
        <v>1310.72364924553</v>
      </c>
      <c r="O56" s="12" t="n">
        <f aca="false">O50*'Unit Economics'!$D$8</f>
        <v>1436.82926896174</v>
      </c>
      <c r="P56" s="12" t="n">
        <f aca="false">P50*'Unit Economics'!$D$8</f>
        <v>2025.55578958191</v>
      </c>
      <c r="Q56" s="12" t="n">
        <f aca="false">Q50*'Unit Economics'!$D$8</f>
        <v>3440.78179750137</v>
      </c>
      <c r="R56" s="12" t="n">
        <f aca="false">R50*'Unit Economics'!$D$8</f>
        <v>1129.42466192481</v>
      </c>
      <c r="S56" s="12" t="n">
        <f aca="false">S50*'Unit Economics'!$D$8</f>
        <v>2291.14357139871</v>
      </c>
      <c r="T56" s="12" t="n">
        <f aca="false">T50*'Unit Economics'!$D$8</f>
        <v>1464.02015274088</v>
      </c>
      <c r="U56" s="12" t="n">
        <f aca="false">U50*'Unit Economics'!$D$8</f>
        <v>1594.43427914211</v>
      </c>
      <c r="V56" s="12" t="n">
        <f aca="false">V50*'Unit Economics'!$D$8</f>
        <v>2741.34278895595</v>
      </c>
      <c r="W56" s="12" t="n">
        <f aca="false">W50*'Unit Economics'!$D$8</f>
        <v>2022.34501028551</v>
      </c>
      <c r="X56" s="12" t="n">
        <f aca="false">X50*'Unit Economics'!$D$8</f>
        <v>1639.54180464335</v>
      </c>
      <c r="Y56" s="12" t="n">
        <f aca="false">Y50*'Unit Economics'!$D$8</f>
        <v>1782.32553265255</v>
      </c>
      <c r="Z56" s="12" t="n">
        <f aca="false">Z50*'Unit Economics'!$D$8</f>
        <v>1935.64943013966</v>
      </c>
      <c r="AA56" s="12" t="n">
        <f aca="false">AA50*'Unit Economics'!$D$8</f>
        <v>2098.26574929167</v>
      </c>
      <c r="AB56" s="12" t="n">
        <f aca="false">AB50*'Unit Economics'!$D$8</f>
        <v>2918.9851077704</v>
      </c>
      <c r="AC56" s="12" t="n">
        <f aca="false">AC50*'Unit Economics'!$D$8</f>
        <v>4846.71722489207</v>
      </c>
      <c r="AD56" s="12" t="n">
        <f aca="false">AD50*'Unit Economics'!$D$8</f>
        <v>1582.17709947752</v>
      </c>
      <c r="AE56" s="12" t="n">
        <f aca="false">AE50*'Unit Economics'!$D$8</f>
        <v>3184.41281168193</v>
      </c>
      <c r="AF56" s="12" t="n">
        <f aca="false">AF50*'Unit Economics'!$D$8</f>
        <v>2019.46452880027</v>
      </c>
      <c r="AG56" s="12" t="n">
        <f aca="false">AG50*'Unit Economics'!$D$8</f>
        <v>2181.87921291455</v>
      </c>
      <c r="AH56" s="12" t="n">
        <f aca="false">AH50*'Unit Economics'!$D$8</f>
        <v>3699.24687157213</v>
      </c>
      <c r="AI56" s="12" t="n">
        <f aca="false">AI50*'Unit Economics'!$D$8</f>
        <v>2716.63560757943</v>
      </c>
      <c r="AJ56" s="12" t="n">
        <f aca="false">AJ50*'Unit Economics'!$D$8</f>
        <v>2188.09537133288</v>
      </c>
      <c r="AK56" s="12" t="n">
        <f aca="false">AK50*'Unit Economics'!$D$8</f>
        <v>2362.4237882252</v>
      </c>
      <c r="AL56" s="12" t="n">
        <f aca="false">AL50*'Unit Economics'!$D$8</f>
        <v>2547.8198588204</v>
      </c>
      <c r="AM56" s="12" t="n">
        <f aca="false">AM50*'Unit Economics'!$D$8</f>
        <v>2742.46892665992</v>
      </c>
      <c r="AO56" s="12" t="n">
        <f aca="false">SUM(D56:O56)</f>
        <v>15371.6731957066</v>
      </c>
      <c r="AP56" s="12" t="n">
        <f aca="false">SUM(P56:AA56)</f>
        <v>24164.8305682585</v>
      </c>
      <c r="AQ56" s="12" t="n">
        <f aca="false">SUM(AB56:AM56)</f>
        <v>32990.3264097267</v>
      </c>
    </row>
    <row r="57" customFormat="false" ht="15" hidden="false" customHeight="false" outlineLevel="0" collapsed="false">
      <c r="A57" s="6" t="str">
        <f aca="false">"  Revenue - "&amp;Inputs!A51</f>
        <v>  Revenue - Book - Hardcover 8.5x8.5, 32pp</v>
      </c>
      <c r="B57" s="20" t="s">
        <v>61</v>
      </c>
      <c r="D57" s="12" t="n">
        <f aca="false">D51*'Unit Economics'!$D$9</f>
        <v>2208.93191928281</v>
      </c>
      <c r="E57" s="12" t="n">
        <f aca="false">E51*'Unit Economics'!$D$9</f>
        <v>3852.92258797409</v>
      </c>
      <c r="F57" s="12" t="n">
        <f aca="false">F51*'Unit Economics'!$D$9</f>
        <v>1313.70644733166</v>
      </c>
      <c r="G57" s="12" t="n">
        <f aca="false">G51*'Unit Economics'!$D$9</f>
        <v>2640.82656988016</v>
      </c>
      <c r="H57" s="12" t="n">
        <f aca="false">H51*'Unit Economics'!$D$9</f>
        <v>1729.60880956339</v>
      </c>
      <c r="I57" s="12" t="n">
        <f aca="false">I51*'Unit Economics'!$D$9</f>
        <v>1904.14295272074</v>
      </c>
      <c r="J57" s="12" t="n">
        <f aca="false">J51*'Unit Economics'!$D$9</f>
        <v>3305.54184703755</v>
      </c>
      <c r="K57" s="12" t="n">
        <f aca="false">K51*'Unit Economics'!$D$9</f>
        <v>2476.80768127333</v>
      </c>
      <c r="L57" s="12" t="n">
        <f aca="false">L51*'Unit Economics'!$D$9</f>
        <v>2042.0522329039</v>
      </c>
      <c r="M57" s="12" t="n">
        <f aca="false">M51*'Unit Economics'!$D$9</f>
        <v>2243.00845277163</v>
      </c>
      <c r="N57" s="12" t="n">
        <f aca="false">N51*'Unit Economics'!$D$9</f>
        <v>2462.52034592689</v>
      </c>
      <c r="O57" s="12" t="n">
        <f aca="false">O51*'Unit Economics'!$D$9</f>
        <v>2699.4411144395</v>
      </c>
      <c r="P57" s="12" t="n">
        <f aca="false">P51*'Unit Economics'!$D$9</f>
        <v>3805.51029694674</v>
      </c>
      <c r="Q57" s="12" t="n">
        <f aca="false">Q51*'Unit Economics'!$D$9</f>
        <v>6464.36431288869</v>
      </c>
      <c r="R57" s="12" t="n">
        <f aca="false">R51*'Unit Economics'!$D$9</f>
        <v>2121.90511003778</v>
      </c>
      <c r="S57" s="12" t="n">
        <f aca="false">S51*'Unit Economics'!$D$9</f>
        <v>4304.48299552429</v>
      </c>
      <c r="T57" s="12" t="n">
        <f aca="false">T51*'Unit Economics'!$D$9</f>
        <v>2750.52595186378</v>
      </c>
      <c r="U57" s="12" t="n">
        <f aca="false">U51*'Unit Economics'!$D$9</f>
        <v>2995.54132168957</v>
      </c>
      <c r="V57" s="12" t="n">
        <f aca="false">V51*'Unit Economics'!$D$9</f>
        <v>5150.29418813779</v>
      </c>
      <c r="W57" s="12" t="n">
        <f aca="false">W51*'Unit Economics'!$D$9</f>
        <v>3799.47804953271</v>
      </c>
      <c r="X57" s="12" t="n">
        <f aca="false">X51*'Unit Economics'!$D$9</f>
        <v>3080.28702637351</v>
      </c>
      <c r="Y57" s="12" t="n">
        <f aca="false">Y51*'Unit Economics'!$D$9</f>
        <v>3348.54176908173</v>
      </c>
      <c r="Z57" s="12" t="n">
        <f aca="false">Z51*'Unit Economics'!$D$9</f>
        <v>3636.5988414449</v>
      </c>
      <c r="AA57" s="12" t="n">
        <f aca="false">AA51*'Unit Economics'!$D$9</f>
        <v>3942.11403888722</v>
      </c>
      <c r="AB57" s="12" t="n">
        <f aca="false">AB51*'Unit Economics'!$D$9</f>
        <v>5484.03946284159</v>
      </c>
      <c r="AC57" s="12" t="n">
        <f aca="false">AC51*'Unit Economics'!$D$9</f>
        <v>9105.76366278361</v>
      </c>
      <c r="AD57" s="12" t="n">
        <f aca="false">AD51*'Unit Economics'!$D$9</f>
        <v>2972.5131613866</v>
      </c>
      <c r="AE57" s="12" t="n">
        <f aca="false">AE51*'Unit Economics'!$D$9</f>
        <v>5982.71141526347</v>
      </c>
      <c r="AF57" s="12" t="n">
        <f aca="false">AF51*'Unit Economics'!$D$9</f>
        <v>3794.06634870047</v>
      </c>
      <c r="AG57" s="12" t="n">
        <f aca="false">AG51*'Unit Economics'!$D$9</f>
        <v>4099.20272457872</v>
      </c>
      <c r="AH57" s="12" t="n">
        <f aca="false">AH51*'Unit Economics'!$D$9</f>
        <v>6949.95523358133</v>
      </c>
      <c r="AI57" s="12" t="n">
        <f aca="false">AI51*'Unit Economics'!$D$9</f>
        <v>5103.87560336197</v>
      </c>
      <c r="AJ57" s="12" t="n">
        <f aca="false">AJ51*'Unit Economics'!$D$9</f>
        <v>4110.88132409698</v>
      </c>
      <c r="AK57" s="12" t="n">
        <f aca="false">AK51*'Unit Economics'!$D$9</f>
        <v>4438.40060988821</v>
      </c>
      <c r="AL57" s="12" t="n">
        <f aca="false">AL51*'Unit Economics'!$D$9</f>
        <v>4786.71323563381</v>
      </c>
      <c r="AM57" s="12" t="n">
        <f aca="false">AM51*'Unit Economics'!$D$9</f>
        <v>5152.40991787985</v>
      </c>
      <c r="AO57" s="12" t="n">
        <f aca="false">SUM(D57:O57)</f>
        <v>28879.5109611057</v>
      </c>
      <c r="AP57" s="12" t="n">
        <f aca="false">SUM(P57:AA57)</f>
        <v>45399.6439024087</v>
      </c>
      <c r="AQ57" s="12" t="n">
        <f aca="false">SUM(AB57:AM57)</f>
        <v>61980.5326999966</v>
      </c>
    </row>
    <row r="58" customFormat="false" ht="15" hidden="false" customHeight="false" outlineLevel="0" collapsed="false">
      <c r="A58" s="3" t="s">
        <v>948</v>
      </c>
      <c r="B58" s="20" t="s">
        <v>61</v>
      </c>
      <c r="D58" s="8" t="n">
        <f aca="false">SUM(D53:D57)</f>
        <v>4520.08622244078</v>
      </c>
      <c r="E58" s="8" t="n">
        <f aca="false">SUM(E53:E57)</f>
        <v>7884.14624914602</v>
      </c>
      <c r="F58" s="8" t="n">
        <f aca="false">SUM(F53:F57)</f>
        <v>2688.20707468584</v>
      </c>
      <c r="G58" s="8" t="n">
        <f aca="false">SUM(G53:G57)</f>
        <v>5403.86224227608</v>
      </c>
      <c r="H58" s="8" t="n">
        <f aca="false">SUM(H53:H57)</f>
        <v>3539.2584452571</v>
      </c>
      <c r="I58" s="8" t="n">
        <f aca="false">SUM(I53:I57)</f>
        <v>3896.40361978434</v>
      </c>
      <c r="J58" s="8" t="n">
        <f aca="false">SUM(J53:J57)</f>
        <v>6764.05371757538</v>
      </c>
      <c r="K58" s="8" t="n">
        <f aca="false">SUM(K53:K57)</f>
        <v>5068.23418957788</v>
      </c>
      <c r="L58" s="8" t="n">
        <f aca="false">SUM(L53:L57)</f>
        <v>4178.60418552428</v>
      </c>
      <c r="M58" s="8" t="n">
        <f aca="false">SUM(M53:M57)</f>
        <v>4589.81624362737</v>
      </c>
      <c r="N58" s="8" t="n">
        <f aca="false">SUM(N53:N57)</f>
        <v>5038.99834618631</v>
      </c>
      <c r="O58" s="8" t="n">
        <f aca="false">SUM(O53:O57)</f>
        <v>5523.80382715903</v>
      </c>
      <c r="P58" s="8" t="n">
        <f aca="false">SUM(P53:P57)</f>
        <v>7787.12757619541</v>
      </c>
      <c r="Q58" s="8" t="n">
        <f aca="false">SUM(Q53:Q57)</f>
        <v>13227.8789637903</v>
      </c>
      <c r="R58" s="8" t="n">
        <f aca="false">SUM(R53:R57)</f>
        <v>4342.00527842544</v>
      </c>
      <c r="S58" s="8" t="n">
        <f aca="false">SUM(S53:S57)</f>
        <v>8808.16385192941</v>
      </c>
      <c r="T58" s="8" t="n">
        <f aca="false">SUM(T53:T57)</f>
        <v>5628.33754673699</v>
      </c>
      <c r="U58" s="8" t="n">
        <f aca="false">SUM(U53:U57)</f>
        <v>6129.70682288714</v>
      </c>
      <c r="V58" s="8" t="n">
        <f aca="false">SUM(V53:V57)</f>
        <v>10538.927704425</v>
      </c>
      <c r="W58" s="8" t="n">
        <f aca="false">SUM(W53:W57)</f>
        <v>7774.78392803294</v>
      </c>
      <c r="X58" s="8" t="n">
        <f aca="false">SUM(X53:X57)</f>
        <v>6303.11999547478</v>
      </c>
      <c r="Y58" s="8" t="n">
        <f aca="false">SUM(Y53:Y57)</f>
        <v>6852.04346207645</v>
      </c>
      <c r="Z58" s="8" t="n">
        <f aca="false">SUM(Z53:Z57)</f>
        <v>7441.48797718315</v>
      </c>
      <c r="AA58" s="8" t="n">
        <f aca="false">SUM(AA53:AA57)</f>
        <v>8066.65664926865</v>
      </c>
      <c r="AB58" s="8" t="n">
        <f aca="false">SUM(AB53:AB57)</f>
        <v>11221.8629297366</v>
      </c>
      <c r="AC58" s="8" t="n">
        <f aca="false">SUM(AC53:AC57)</f>
        <v>18632.9132725436</v>
      </c>
      <c r="AD58" s="8" t="n">
        <f aca="false">SUM(AD53:AD57)</f>
        <v>6082.58483184478</v>
      </c>
      <c r="AE58" s="8" t="n">
        <f aca="false">SUM(AE53:AE57)</f>
        <v>12242.2837955782</v>
      </c>
      <c r="AF58" s="8" t="n">
        <f aca="false">SUM(AF53:AF57)</f>
        <v>7763.71008996745</v>
      </c>
      <c r="AG58" s="8" t="n">
        <f aca="false">SUM(AG53:AG57)</f>
        <v>8388.10358826079</v>
      </c>
      <c r="AH58" s="8" t="n">
        <f aca="false">SUM(AH53:AH57)</f>
        <v>14221.5324173914</v>
      </c>
      <c r="AI58" s="8" t="n">
        <f aca="false">SUM(AI53:AI57)</f>
        <v>10443.9424295604</v>
      </c>
      <c r="AJ58" s="8" t="n">
        <f aca="false">SUM(AJ53:AJ57)</f>
        <v>8412.00123595154</v>
      </c>
      <c r="AK58" s="8" t="n">
        <f aca="false">SUM(AK53:AK57)</f>
        <v>9082.19636435968</v>
      </c>
      <c r="AL58" s="8" t="n">
        <f aca="false">SUM(AL53:AL57)</f>
        <v>9794.94042269445</v>
      </c>
      <c r="AM58" s="8" t="n">
        <f aca="false">SUM(AM53:AM57)</f>
        <v>10543.257073191</v>
      </c>
      <c r="AO58" s="8" t="n">
        <f aca="false">SUM(D58:O58)</f>
        <v>59095.4743632404</v>
      </c>
      <c r="AP58" s="8" t="n">
        <f aca="false">SUM(P58:AA58)</f>
        <v>92900.2397564257</v>
      </c>
      <c r="AQ58" s="8" t="n">
        <f aca="false">SUM(AB58:AM58)</f>
        <v>126829.32845108</v>
      </c>
    </row>
    <row r="59" customFormat="false" ht="15" hidden="false" customHeight="false" outlineLevel="0" collapsed="false">
      <c r="A59" s="6" t="s">
        <v>1088</v>
      </c>
      <c r="B59" s="20" t="s">
        <v>61</v>
      </c>
      <c r="D59" s="12" t="n">
        <f aca="false">-SUMPRODUCT(D47:D51,'Unit Economics'!$E$5:$E$9)</f>
        <v>-135.602586673223</v>
      </c>
      <c r="E59" s="12" t="n">
        <f aca="false">-SUMPRODUCT(E47:E51,'Unit Economics'!$E$5:$E$9)</f>
        <v>-236.524387474381</v>
      </c>
      <c r="F59" s="12" t="n">
        <f aca="false">-SUMPRODUCT(F47:F51,'Unit Economics'!$E$5:$E$9)</f>
        <v>-80.6462122405752</v>
      </c>
      <c r="G59" s="12" t="n">
        <f aca="false">-SUMPRODUCT(G47:G51,'Unit Economics'!$E$5:$E$9)</f>
        <v>-162.115867268283</v>
      </c>
      <c r="H59" s="12" t="n">
        <f aca="false">-SUMPRODUCT(H47:H51,'Unit Economics'!$E$5:$E$9)</f>
        <v>-106.177753357713</v>
      </c>
      <c r="I59" s="12" t="n">
        <f aca="false">-SUMPRODUCT(I47:I51,'Unit Economics'!$E$5:$E$9)</f>
        <v>-116.89210859353</v>
      </c>
      <c r="J59" s="12" t="n">
        <f aca="false">-SUMPRODUCT(J47:J51,'Unit Economics'!$E$5:$E$9)</f>
        <v>-202.921611527262</v>
      </c>
      <c r="K59" s="12" t="n">
        <f aca="false">-SUMPRODUCT(K47:K51,'Unit Economics'!$E$5:$E$9)</f>
        <v>-152.047025687336</v>
      </c>
      <c r="L59" s="12" t="n">
        <f aca="false">-SUMPRODUCT(L47:L51,'Unit Economics'!$E$5:$E$9)</f>
        <v>-125.358125565729</v>
      </c>
      <c r="M59" s="12" t="n">
        <f aca="false">-SUMPRODUCT(M47:M51,'Unit Economics'!$E$5:$E$9)</f>
        <v>-137.694487308821</v>
      </c>
      <c r="N59" s="12" t="n">
        <f aca="false">-SUMPRODUCT(N47:N51,'Unit Economics'!$E$5:$E$9)</f>
        <v>-151.169950385589</v>
      </c>
      <c r="O59" s="12" t="n">
        <f aca="false">-SUMPRODUCT(O47:O51,'Unit Economics'!$E$5:$E$9)</f>
        <v>-165.714114814771</v>
      </c>
      <c r="P59" s="12" t="n">
        <f aca="false">-SUMPRODUCT(P47:P51,'Unit Economics'!$E$5:$E$9)</f>
        <v>-233.613827285862</v>
      </c>
      <c r="Q59" s="12" t="n">
        <f aca="false">-SUMPRODUCT(Q47:Q51,'Unit Economics'!$E$5:$E$9)</f>
        <v>-396.836368913708</v>
      </c>
      <c r="R59" s="12" t="n">
        <f aca="false">-SUMPRODUCT(R47:R51,'Unit Economics'!$E$5:$E$9)</f>
        <v>-130.260158352763</v>
      </c>
      <c r="S59" s="12" t="n">
        <f aca="false">-SUMPRODUCT(S47:S51,'Unit Economics'!$E$5:$E$9)</f>
        <v>-264.244915557882</v>
      </c>
      <c r="T59" s="12" t="n">
        <f aca="false">-SUMPRODUCT(T47:T51,'Unit Economics'!$E$5:$E$9)</f>
        <v>-168.85012640211</v>
      </c>
      <c r="U59" s="12" t="n">
        <f aca="false">-SUMPRODUCT(U47:U51,'Unit Economics'!$E$5:$E$9)</f>
        <v>-183.891204686614</v>
      </c>
      <c r="V59" s="12" t="n">
        <f aca="false">-SUMPRODUCT(V47:V51,'Unit Economics'!$E$5:$E$9)</f>
        <v>-316.167831132751</v>
      </c>
      <c r="W59" s="12" t="n">
        <f aca="false">-SUMPRODUCT(W47:W51,'Unit Economics'!$E$5:$E$9)</f>
        <v>-233.243517840988</v>
      </c>
      <c r="X59" s="12" t="n">
        <f aca="false">-SUMPRODUCT(X47:X51,'Unit Economics'!$E$5:$E$9)</f>
        <v>-189.093599864243</v>
      </c>
      <c r="Y59" s="12" t="n">
        <f aca="false">-SUMPRODUCT(Y47:Y51,'Unit Economics'!$E$5:$E$9)</f>
        <v>-205.561303862294</v>
      </c>
      <c r="Z59" s="12" t="n">
        <f aca="false">-SUMPRODUCT(Z47:Z51,'Unit Economics'!$E$5:$E$9)</f>
        <v>-223.244639315494</v>
      </c>
      <c r="AA59" s="12" t="n">
        <f aca="false">-SUMPRODUCT(AA47:AA51,'Unit Economics'!$E$5:$E$9)</f>
        <v>-241.99969947806</v>
      </c>
      <c r="AB59" s="12" t="n">
        <f aca="false">-SUMPRODUCT(AB47:AB51,'Unit Economics'!$E$5:$E$9)</f>
        <v>-336.655887892099</v>
      </c>
      <c r="AC59" s="12" t="n">
        <f aca="false">-SUMPRODUCT(AC47:AC51,'Unit Economics'!$E$5:$E$9)</f>
        <v>-558.987398176309</v>
      </c>
      <c r="AD59" s="12" t="n">
        <f aca="false">-SUMPRODUCT(AD47:AD51,'Unit Economics'!$E$5:$E$9)</f>
        <v>-182.477544955343</v>
      </c>
      <c r="AE59" s="12" t="n">
        <f aca="false">-SUMPRODUCT(AE47:AE51,'Unit Economics'!$E$5:$E$9)</f>
        <v>-367.268513867347</v>
      </c>
      <c r="AF59" s="12" t="n">
        <f aca="false">-SUMPRODUCT(AF47:AF51,'Unit Economics'!$E$5:$E$9)</f>
        <v>-232.911302699024</v>
      </c>
      <c r="AG59" s="12" t="n">
        <f aca="false">-SUMPRODUCT(AG47:AG51,'Unit Economics'!$E$5:$E$9)</f>
        <v>-251.643107647824</v>
      </c>
      <c r="AH59" s="12" t="n">
        <f aca="false">-SUMPRODUCT(AH47:AH51,'Unit Economics'!$E$5:$E$9)</f>
        <v>-426.645972521741</v>
      </c>
      <c r="AI59" s="12" t="n">
        <f aca="false">-SUMPRODUCT(AI47:AI51,'Unit Economics'!$E$5:$E$9)</f>
        <v>-313.318272886812</v>
      </c>
      <c r="AJ59" s="12" t="n">
        <f aca="false">-SUMPRODUCT(AJ47:AJ51,'Unit Economics'!$E$5:$E$9)</f>
        <v>-252.360037078546</v>
      </c>
      <c r="AK59" s="12" t="n">
        <f aca="false">-SUMPRODUCT(AK47:AK51,'Unit Economics'!$E$5:$E$9)</f>
        <v>-272.46589093079</v>
      </c>
      <c r="AL59" s="12" t="n">
        <f aca="false">-SUMPRODUCT(AL47:AL51,'Unit Economics'!$E$5:$E$9)</f>
        <v>-293.848212680834</v>
      </c>
      <c r="AM59" s="12" t="n">
        <f aca="false">-SUMPRODUCT(AM47:AM51,'Unit Economics'!$E$5:$E$9)</f>
        <v>-316.29771219573</v>
      </c>
      <c r="AO59" s="12" t="n">
        <f aca="false">SUM(D59:O59)</f>
        <v>-1772.86423089721</v>
      </c>
      <c r="AP59" s="12" t="n">
        <f aca="false">SUM(P59:AA59)</f>
        <v>-2787.00719269277</v>
      </c>
      <c r="AQ59" s="12" t="n">
        <f aca="false">SUM(AB59:AM59)</f>
        <v>-3804.8798535324</v>
      </c>
    </row>
    <row r="60" customFormat="false" ht="15" hidden="false" customHeight="false" outlineLevel="0" collapsed="false">
      <c r="A60" s="3" t="s">
        <v>23</v>
      </c>
      <c r="B60" s="20" t="s">
        <v>61</v>
      </c>
      <c r="D60" s="8" t="n">
        <f aca="false">D58+D59</f>
        <v>4384.48363576755</v>
      </c>
      <c r="E60" s="8" t="n">
        <f aca="false">E58+E59</f>
        <v>7647.62186167164</v>
      </c>
      <c r="F60" s="8" t="n">
        <f aca="false">F58+F59</f>
        <v>2607.56086244527</v>
      </c>
      <c r="G60" s="8" t="n">
        <f aca="false">G58+G59</f>
        <v>5241.7463750078</v>
      </c>
      <c r="H60" s="8" t="n">
        <f aca="false">H58+H59</f>
        <v>3433.08069189939</v>
      </c>
      <c r="I60" s="8" t="n">
        <f aca="false">I58+I59</f>
        <v>3779.51151119081</v>
      </c>
      <c r="J60" s="8" t="n">
        <f aca="false">J58+J59</f>
        <v>6561.13210604812</v>
      </c>
      <c r="K60" s="8" t="n">
        <f aca="false">K58+K59</f>
        <v>4916.18716389055</v>
      </c>
      <c r="L60" s="8" t="n">
        <f aca="false">L58+L59</f>
        <v>4053.24605995856</v>
      </c>
      <c r="M60" s="8" t="n">
        <f aca="false">M58+M59</f>
        <v>4452.12175631855</v>
      </c>
      <c r="N60" s="8" t="n">
        <f aca="false">N58+N59</f>
        <v>4887.82839580072</v>
      </c>
      <c r="O60" s="8" t="n">
        <f aca="false">O58+O59</f>
        <v>5358.08971234426</v>
      </c>
      <c r="P60" s="8" t="n">
        <f aca="false">P58+P59</f>
        <v>7553.51374890954</v>
      </c>
      <c r="Q60" s="8" t="n">
        <f aca="false">Q58+Q59</f>
        <v>12831.0425948766</v>
      </c>
      <c r="R60" s="8" t="n">
        <f aca="false">R58+R59</f>
        <v>4211.74512007268</v>
      </c>
      <c r="S60" s="8" t="n">
        <f aca="false">S58+S59</f>
        <v>8543.91893637153</v>
      </c>
      <c r="T60" s="8" t="n">
        <f aca="false">T58+T59</f>
        <v>5459.48742033488</v>
      </c>
      <c r="U60" s="8" t="n">
        <f aca="false">U58+U59</f>
        <v>5945.81561820053</v>
      </c>
      <c r="V60" s="8" t="n">
        <f aca="false">V58+V59</f>
        <v>10222.7598732923</v>
      </c>
      <c r="W60" s="8" t="n">
        <f aca="false">W58+W59</f>
        <v>7541.54041019195</v>
      </c>
      <c r="X60" s="8" t="n">
        <f aca="false">X58+X59</f>
        <v>6114.02639561054</v>
      </c>
      <c r="Y60" s="8" t="n">
        <f aca="false">Y58+Y59</f>
        <v>6646.48215821416</v>
      </c>
      <c r="Z60" s="8" t="n">
        <f aca="false">Z58+Z59</f>
        <v>7218.24333786766</v>
      </c>
      <c r="AA60" s="8" t="n">
        <f aca="false">AA58+AA59</f>
        <v>7824.65694979059</v>
      </c>
      <c r="AB60" s="8" t="n">
        <f aca="false">AB58+AB59</f>
        <v>10885.2070418445</v>
      </c>
      <c r="AC60" s="8" t="n">
        <f aca="false">AC58+AC59</f>
        <v>18073.9258743673</v>
      </c>
      <c r="AD60" s="8" t="n">
        <f aca="false">AD58+AD59</f>
        <v>5900.10728688944</v>
      </c>
      <c r="AE60" s="8" t="n">
        <f aca="false">AE58+AE59</f>
        <v>11875.0152817109</v>
      </c>
      <c r="AF60" s="8" t="n">
        <f aca="false">AF58+AF59</f>
        <v>7530.79878726843</v>
      </c>
      <c r="AG60" s="8" t="n">
        <f aca="false">AG58+AG59</f>
        <v>8136.46048061297</v>
      </c>
      <c r="AH60" s="8" t="n">
        <f aca="false">AH58+AH59</f>
        <v>13794.8864448696</v>
      </c>
      <c r="AI60" s="8" t="n">
        <f aca="false">AI58+AI59</f>
        <v>10130.6241566736</v>
      </c>
      <c r="AJ60" s="8" t="n">
        <f aca="false">AJ58+AJ59</f>
        <v>8159.64119887299</v>
      </c>
      <c r="AK60" s="8" t="n">
        <f aca="false">AK58+AK59</f>
        <v>8809.73047342889</v>
      </c>
      <c r="AL60" s="8" t="n">
        <f aca="false">AL58+AL59</f>
        <v>9501.09221001362</v>
      </c>
      <c r="AM60" s="8" t="n">
        <f aca="false">AM58+AM59</f>
        <v>10226.9593609953</v>
      </c>
      <c r="AO60" s="8" t="n">
        <f aca="false">SUM(D60:O60)</f>
        <v>57322.6101323432</v>
      </c>
      <c r="AP60" s="8" t="n">
        <f aca="false">SUM(P60:AA60)</f>
        <v>90113.2325637329</v>
      </c>
      <c r="AQ60" s="8" t="n">
        <f aca="false">SUM(AB60:AM60)</f>
        <v>123024.448597548</v>
      </c>
    </row>
    <row r="61" customFormat="false" ht="15" hidden="false" customHeight="false" outlineLevel="0" collapsed="false">
      <c r="A61" s="23" t="s">
        <v>1089</v>
      </c>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row>
    <row r="62" customFormat="false" ht="15" hidden="false" customHeight="false" outlineLevel="0" collapsed="false">
      <c r="A62" s="6" t="s">
        <v>1090</v>
      </c>
      <c r="B62" s="20" t="s">
        <v>61</v>
      </c>
      <c r="D62" s="12" t="n">
        <f aca="false">SUMPRODUCT(D47:D51,'Unit Economics'!$G$5:$G$9)</f>
        <v>149.181449206995</v>
      </c>
      <c r="E62" s="12" t="n">
        <f aca="false">SUMPRODUCT(E47:E51,'Unit Economics'!$G$5:$G$9)</f>
        <v>260.209275957658</v>
      </c>
      <c r="F62" s="12" t="n">
        <f aca="false">SUMPRODUCT(F47:F51,'Unit Economics'!$G$5:$G$9)</f>
        <v>88.7218976441518</v>
      </c>
      <c r="G62" s="12" t="n">
        <f aca="false">SUMPRODUCT(G47:G51,'Unit Economics'!$G$5:$G$9)</f>
        <v>178.34969532559</v>
      </c>
      <c r="H62" s="12" t="n">
        <f aca="false">SUMPRODUCT(H47:H51,'Unit Economics'!$G$5:$G$9)</f>
        <v>116.810095648229</v>
      </c>
      <c r="I62" s="12" t="n">
        <f aca="false">SUMPRODUCT(I47:I51,'Unit Economics'!$G$5:$G$9)</f>
        <v>128.597356353289</v>
      </c>
      <c r="J62" s="12" t="n">
        <f aca="false">SUMPRODUCT(J47:J51,'Unit Economics'!$G$5:$G$9)</f>
        <v>223.241612315302</v>
      </c>
      <c r="K62" s="12" t="n">
        <f aca="false">SUMPRODUCT(K47:K51,'Unit Economics'!$G$5:$G$9)</f>
        <v>167.272588201513</v>
      </c>
      <c r="L62" s="12" t="n">
        <f aca="false">SUMPRODUCT(L47:L51,'Unit Economics'!$G$5:$G$9)</f>
        <v>137.911136509763</v>
      </c>
      <c r="M62" s="12" t="n">
        <f aca="false">SUMPRODUCT(M47:M51,'Unit Economics'!$G$5:$G$9)</f>
        <v>151.482826902449</v>
      </c>
      <c r="N62" s="12" t="n">
        <f aca="false">SUMPRODUCT(N47:N51,'Unit Economics'!$G$5:$G$9)</f>
        <v>166.307685040089</v>
      </c>
      <c r="O62" s="12" t="n">
        <f aca="false">SUMPRODUCT(O47:O51,'Unit Economics'!$G$5:$G$9)</f>
        <v>182.308261284838</v>
      </c>
      <c r="P62" s="12" t="n">
        <f aca="false">SUMPRODUCT(P47:P51,'Unit Economics'!$G$5:$G$9)</f>
        <v>257.007260438782</v>
      </c>
      <c r="Q62" s="12" t="n">
        <f aca="false">SUMPRODUCT(Q47:Q51,'Unit Economics'!$G$5:$G$9)</f>
        <v>436.574449389016</v>
      </c>
      <c r="R62" s="12" t="n">
        <f aca="false">SUMPRODUCT(R47:R51,'Unit Economics'!$G$5:$G$9)</f>
        <v>143.304045105175</v>
      </c>
      <c r="S62" s="12" t="n">
        <f aca="false">SUMPRODUCT(S47:S51,'Unit Economics'!$G$5:$G$9)</f>
        <v>290.705659940697</v>
      </c>
      <c r="T62" s="12" t="n">
        <f aca="false">SUMPRODUCT(T47:T51,'Unit Economics'!$G$5:$G$9)</f>
        <v>185.758304273004</v>
      </c>
      <c r="U62" s="12" t="n">
        <f aca="false">SUMPRODUCT(U47:U51,'Unit Economics'!$G$5:$G$9)</f>
        <v>202.305553932227</v>
      </c>
      <c r="V62" s="12" t="n">
        <f aca="false">SUMPRODUCT(V47:V51,'Unit Economics'!$G$5:$G$9)</f>
        <v>347.827990587513</v>
      </c>
      <c r="W62" s="12" t="n">
        <f aca="false">SUMPRODUCT(W47:W51,'Unit Economics'!$G$5:$G$9)</f>
        <v>256.599869245173</v>
      </c>
      <c r="X62" s="12" t="n">
        <f aca="false">SUMPRODUCT(X47:X51,'Unit Economics'!$G$5:$G$9)</f>
        <v>208.028902365222</v>
      </c>
      <c r="Y62" s="12" t="n">
        <f aca="false">SUMPRODUCT(Y47:Y51,'Unit Economics'!$G$5:$G$9)</f>
        <v>226.145636033888</v>
      </c>
      <c r="Z62" s="12" t="n">
        <f aca="false">SUMPRODUCT(Z47:Z51,'Unit Economics'!$G$5:$G$9)</f>
        <v>245.599731080608</v>
      </c>
      <c r="AA62" s="12" t="n">
        <f aca="false">SUMPRODUCT(AA47:AA51,'Unit Economics'!$G$5:$G$9)</f>
        <v>266.232870341869</v>
      </c>
      <c r="AB62" s="12" t="n">
        <f aca="false">SUMPRODUCT(AB47:AB51,'Unit Economics'!$G$5:$G$9)</f>
        <v>370.367663862037</v>
      </c>
      <c r="AC62" s="12" t="n">
        <f aca="false">SUMPRODUCT(AC47:AC51,'Unit Economics'!$G$5:$G$9)</f>
        <v>614.962827732373</v>
      </c>
      <c r="AD62" s="12" t="n">
        <f aca="false">SUMPRODUCT(AD47:AD51,'Unit Economics'!$G$5:$G$9)</f>
        <v>200.750334282143</v>
      </c>
      <c r="AE62" s="12" t="n">
        <f aca="false">SUMPRODUCT(AE47:AE51,'Unit Economics'!$G$5:$G$9)</f>
        <v>404.045752304586</v>
      </c>
      <c r="AF62" s="12" t="n">
        <f aca="false">SUMPRODUCT(AF47:AF51,'Unit Economics'!$G$5:$G$9)</f>
        <v>256.234387011075</v>
      </c>
      <c r="AG62" s="12" t="n">
        <f aca="false">SUMPRODUCT(AG47:AG51,'Unit Economics'!$G$5:$G$9)</f>
        <v>276.841942346718</v>
      </c>
      <c r="AH62" s="12" t="n">
        <f aca="false">SUMPRODUCT(AH47:AH51,'Unit Economics'!$G$5:$G$9)</f>
        <v>469.369103057748</v>
      </c>
      <c r="AI62" s="12" t="n">
        <f aca="false">SUMPRODUCT(AI47:AI51,'Unit Economics'!$G$5:$G$9)</f>
        <v>344.693085574577</v>
      </c>
      <c r="AJ62" s="12" t="n">
        <f aca="false">SUMPRODUCT(AJ47:AJ51,'Unit Economics'!$G$5:$G$9)</f>
        <v>277.630663078956</v>
      </c>
      <c r="AK62" s="12" t="n">
        <f aca="false">SUMPRODUCT(AK47:AK51,'Unit Economics'!$G$5:$G$9)</f>
        <v>299.749860719705</v>
      </c>
      <c r="AL62" s="12" t="n">
        <f aca="false">SUMPRODUCT(AL47:AL51,'Unit Economics'!$G$5:$G$9)</f>
        <v>323.273348171819</v>
      </c>
      <c r="AM62" s="12" t="n">
        <f aca="false">SUMPRODUCT(AM47:AM51,'Unit Economics'!$G$5:$G$9)</f>
        <v>347.970877575698</v>
      </c>
      <c r="AO62" s="12" t="n">
        <f aca="false">SUM(D62:O62)</f>
        <v>1950.39388038987</v>
      </c>
      <c r="AP62" s="12" t="n">
        <f aca="false">SUM(P62:AA62)</f>
        <v>3066.09027273317</v>
      </c>
      <c r="AQ62" s="12" t="n">
        <f aca="false">SUM(AB62:AM62)</f>
        <v>4185.88984571743</v>
      </c>
    </row>
    <row r="63" customFormat="false" ht="15" hidden="false" customHeight="false" outlineLevel="0" collapsed="false">
      <c r="A63" s="6" t="s">
        <v>1091</v>
      </c>
      <c r="B63" s="20" t="s">
        <v>61</v>
      </c>
      <c r="D63" s="12" t="n">
        <f aca="false">D32*'Model Costs'!$B$46*Scenarios!$B$10*(1+Inputs!$B$42)</f>
        <v>142.402608383944</v>
      </c>
      <c r="E63" s="12" t="n">
        <f aca="false">E32*'Model Costs'!$B$46*Scenarios!$B$10*(1+Inputs!$B$42)</f>
        <v>190.441362206412</v>
      </c>
      <c r="F63" s="12" t="n">
        <f aca="false">F32*'Model Costs'!$B$46*Scenarios!$B$10*(1+Inputs!$B$42)</f>
        <v>104.037461148213</v>
      </c>
      <c r="G63" s="12" t="n">
        <f aca="false">G32*'Model Costs'!$B$46*Scenarios!$B$10*(1+Inputs!$B$42)</f>
        <v>152.537861746514</v>
      </c>
      <c r="H63" s="12" t="n">
        <f aca="false">H32*'Model Costs'!$B$46*Scenarios!$B$10*(1+Inputs!$B$42)</f>
        <v>119.606080949764</v>
      </c>
      <c r="I63" s="12" t="n">
        <f aca="false">I32*'Model Costs'!$B$46*Scenarios!$B$10*(1+Inputs!$B$42)</f>
        <v>125.848121446131</v>
      </c>
      <c r="J63" s="12" t="n">
        <f aca="false">J32*'Model Costs'!$B$46*Scenarios!$B$10*(1+Inputs!$B$42)</f>
        <v>171.774292857902</v>
      </c>
      <c r="K63" s="12" t="n">
        <f aca="false">K32*'Model Costs'!$B$46*Scenarios!$B$10*(1+Inputs!$B$42)</f>
        <v>144.54901082491</v>
      </c>
      <c r="L63" s="12" t="n">
        <f aca="false">L32*'Model Costs'!$B$46*Scenarios!$B$10*(1+Inputs!$B$42)</f>
        <v>128.693868885544</v>
      </c>
      <c r="M63" s="12" t="n">
        <f aca="false">M32*'Model Costs'!$B$46*Scenarios!$B$10*(1+Inputs!$B$42)</f>
        <v>135.596096660708</v>
      </c>
      <c r="N63" s="12" t="n">
        <f aca="false">N32*'Model Costs'!$B$46*Scenarios!$B$10*(1+Inputs!$B$42)</f>
        <v>142.901084427403</v>
      </c>
      <c r="O63" s="12" t="n">
        <f aca="false">O32*'Model Costs'!$B$46*Scenarios!$B$10*(1+Inputs!$B$42)</f>
        <v>150.432355165135</v>
      </c>
      <c r="P63" s="12" t="n">
        <f aca="false">P32*'Model Costs'!$B$46*Scenarios!$B$10*(1+Inputs!$B$42)</f>
        <v>183.859246529142</v>
      </c>
      <c r="Q63" s="12" t="n">
        <f aca="false">Q32*'Model Costs'!$B$46*Scenarios!$B$10*(1+Inputs!$B$42)</f>
        <v>250.511639166648</v>
      </c>
      <c r="R63" s="12" t="n">
        <f aca="false">R32*'Model Costs'!$B$46*Scenarios!$B$10*(1+Inputs!$B$42)</f>
        <v>126.628534242644</v>
      </c>
      <c r="S63" s="12" t="n">
        <f aca="false">S32*'Model Costs'!$B$46*Scenarios!$B$10*(1+Inputs!$B$42)</f>
        <v>193.127848759848</v>
      </c>
      <c r="T63" s="12" t="n">
        <f aca="false">T32*'Model Costs'!$B$46*Scenarios!$B$10*(1+Inputs!$B$42)</f>
        <v>146.13304283165</v>
      </c>
      <c r="U63" s="12" t="n">
        <f aca="false">U32*'Model Costs'!$B$46*Scenarios!$B$10*(1+Inputs!$B$42)</f>
        <v>153.310604210958</v>
      </c>
      <c r="V63" s="12" t="n">
        <f aca="false">V32*'Model Costs'!$B$46*Scenarios!$B$10*(1+Inputs!$B$42)</f>
        <v>213.549497191792</v>
      </c>
      <c r="W63" s="12" t="n">
        <f aca="false">W32*'Model Costs'!$B$46*Scenarios!$B$10*(1+Inputs!$B$42)</f>
        <v>175.443726347023</v>
      </c>
      <c r="X63" s="12" t="n">
        <f aca="false">X32*'Model Costs'!$B$46*Scenarios!$B$10*(1+Inputs!$B$42)</f>
        <v>153.022976589981</v>
      </c>
      <c r="Y63" s="12" t="n">
        <f aca="false">Y32*'Model Costs'!$B$46*Scenarios!$B$10*(1+Inputs!$B$42)</f>
        <v>160.529635544177</v>
      </c>
      <c r="Z63" s="12" t="n">
        <f aca="false">Z32*'Model Costs'!$B$46*Scenarios!$B$10*(1+Inputs!$B$42)</f>
        <v>168.399425426473</v>
      </c>
      <c r="AA63" s="12" t="n">
        <f aca="false">AA32*'Model Costs'!$B$46*Scenarios!$B$10*(1+Inputs!$B$42)</f>
        <v>176.367484105792</v>
      </c>
      <c r="AB63" s="12" t="n">
        <f aca="false">AB32*'Model Costs'!$B$46*Scenarios!$B$10*(1+Inputs!$B$42)</f>
        <v>216.279768584908</v>
      </c>
      <c r="AC63" s="12" t="n">
        <f aca="false">AC32*'Model Costs'!$B$46*Scenarios!$B$10*(1+Inputs!$B$42)</f>
        <v>296.033788829883</v>
      </c>
      <c r="AD63" s="12" t="n">
        <f aca="false">AD32*'Model Costs'!$B$46*Scenarios!$B$10*(1+Inputs!$B$42)</f>
        <v>143.24713806455</v>
      </c>
      <c r="AE63" s="12" t="n">
        <f aca="false">AE32*'Model Costs'!$B$46*Scenarios!$B$10*(1+Inputs!$B$42)</f>
        <v>221.658152109101</v>
      </c>
      <c r="AF63" s="12" t="n">
        <f aca="false">AF32*'Model Costs'!$B$46*Scenarios!$B$10*(1+Inputs!$B$42)</f>
        <v>164.250391541454</v>
      </c>
      <c r="AG63" s="12" t="n">
        <f aca="false">AG32*'Model Costs'!$B$46*Scenarios!$B$10*(1+Inputs!$B$42)</f>
        <v>171.429779169183</v>
      </c>
      <c r="AH63" s="12" t="n">
        <f aca="false">AH32*'Model Costs'!$B$46*Scenarios!$B$10*(1+Inputs!$B$42)</f>
        <v>240.260937808091</v>
      </c>
      <c r="AI63" s="12" t="n">
        <f aca="false">AI32*'Model Costs'!$B$46*Scenarios!$B$10*(1+Inputs!$B$42)</f>
        <v>194.746541345995</v>
      </c>
      <c r="AJ63" s="12" t="n">
        <f aca="false">AJ32*'Model Costs'!$B$46*Scenarios!$B$10*(1+Inputs!$B$42)</f>
        <v>167.830214147565</v>
      </c>
      <c r="AK63" s="12" t="n">
        <f aca="false">AK32*'Model Costs'!$B$46*Scenarios!$B$10*(1+Inputs!$B$42)</f>
        <v>175.313610380586</v>
      </c>
      <c r="AL63" s="12" t="n">
        <f aca="false">AL32*'Model Costs'!$B$46*Scenarios!$B$10*(1+Inputs!$B$42)</f>
        <v>183.183831365659</v>
      </c>
      <c r="AM63" s="12" t="n">
        <f aca="false">AM32*'Model Costs'!$B$46*Scenarios!$B$10*(1+Inputs!$B$42)</f>
        <v>191.095197101411</v>
      </c>
      <c r="AO63" s="12" t="n">
        <f aca="false">SUM(D63:O63)</f>
        <v>1708.82020470258</v>
      </c>
      <c r="AP63" s="12" t="n">
        <f aca="false">SUM(P63:AA63)</f>
        <v>2100.88366094613</v>
      </c>
      <c r="AQ63" s="12" t="n">
        <f aca="false">SUM(AB63:AM63)</f>
        <v>2365.32935044839</v>
      </c>
    </row>
    <row r="64" customFormat="false" ht="15" hidden="false" customHeight="false" outlineLevel="0" collapsed="false">
      <c r="A64" s="6" t="s">
        <v>1092</v>
      </c>
      <c r="B64" s="20" t="s">
        <v>61</v>
      </c>
      <c r="D64" s="12" t="n">
        <f aca="false">MAX(0,D36-D40)*Inputs!$B$17*'Unit Economics'!$G$10</f>
        <v>113.940902638798</v>
      </c>
      <c r="E64" s="12" t="n">
        <f aca="false">MAX(0,E36-E40)*Inputs!$B$17*'Unit Economics'!$G$10</f>
        <v>136.638405120132</v>
      </c>
      <c r="F64" s="12" t="n">
        <f aca="false">MAX(0,F36-F40)*Inputs!$B$17*'Unit Economics'!$G$10</f>
        <v>91.8803257701841</v>
      </c>
      <c r="G64" s="12" t="n">
        <f aca="false">MAX(0,G36-G40)*Inputs!$B$17*'Unit Economics'!$G$10</f>
        <v>122.166382493185</v>
      </c>
      <c r="H64" s="12" t="n">
        <f aca="false">MAX(0,H36-H40)*Inputs!$B$17*'Unit Economics'!$G$10</f>
        <v>103.228304983267</v>
      </c>
      <c r="I64" s="12" t="n">
        <f aca="false">MAX(0,I36-I40)*Inputs!$B$17*'Unit Economics'!$G$10</f>
        <v>107.779633887563</v>
      </c>
      <c r="J64" s="12" t="n">
        <f aca="false">MAX(0,J36-J40)*Inputs!$B$17*'Unit Economics'!$G$10</f>
        <v>135.317375609952</v>
      </c>
      <c r="K64" s="12" t="n">
        <f aca="false">MAX(0,K36-K40)*Inputs!$B$17*'Unit Economics'!$G$10</f>
        <v>120.885974045585</v>
      </c>
      <c r="L64" s="12" t="n">
        <f aca="false">MAX(0,L36-L40)*Inputs!$B$17*'Unit Economics'!$G$10</f>
        <v>111.185959451959</v>
      </c>
      <c r="M64" s="12" t="n">
        <f aca="false">MAX(0,M36-M40)*Inputs!$B$17*'Unit Economics'!$G$10</f>
        <v>116.245980195758</v>
      </c>
      <c r="N64" s="12" t="n">
        <f aca="false">MAX(0,N36-N40)*Inputs!$B$17*'Unit Economics'!$G$10</f>
        <v>121.55582862174</v>
      </c>
      <c r="O64" s="12" t="n">
        <f aca="false">MAX(0,O36-O40)*Inputs!$B$17*'Unit Economics'!$G$10</f>
        <v>126.956141172265</v>
      </c>
      <c r="P64" s="12" t="n">
        <f aca="false">MAX(0,P36-P40)*Inputs!$B$17*'Unit Economics'!$G$10</f>
        <v>147.58591669965</v>
      </c>
      <c r="Q64" s="12" t="n">
        <f aca="false">MAX(0,Q36-Q40)*Inputs!$B$17*'Unit Economics'!$G$10</f>
        <v>180.257996016012</v>
      </c>
      <c r="R64" s="12" t="n">
        <f aca="false">MAX(0,R36-R40)*Inputs!$B$17*'Unit Economics'!$G$10</f>
        <v>112.144512925835</v>
      </c>
      <c r="S64" s="12" t="n">
        <f aca="false">MAX(0,S36-S40)*Inputs!$B$17*'Unit Economics'!$G$10</f>
        <v>155.108047444655</v>
      </c>
      <c r="T64" s="12" t="n">
        <f aca="false">MAX(0,T36-T40)*Inputs!$B$17*'Unit Economics'!$G$10</f>
        <v>126.456443475484</v>
      </c>
      <c r="U64" s="12" t="n">
        <f aca="false">MAX(0,U36-U40)*Inputs!$B$17*'Unit Economics'!$G$10</f>
        <v>131.631447669588</v>
      </c>
      <c r="V64" s="12" t="n">
        <f aca="false">MAX(0,V36-V40)*Inputs!$B$17*'Unit Economics'!$G$10</f>
        <v>168.626129639532</v>
      </c>
      <c r="W64" s="12" t="n">
        <f aca="false">MAX(0,W36-W40)*Inputs!$B$17*'Unit Economics'!$G$10</f>
        <v>147.058940224511</v>
      </c>
      <c r="X64" s="12" t="n">
        <f aca="false">MAX(0,X36-X40)*Inputs!$B$17*'Unit Economics'!$G$10</f>
        <v>132.489563146455</v>
      </c>
      <c r="Y64" s="12" t="n">
        <f aca="false">MAX(0,Y36-Y40)*Inputs!$B$17*'Unit Economics'!$G$10</f>
        <v>137.901346590274</v>
      </c>
      <c r="Z64" s="12" t="n">
        <f aca="false">MAX(0,Z36-Z40)*Inputs!$B$17*'Unit Economics'!$G$10</f>
        <v>143.520215115044</v>
      </c>
      <c r="AA64" s="12" t="n">
        <f aca="false">MAX(0,AA36-AA40)*Inputs!$B$17*'Unit Economics'!$G$10</f>
        <v>149.112145409303</v>
      </c>
      <c r="AB64" s="12" t="n">
        <f aca="false">MAX(0,AB36-AB40)*Inputs!$B$17*'Unit Economics'!$G$10</f>
        <v>173.897479074922</v>
      </c>
      <c r="AC64" s="12" t="n">
        <f aca="false">MAX(0,AC36-AC40)*Inputs!$B$17*'Unit Economics'!$G$10</f>
        <v>213.313571010709</v>
      </c>
      <c r="AD64" s="12" t="n">
        <f aca="false">MAX(0,AD36-AD40)*Inputs!$B$17*'Unit Economics'!$G$10</f>
        <v>127.051396574302</v>
      </c>
      <c r="AE64" s="12" t="n">
        <f aca="false">MAX(0,AE36-AE40)*Inputs!$B$17*'Unit Economics'!$G$10</f>
        <v>178.26242030972</v>
      </c>
      <c r="AF64" s="12" t="n">
        <f aca="false">MAX(0,AF36-AF40)*Inputs!$B$17*'Unit Economics'!$G$10</f>
        <v>142.320766228195</v>
      </c>
      <c r="AG64" s="12" t="n">
        <f aca="false">MAX(0,AG36-AG40)*Inputs!$B$17*'Unit Economics'!$G$10</f>
        <v>147.36837832835</v>
      </c>
      <c r="AH64" s="12" t="n">
        <f aca="false">MAX(0,AH36-AH40)*Inputs!$B$17*'Unit Economics'!$G$10</f>
        <v>189.924045938226</v>
      </c>
      <c r="AI64" s="12" t="n">
        <f aca="false">MAX(0,AI36-AI40)*Inputs!$B$17*'Unit Economics'!$G$10</f>
        <v>163.411637298694</v>
      </c>
      <c r="AJ64" s="12" t="n">
        <f aca="false">MAX(0,AJ36-AJ40)*Inputs!$B$17*'Unit Economics'!$G$10</f>
        <v>145.455411486198</v>
      </c>
      <c r="AK64" s="12" t="n">
        <f aca="false">MAX(0,AK36-AK40)*Inputs!$B$17*'Unit Economics'!$G$10</f>
        <v>150.741577307061</v>
      </c>
      <c r="AL64" s="12" t="n">
        <f aca="false">MAX(0,AL36-AL40)*Inputs!$B$17*'Unit Economics'!$G$10</f>
        <v>156.255569392957</v>
      </c>
      <c r="AM64" s="12" t="n">
        <f aca="false">MAX(0,AM36-AM40)*Inputs!$B$17*'Unit Economics'!$G$10</f>
        <v>161.693816866554</v>
      </c>
      <c r="AO64" s="12" t="n">
        <f aca="false">SUM(D64:O64)</f>
        <v>1407.78121399039</v>
      </c>
      <c r="AP64" s="12" t="n">
        <f aca="false">SUM(P64:AA64)</f>
        <v>1731.89270435634</v>
      </c>
      <c r="AQ64" s="12" t="n">
        <f aca="false">SUM(AB64:AM64)</f>
        <v>1949.69606981589</v>
      </c>
    </row>
    <row r="65" customFormat="false" ht="15" hidden="false" customHeight="false" outlineLevel="0" collapsed="false">
      <c r="A65" s="6" t="s">
        <v>951</v>
      </c>
      <c r="B65" s="20" t="s">
        <v>61</v>
      </c>
      <c r="D65" s="12" t="n">
        <f aca="false">SUMPRODUCT(D47:D51,'Unit Economics'!$H$5:$H$9)</f>
        <v>1149.49858188904</v>
      </c>
      <c r="E65" s="12" t="n">
        <f aca="false">SUMPRODUCT(E47:E51,'Unit Economics'!$H$5:$H$9)</f>
        <v>2005.00930442547</v>
      </c>
      <c r="F65" s="12" t="n">
        <f aca="false">SUMPRODUCT(F47:F51,'Unit Economics'!$H$5:$H$9)</f>
        <v>683.635237937309</v>
      </c>
      <c r="G65" s="12" t="n">
        <f aca="false">SUMPRODUCT(G47:G51,'Unit Economics'!$H$5:$H$9)</f>
        <v>1374.25077277969</v>
      </c>
      <c r="H65" s="12" t="n">
        <f aca="false">SUMPRODUCT(H47:H51,'Unit Economics'!$H$5:$H$9)</f>
        <v>900.065256181104</v>
      </c>
      <c r="I65" s="12" t="n">
        <f aca="false">SUMPRODUCT(I47:I51,'Unit Economics'!$H$5:$H$9)</f>
        <v>990.890486374587</v>
      </c>
      <c r="J65" s="12" t="n">
        <f aca="false">SUMPRODUCT(J47:J51,'Unit Economics'!$H$5:$H$9)</f>
        <v>1720.15969907221</v>
      </c>
      <c r="K65" s="12" t="n">
        <f aca="false">SUMPRODUCT(K47:K51,'Unit Economics'!$H$5:$H$9)</f>
        <v>1288.89754020121</v>
      </c>
      <c r="L65" s="12" t="n">
        <f aca="false">SUMPRODUCT(L47:L51,'Unit Economics'!$H$5:$H$9)</f>
        <v>1062.6566284707</v>
      </c>
      <c r="M65" s="12" t="n">
        <f aca="false">SUMPRODUCT(M47:M51,'Unit Economics'!$H$5:$H$9)</f>
        <v>1167.2315534574</v>
      </c>
      <c r="N65" s="12" t="n">
        <f aca="false">SUMPRODUCT(N47:N51,'Unit Economics'!$H$5:$H$9)</f>
        <v>1281.46260226749</v>
      </c>
      <c r="O65" s="12" t="n">
        <f aca="false">SUMPRODUCT(O47:O51,'Unit Economics'!$H$5:$H$9)</f>
        <v>1404.75299661958</v>
      </c>
      <c r="P65" s="12" t="n">
        <f aca="false">SUMPRODUCT(P47:P51,'Unit Economics'!$H$5:$H$9)</f>
        <v>1980.33658326811</v>
      </c>
      <c r="Q65" s="12" t="n">
        <f aca="false">SUMPRODUCT(Q47:Q51,'Unit Economics'!$H$5:$H$9)</f>
        <v>3363.96859749858</v>
      </c>
      <c r="R65" s="12" t="n">
        <f aca="false">SUMPRODUCT(R47:R51,'Unit Economics'!$H$5:$H$9)</f>
        <v>1104.21099609238</v>
      </c>
      <c r="S65" s="12" t="n">
        <f aca="false">SUMPRODUCT(S47:S51,'Unit Economics'!$H$5:$H$9)</f>
        <v>2239.99529180924</v>
      </c>
      <c r="T65" s="12" t="n">
        <f aca="false">SUMPRODUCT(T47:T51,'Unit Economics'!$H$5:$H$9)</f>
        <v>1431.3368617277</v>
      </c>
      <c r="U65" s="12" t="n">
        <f aca="false">SUMPRODUCT(U47:U51,'Unit Economics'!$H$5:$H$9)</f>
        <v>1558.83957817503</v>
      </c>
      <c r="V65" s="12" t="n">
        <f aca="false">SUMPRODUCT(V47:V51,'Unit Economics'!$H$5:$H$9)</f>
        <v>2680.1441067038</v>
      </c>
      <c r="W65" s="12" t="n">
        <f aca="false">SUMPRODUCT(W47:W51,'Unit Economics'!$H$5:$H$9)</f>
        <v>1977.19748251653</v>
      </c>
      <c r="X65" s="12" t="n">
        <f aca="false">SUMPRODUCT(X47:X51,'Unit Economics'!$H$5:$H$9)</f>
        <v>1602.94010771376</v>
      </c>
      <c r="Y65" s="12" t="n">
        <f aca="false">SUMPRODUCT(Y47:Y51,'Unit Economics'!$H$5:$H$9)</f>
        <v>1742.53628251494</v>
      </c>
      <c r="Z65" s="12" t="n">
        <f aca="false">SUMPRODUCT(Z47:Z51,'Unit Economics'!$H$5:$H$9)</f>
        <v>1892.43732441399</v>
      </c>
      <c r="AA65" s="12" t="n">
        <f aca="false">SUMPRODUCT(AA47:AA51,'Unit Economics'!$H$5:$H$9)</f>
        <v>2051.42334075057</v>
      </c>
      <c r="AB65" s="12" t="n">
        <f aca="false">SUMPRODUCT(AB47:AB51,'Unit Economics'!$H$5:$H$9)</f>
        <v>2853.82067710201</v>
      </c>
      <c r="AC65" s="12" t="n">
        <f aca="false">SUMPRODUCT(AC47:AC51,'Unit Economics'!$H$5:$H$9)</f>
        <v>4738.51743732549</v>
      </c>
      <c r="AD65" s="12" t="n">
        <f aca="false">SUMPRODUCT(AD47:AD51,'Unit Economics'!$H$5:$H$9)</f>
        <v>1546.8560320183</v>
      </c>
      <c r="AE65" s="12" t="n">
        <f aca="false">SUMPRODUCT(AE47:AE51,'Unit Economics'!$H$5:$H$9)</f>
        <v>3113.32288137225</v>
      </c>
      <c r="AF65" s="12" t="n">
        <f aca="false">SUMPRODUCT(AF47:AF51,'Unit Economics'!$H$5:$H$9)</f>
        <v>1974.3813058938</v>
      </c>
      <c r="AG65" s="12" t="n">
        <f aca="false">SUMPRODUCT(AG47:AG51,'Unit Economics'!$H$5:$H$9)</f>
        <v>2133.17018856281</v>
      </c>
      <c r="AH65" s="12" t="n">
        <f aca="false">SUMPRODUCT(AH47:AH51,'Unit Economics'!$H$5:$H$9)</f>
        <v>3616.6636080789</v>
      </c>
      <c r="AI65" s="12" t="n">
        <f aca="false">SUMPRODUCT(AI47:AI51,'Unit Economics'!$H$5:$H$9)</f>
        <v>2655.98849696892</v>
      </c>
      <c r="AJ65" s="12" t="n">
        <f aca="false">SUMPRODUCT(AJ47:AJ51,'Unit Economics'!$H$5:$H$9)</f>
        <v>2139.24757531587</v>
      </c>
      <c r="AK65" s="12" t="n">
        <f aca="false">SUMPRODUCT(AK47:AK51,'Unit Economics'!$H$5:$H$9)</f>
        <v>2309.68422448185</v>
      </c>
      <c r="AL65" s="12" t="n">
        <f aca="false">SUMPRODUCT(AL47:AL51,'Unit Economics'!$H$5:$H$9)</f>
        <v>2490.94144923082</v>
      </c>
      <c r="AM65" s="12" t="n">
        <f aca="false">SUMPRODUCT(AM47:AM51,'Unit Economics'!$H$5:$H$9)</f>
        <v>2681.24510412111</v>
      </c>
      <c r="AO65" s="12" t="n">
        <f aca="false">SUM(D65:O65)</f>
        <v>15028.5106596758</v>
      </c>
      <c r="AP65" s="12" t="n">
        <f aca="false">SUM(P65:AA65)</f>
        <v>23625.3665531846</v>
      </c>
      <c r="AQ65" s="12" t="n">
        <f aca="false">SUM(AB65:AM65)</f>
        <v>32253.8389804721</v>
      </c>
    </row>
    <row r="66" customFormat="false" ht="15" hidden="false" customHeight="false" outlineLevel="0" collapsed="false">
      <c r="A66" s="6" t="s">
        <v>952</v>
      </c>
      <c r="B66" s="20" t="s">
        <v>61</v>
      </c>
      <c r="D66" s="12" t="n">
        <f aca="false">SUMPRODUCT(D47:D51,'Unit Economics'!$I$5:$I$9)</f>
        <v>502.35383494229</v>
      </c>
      <c r="E66" s="12" t="n">
        <f aca="false">SUMPRODUCT(E47:E51,'Unit Economics'!$I$5:$I$9)</f>
        <v>876.22910462219</v>
      </c>
      <c r="F66" s="12" t="n">
        <f aca="false">SUMPRODUCT(F47:F51,'Unit Economics'!$I$5:$I$9)</f>
        <v>298.762250680744</v>
      </c>
      <c r="G66" s="12" t="n">
        <f aca="false">SUMPRODUCT(G47:G51,'Unit Economics'!$I$5:$I$9)</f>
        <v>600.575030500495</v>
      </c>
      <c r="H66" s="12" t="n">
        <f aca="false">SUMPRODUCT(H47:H51,'Unit Economics'!$I$5:$I$9)</f>
        <v>393.346490604492</v>
      </c>
      <c r="I66" s="12" t="n">
        <f aca="false">SUMPRODUCT(I47:I51,'Unit Economics'!$I$5:$I$9)</f>
        <v>433.038929913318</v>
      </c>
      <c r="J66" s="12" t="n">
        <f aca="false">SUMPRODUCT(J47:J51,'Unit Economics'!$I$5:$I$9)</f>
        <v>751.74413884185</v>
      </c>
      <c r="K66" s="12" t="n">
        <f aca="false">SUMPRODUCT(K47:K51,'Unit Economics'!$I$5:$I$9)</f>
        <v>563.273963421268</v>
      </c>
      <c r="L66" s="12" t="n">
        <f aca="false">SUMPRODUCT(L47:L51,'Unit Economics'!$I$5:$I$9)</f>
        <v>464.402167127363</v>
      </c>
      <c r="M66" s="12" t="n">
        <f aca="false">SUMPRODUCT(M47:M51,'Unit Economics'!$I$5:$I$9)</f>
        <v>510.103497632304</v>
      </c>
      <c r="N66" s="12" t="n">
        <f aca="false">SUMPRODUCT(N47:N51,'Unit Economics'!$I$5:$I$9)</f>
        <v>560.024747073886</v>
      </c>
      <c r="O66" s="12" t="n">
        <f aca="false">SUMPRODUCT(O47:O51,'Unit Economics'!$I$5:$I$9)</f>
        <v>613.905111425913</v>
      </c>
      <c r="P66" s="12" t="n">
        <f aca="false">SUMPRODUCT(P47:P51,'Unit Economics'!$I$5:$I$9)</f>
        <v>865.446632779997</v>
      </c>
      <c r="Q66" s="12" t="n">
        <f aca="false">SUMPRODUCT(Q47:Q51,'Unit Economics'!$I$5:$I$9)</f>
        <v>1470.1214531311</v>
      </c>
      <c r="R66" s="12" t="n">
        <f aca="false">SUMPRODUCT(R47:R51,'Unit Economics'!$I$5:$I$9)</f>
        <v>482.562255588758</v>
      </c>
      <c r="S66" s="12" t="n">
        <f aca="false">SUMPRODUCT(S47:S51,'Unit Economics'!$I$5:$I$9)</f>
        <v>978.922673609413</v>
      </c>
      <c r="T66" s="12" t="n">
        <f aca="false">SUMPRODUCT(T47:T51,'Unit Economics'!$I$5:$I$9)</f>
        <v>625.522791338757</v>
      </c>
      <c r="U66" s="12" t="n">
        <f aca="false">SUMPRODUCT(U47:U51,'Unit Economics'!$I$5:$I$9)</f>
        <v>681.244024563433</v>
      </c>
      <c r="V66" s="12" t="n">
        <f aca="false">SUMPRODUCT(V47:V51,'Unit Economics'!$I$5:$I$9)</f>
        <v>1171.2764951724</v>
      </c>
      <c r="W66" s="12" t="n">
        <f aca="false">SUMPRODUCT(W47:W51,'Unit Economics'!$I$5:$I$9)</f>
        <v>864.074783065978</v>
      </c>
      <c r="X66" s="12" t="n">
        <f aca="false">SUMPRODUCT(X47:X51,'Unit Economics'!$I$5:$I$9)</f>
        <v>700.516836627595</v>
      </c>
      <c r="Y66" s="12" t="n">
        <f aca="false">SUMPRODUCT(Y47:Y51,'Unit Economics'!$I$5:$I$9)</f>
        <v>761.523152650537</v>
      </c>
      <c r="Z66" s="12" t="n">
        <f aca="false">SUMPRODUCT(Z47:Z51,'Unit Economics'!$I$5:$I$9)</f>
        <v>827.032901376006</v>
      </c>
      <c r="AA66" s="12" t="n">
        <f aca="false">SUMPRODUCT(AA47:AA51,'Unit Economics'!$I$5:$I$9)</f>
        <v>896.512965351057</v>
      </c>
      <c r="AB66" s="12" t="n">
        <f aca="false">SUMPRODUCT(AB47:AB51,'Unit Economics'!$I$5:$I$9)</f>
        <v>1247.17662463214</v>
      </c>
      <c r="AC66" s="12" t="n">
        <f aca="false">SUMPRODUCT(AC47:AC51,'Unit Economics'!$I$5:$I$9)</f>
        <v>2070.82674488341</v>
      </c>
      <c r="AD66" s="12" t="n">
        <f aca="false">SUMPRODUCT(AD47:AD51,'Unit Economics'!$I$5:$I$9)</f>
        <v>676.006975590181</v>
      </c>
      <c r="AE66" s="12" t="n">
        <f aca="false">SUMPRODUCT(AE47:AE51,'Unit Economics'!$I$5:$I$9)</f>
        <v>1360.5842699699</v>
      </c>
      <c r="AF66" s="12" t="n">
        <f aca="false">SUMPRODUCT(AF47:AF51,'Unit Economics'!$I$5:$I$9)</f>
        <v>862.844057644833</v>
      </c>
      <c r="AG66" s="12" t="n">
        <f aca="false">SUMPRODUCT(AG47:AG51,'Unit Economics'!$I$5:$I$9)</f>
        <v>932.237970270535</v>
      </c>
      <c r="AH66" s="12" t="n">
        <f aca="false">SUMPRODUCT(AH47:AH51,'Unit Economics'!$I$5:$I$9)</f>
        <v>1580.55421889162</v>
      </c>
      <c r="AI66" s="12" t="n">
        <f aca="false">SUMPRODUCT(AI47:AI51,'Unit Economics'!$I$5:$I$9)</f>
        <v>1160.72001134817</v>
      </c>
      <c r="AJ66" s="12" t="n">
        <f aca="false">SUMPRODUCT(AJ47:AJ51,'Unit Economics'!$I$5:$I$9)</f>
        <v>934.893909642652</v>
      </c>
      <c r="AK66" s="12" t="n">
        <f aca="false">SUMPRODUCT(AK47:AK51,'Unit Economics'!$I$5:$I$9)</f>
        <v>1009.37812882502</v>
      </c>
      <c r="AL66" s="12" t="n">
        <f aca="false">SUMPRODUCT(AL47:AL51,'Unit Economics'!$I$5:$I$9)</f>
        <v>1088.59115561623</v>
      </c>
      <c r="AM66" s="12" t="n">
        <f aca="false">SUMPRODUCT(AM47:AM51,'Unit Economics'!$I$5:$I$9)</f>
        <v>1171.75765302989</v>
      </c>
      <c r="AO66" s="12" t="n">
        <f aca="false">SUM(D66:O66)</f>
        <v>6567.75926678611</v>
      </c>
      <c r="AP66" s="12" t="n">
        <f aca="false">SUM(P66:AA66)</f>
        <v>10324.756965255</v>
      </c>
      <c r="AQ66" s="12" t="n">
        <f aca="false">SUM(AB66:AM66)</f>
        <v>14095.5717203446</v>
      </c>
    </row>
    <row r="67" customFormat="false" ht="15" hidden="false" customHeight="false" outlineLevel="0" collapsed="false">
      <c r="A67" s="6" t="s">
        <v>953</v>
      </c>
      <c r="B67" s="20" t="s">
        <v>61</v>
      </c>
      <c r="D67" s="12" t="n">
        <f aca="false">SUMPRODUCT(D47:D51,'Unit Economics'!$J$5:$J$9)</f>
        <v>66.0740966732531</v>
      </c>
      <c r="E67" s="12" t="n">
        <f aca="false">SUMPRODUCT(E47:E51,'Unit Economics'!$J$5:$J$9)</f>
        <v>115.249536361906</v>
      </c>
      <c r="F67" s="12" t="n">
        <f aca="false">SUMPRODUCT(F47:F51,'Unit Economics'!$J$5:$J$9)</f>
        <v>39.2958995447221</v>
      </c>
      <c r="G67" s="12" t="n">
        <f aca="false">SUMPRODUCT(G47:G51,'Unit Economics'!$J$5:$J$9)</f>
        <v>78.9930321312075</v>
      </c>
      <c r="H67" s="12" t="n">
        <f aca="false">SUMPRODUCT(H47:H51,'Unit Economics'!$J$5:$J$9)</f>
        <v>51.7364698714238</v>
      </c>
      <c r="I67" s="12" t="n">
        <f aca="false">SUMPRODUCT(I47:I51,'Unit Economics'!$J$5:$J$9)</f>
        <v>56.9571766515162</v>
      </c>
      <c r="J67" s="12" t="n">
        <f aca="false">SUMPRODUCT(J47:J51,'Unit Economics'!$J$5:$J$9)</f>
        <v>98.8761535165625</v>
      </c>
      <c r="K67" s="12" t="n">
        <f aca="false">SUMPRODUCT(K47:K51,'Unit Economics'!$J$5:$J$9)</f>
        <v>74.0868601448992</v>
      </c>
      <c r="L67" s="12" t="n">
        <f aca="false">SUMPRODUCT(L47:L51,'Unit Economics'!$J$5:$J$9)</f>
        <v>61.0823518239224</v>
      </c>
      <c r="M67" s="12" t="n">
        <f aca="false">SUMPRODUCT(M47:M51,'Unit Economics'!$J$5:$J$9)</f>
        <v>67.0934020435881</v>
      </c>
      <c r="N67" s="12" t="n">
        <f aca="false">SUMPRODUCT(N47:N51,'Unit Economics'!$J$5:$J$9)</f>
        <v>73.6594939736548</v>
      </c>
      <c r="O67" s="12" t="n">
        <f aca="false">SUMPRODUCT(O47:O51,'Unit Economics'!$J$5:$J$9)</f>
        <v>80.7463243218195</v>
      </c>
      <c r="P67" s="12" t="n">
        <f aca="false">SUMPRODUCT(P47:P51,'Unit Economics'!$J$5:$J$9)</f>
        <v>113.831328641924</v>
      </c>
      <c r="Q67" s="12" t="n">
        <f aca="false">SUMPRODUCT(Q47:Q51,'Unit Economics'!$J$5:$J$9)</f>
        <v>193.363602025187</v>
      </c>
      <c r="R67" s="12" t="n">
        <f aca="false">SUMPRODUCT(R47:R51,'Unit Economics'!$J$5:$J$9)</f>
        <v>63.4709300672454</v>
      </c>
      <c r="S67" s="12" t="n">
        <f aca="false">SUMPRODUCT(S47:S51,'Unit Economics'!$J$5:$J$9)</f>
        <v>128.756718616746</v>
      </c>
      <c r="T67" s="12" t="n">
        <f aca="false">SUMPRODUCT(T47:T51,'Unit Economics'!$J$5:$J$9)</f>
        <v>82.2743861226583</v>
      </c>
      <c r="U67" s="12" t="n">
        <f aca="false">SUMPRODUCT(U47:U51,'Unit Economics'!$J$5:$J$9)</f>
        <v>89.6033441095383</v>
      </c>
      <c r="V67" s="12" t="n">
        <f aca="false">SUMPRODUCT(V47:V51,'Unit Economics'!$J$5:$J$9)</f>
        <v>154.056824075048</v>
      </c>
      <c r="W67" s="12" t="n">
        <f aca="false">SUMPRODUCT(W47:W51,'Unit Economics'!$J$5:$J$9)</f>
        <v>113.6508906233</v>
      </c>
      <c r="X67" s="12" t="n">
        <f aca="false">SUMPRODUCT(X47:X51,'Unit Economics'!$J$5:$J$9)</f>
        <v>92.1382777736541</v>
      </c>
      <c r="Y67" s="12" t="n">
        <f aca="false">SUMPRODUCT(Y47:Y51,'Unit Economics'!$J$5:$J$9)</f>
        <v>100.162377406619</v>
      </c>
      <c r="Z67" s="12" t="n">
        <f aca="false">SUMPRODUCT(Z47:Z51,'Unit Economics'!$J$5:$J$9)</f>
        <v>108.7788090316</v>
      </c>
      <c r="AA67" s="12" t="n">
        <f aca="false">SUMPRODUCT(AA47:AA51,'Unit Economics'!$J$5:$J$9)</f>
        <v>117.917452244065</v>
      </c>
      <c r="AB67" s="12" t="n">
        <f aca="false">SUMPRODUCT(AB47:AB51,'Unit Economics'!$J$5:$J$9)</f>
        <v>164.039892069366</v>
      </c>
      <c r="AC67" s="12" t="n">
        <f aca="false">SUMPRODUCT(AC47:AC51,'Unit Economics'!$J$5:$J$9)</f>
        <v>272.373767288356</v>
      </c>
      <c r="AD67" s="12" t="n">
        <f aca="false">SUMPRODUCT(AD47:AD51,'Unit Economics'!$J$5:$J$9)</f>
        <v>88.9145203043394</v>
      </c>
      <c r="AE67" s="12" t="n">
        <f aca="false">SUMPRODUCT(AE47:AE51,'Unit Economics'!$J$5:$J$9)</f>
        <v>178.956286053686</v>
      </c>
      <c r="AF67" s="12" t="n">
        <f aca="false">SUMPRODUCT(AF47:AF51,'Unit Economics'!$J$5:$J$9)</f>
        <v>113.489014541545</v>
      </c>
      <c r="AG67" s="12" t="n">
        <f aca="false">SUMPRODUCT(AG47:AG51,'Unit Economics'!$J$5:$J$9)</f>
        <v>122.616326353334</v>
      </c>
      <c r="AH67" s="12" t="n">
        <f aca="false">SUMPRODUCT(AH47:AH51,'Unit Economics'!$J$5:$J$9)</f>
        <v>207.888713078821</v>
      </c>
      <c r="AI67" s="12" t="n">
        <f aca="false">SUMPRODUCT(AI47:AI51,'Unit Economics'!$J$5:$J$9)</f>
        <v>152.668340332684</v>
      </c>
      <c r="AJ67" s="12" t="n">
        <f aca="false">SUMPRODUCT(AJ47:AJ51,'Unit Economics'!$J$5:$J$9)</f>
        <v>122.965659398341</v>
      </c>
      <c r="AK67" s="12" t="n">
        <f aca="false">SUMPRODUCT(AK47:AK51,'Unit Economics'!$J$5:$J$9)</f>
        <v>132.762494132275</v>
      </c>
      <c r="AL67" s="12" t="n">
        <f aca="false">SUMPRODUCT(AL47:AL51,'Unit Economics'!$J$5:$J$9)</f>
        <v>143.181304193882</v>
      </c>
      <c r="AM67" s="12" t="n">
        <f aca="false">SUMPRODUCT(AM47:AM51,'Unit Economics'!$J$5:$J$9)</f>
        <v>154.12011028604</v>
      </c>
      <c r="AO67" s="12" t="n">
        <f aca="false">SUM(D67:O67)</f>
        <v>863.850797058476</v>
      </c>
      <c r="AP67" s="12" t="n">
        <f aca="false">SUM(P67:AA67)</f>
        <v>1358.00494073759</v>
      </c>
      <c r="AQ67" s="12" t="n">
        <f aca="false">SUM(AB67:AM67)</f>
        <v>1853.97642803267</v>
      </c>
    </row>
    <row r="68" customFormat="false" ht="15" hidden="false" customHeight="false" outlineLevel="0" collapsed="false">
      <c r="A68" s="6" t="s">
        <v>1093</v>
      </c>
      <c r="B68" s="20" t="s">
        <v>61</v>
      </c>
      <c r="D68" s="12" t="n">
        <f aca="false">SUMPRODUCT(D47:D51,'Unit Economics'!$K$5:$K$9)</f>
        <v>177.145356867895</v>
      </c>
      <c r="E68" s="12" t="n">
        <f aca="false">SUMPRODUCT(E47:E51,'Unit Economics'!$K$5:$K$9)</f>
        <v>308.98523438995</v>
      </c>
      <c r="F68" s="12" t="n">
        <f aca="false">SUMPRODUCT(F47:F51,'Unit Economics'!$K$5:$K$9)</f>
        <v>105.352725179406</v>
      </c>
      <c r="G68" s="12" t="n">
        <f aca="false">SUMPRODUCT(G47:G51,'Unit Economics'!$K$5:$K$9)</f>
        <v>211.781160416898</v>
      </c>
      <c r="H68" s="12" t="n">
        <f aca="false">SUMPRODUCT(H47:H51,'Unit Economics'!$K$5:$K$9)</f>
        <v>138.706026716948</v>
      </c>
      <c r="I68" s="12" t="n">
        <f aca="false">SUMPRODUCT(I47:I51,'Unit Economics'!$K$5:$K$9)</f>
        <v>152.702797194727</v>
      </c>
      <c r="J68" s="12" t="n">
        <f aca="false">SUMPRODUCT(J47:J51,'Unit Economics'!$K$5:$K$9)</f>
        <v>265.088020605607</v>
      </c>
      <c r="K68" s="12" t="n">
        <f aca="false">SUMPRODUCT(K47:K51,'Unit Economics'!$K$5:$K$9)</f>
        <v>198.627661071039</v>
      </c>
      <c r="L68" s="12" t="n">
        <f aca="false">SUMPRODUCT(L47:L51,'Unit Economics'!$K$5:$K$9)</f>
        <v>163.762435764925</v>
      </c>
      <c r="M68" s="12" t="n">
        <f aca="false">SUMPRODUCT(M47:M51,'Unit Economics'!$K$5:$K$9)</f>
        <v>179.878125421331</v>
      </c>
      <c r="N68" s="12" t="n">
        <f aca="false">SUMPRODUCT(N47:N51,'Unit Economics'!$K$5:$K$9)</f>
        <v>197.481887814497</v>
      </c>
      <c r="O68" s="12" t="n">
        <f aca="false">SUMPRODUCT(O47:O51,'Unit Economics'!$K$5:$K$9)</f>
        <v>216.481755452431</v>
      </c>
      <c r="P68" s="12" t="n">
        <f aca="false">SUMPRODUCT(P47:P51,'Unit Economics'!$K$5:$K$9)</f>
        <v>305.183004388814</v>
      </c>
      <c r="Q68" s="12" t="n">
        <f aca="false">SUMPRODUCT(Q47:Q51,'Unit Economics'!$K$5:$K$9)</f>
        <v>518.409876345373</v>
      </c>
      <c r="R68" s="12" t="n">
        <f aca="false">SUMPRODUCT(R47:R51,'Unit Economics'!$K$5:$K$9)</f>
        <v>170.166239473552</v>
      </c>
      <c r="S68" s="12" t="n">
        <f aca="false">SUMPRODUCT(S47:S51,'Unit Economics'!$K$5:$K$9)</f>
        <v>345.198133866211</v>
      </c>
      <c r="T68" s="12" t="n">
        <f aca="false">SUMPRODUCT(T47:T51,'Unit Economics'!$K$5:$K$9)</f>
        <v>220.578505414287</v>
      </c>
      <c r="U68" s="12" t="n">
        <f aca="false">SUMPRODUCT(U47:U51,'Unit Economics'!$K$5:$K$9)</f>
        <v>240.227519830268</v>
      </c>
      <c r="V68" s="12" t="n">
        <f aca="false">SUMPRODUCT(V47:V51,'Unit Economics'!$K$5:$K$9)</f>
        <v>413.027986045188</v>
      </c>
      <c r="W68" s="12" t="n">
        <f aca="false">SUMPRODUCT(W47:W51,'Unit Economics'!$K$5:$K$9)</f>
        <v>304.699248139223</v>
      </c>
      <c r="X68" s="12" t="n">
        <f aca="false">SUMPRODUCT(X47:X51,'Unit Economics'!$K$5:$K$9)</f>
        <v>247.02370398072</v>
      </c>
      <c r="Y68" s="12" t="n">
        <f aca="false">SUMPRODUCT(Y47:Y51,'Unit Economics'!$K$5:$K$9)</f>
        <v>268.53640055309</v>
      </c>
      <c r="Z68" s="12" t="n">
        <f aca="false">SUMPRODUCT(Z47:Z51,'Unit Economics'!$K$5:$K$9)</f>
        <v>291.63714550437</v>
      </c>
      <c r="AA68" s="12" t="n">
        <f aca="false">SUMPRODUCT(AA47:AA51,'Unit Economics'!$K$5:$K$9)</f>
        <v>316.137945283232</v>
      </c>
      <c r="AB68" s="12" t="n">
        <f aca="false">SUMPRODUCT(AB47:AB51,'Unit Economics'!$K$5:$K$9)</f>
        <v>439.792697657293</v>
      </c>
      <c r="AC68" s="12" t="n">
        <f aca="false">SUMPRODUCT(AC47:AC51,'Unit Economics'!$K$5:$K$9)</f>
        <v>730.236970871527</v>
      </c>
      <c r="AD68" s="12" t="n">
        <f aca="false">SUMPRODUCT(AD47:AD51,'Unit Economics'!$K$5:$K$9)</f>
        <v>238.380775872579</v>
      </c>
      <c r="AE68" s="12" t="n">
        <f aca="false">SUMPRODUCT(AE47:AE51,'Unit Economics'!$K$5:$K$9)</f>
        <v>479.783708788349</v>
      </c>
      <c r="AF68" s="12" t="n">
        <f aca="false">SUMPRODUCT(AF47:AF51,'Unit Economics'!$K$5:$K$9)</f>
        <v>304.265256640064</v>
      </c>
      <c r="AG68" s="12" t="n">
        <f aca="false">SUMPRODUCT(AG47:AG51,'Unit Economics'!$K$5:$K$9)</f>
        <v>328.735676813032</v>
      </c>
      <c r="AH68" s="12" t="n">
        <f aca="false">SUMPRODUCT(AH47:AH51,'Unit Economics'!$K$5:$K$9)</f>
        <v>557.351853772108</v>
      </c>
      <c r="AI68" s="12" t="n">
        <f aca="false">SUMPRODUCT(AI47:AI51,'Unit Economics'!$K$5:$K$9)</f>
        <v>409.305446344605</v>
      </c>
      <c r="AJ68" s="12" t="n">
        <f aca="false">SUMPRODUCT(AJ47:AJ51,'Unit Economics'!$K$5:$K$9)</f>
        <v>329.672242427082</v>
      </c>
      <c r="AK68" s="12" t="n">
        <f aca="false">SUMPRODUCT(AK47:AK51,'Unit Economics'!$K$5:$K$9)</f>
        <v>355.937660684718</v>
      </c>
      <c r="AL68" s="12" t="n">
        <f aca="false">SUMPRODUCT(AL47:AL51,'Unit Economics'!$K$5:$K$9)</f>
        <v>383.870601419863</v>
      </c>
      <c r="AM68" s="12" t="n">
        <f aca="false">SUMPRODUCT(AM47:AM51,'Unit Economics'!$K$5:$K$9)</f>
        <v>413.197657050855</v>
      </c>
      <c r="AO68" s="12" t="n">
        <f aca="false">SUM(D68:O68)</f>
        <v>2315.99318689565</v>
      </c>
      <c r="AP68" s="12" t="n">
        <f aca="false">SUM(P68:AA68)</f>
        <v>3640.82570882433</v>
      </c>
      <c r="AQ68" s="12" t="n">
        <f aca="false">SUM(AB68:AM68)</f>
        <v>4970.53054834208</v>
      </c>
    </row>
    <row r="69" customFormat="false" ht="15" hidden="false" customHeight="false" outlineLevel="0" collapsed="false">
      <c r="A69" s="6" t="s">
        <v>955</v>
      </c>
      <c r="B69" s="20" t="s">
        <v>61</v>
      </c>
      <c r="D69" s="12" t="n">
        <f aca="false">SUMPRODUCT(D47:D51,'Unit Economics'!$L$5:$L$9)</f>
        <v>6.90942846256684</v>
      </c>
      <c r="E69" s="12" t="n">
        <f aca="false">SUMPRODUCT(E47:E51,'Unit Economics'!$L$5:$L$9)</f>
        <v>12.0517489747073</v>
      </c>
      <c r="F69" s="12" t="n">
        <f aca="false">SUMPRODUCT(F47:F51,'Unit Economics'!$L$5:$L$9)</f>
        <v>4.1092080020275</v>
      </c>
      <c r="G69" s="12" t="n">
        <f aca="false">SUMPRODUCT(G47:G51,'Unit Economics'!$L$5:$L$9)</f>
        <v>8.26037330863369</v>
      </c>
      <c r="H69" s="12" t="n">
        <f aca="false">SUMPRODUCT(H47:H51,'Unit Economics'!$L$5:$L$9)</f>
        <v>5.41012977067384</v>
      </c>
      <c r="I69" s="12" t="n">
        <f aca="false">SUMPRODUCT(I47:I51,'Unit Economics'!$L$5:$L$9)</f>
        <v>5.95606383314719</v>
      </c>
      <c r="J69" s="12" t="n">
        <f aca="false">SUMPRODUCT(J47:J51,'Unit Economics'!$L$5:$L$9)</f>
        <v>10.3395694193882</v>
      </c>
      <c r="K69" s="12" t="n">
        <f aca="false">SUMPRODUCT(K47:K51,'Unit Economics'!$L$5:$L$9)</f>
        <v>7.74733043599207</v>
      </c>
      <c r="L69" s="12" t="n">
        <f aca="false">SUMPRODUCT(L47:L51,'Unit Economics'!$L$5:$L$9)</f>
        <v>6.38743715770805</v>
      </c>
      <c r="M69" s="12" t="n">
        <f aca="false">SUMPRODUCT(M47:M51,'Unit Economics'!$L$5:$L$9)</f>
        <v>7.01601815342055</v>
      </c>
      <c r="N69" s="12" t="n">
        <f aca="false">SUMPRODUCT(N47:N51,'Unit Economics'!$L$5:$L$9)</f>
        <v>7.70264036626419</v>
      </c>
      <c r="O69" s="12" t="n">
        <f aca="false">SUMPRODUCT(O47:O51,'Unit Economics'!$L$5:$L$9)</f>
        <v>8.44371666972296</v>
      </c>
      <c r="P69" s="12" t="n">
        <f aca="false">SUMPRODUCT(P47:P51,'Unit Economics'!$L$5:$L$9)</f>
        <v>11.903445701872</v>
      </c>
      <c r="Q69" s="12" t="n">
        <f aca="false">SUMPRODUCT(Q47:Q51,'Unit Economics'!$L$5:$L$9)</f>
        <v>20.2202079593182</v>
      </c>
      <c r="R69" s="12" t="n">
        <f aca="false">SUMPRODUCT(R47:R51,'Unit Economics'!$L$5:$L$9)</f>
        <v>6.63721295988205</v>
      </c>
      <c r="S69" s="12" t="n">
        <f aca="false">SUMPRODUCT(S47:S51,'Unit Economics'!$L$5:$L$9)</f>
        <v>13.4642073240387</v>
      </c>
      <c r="T69" s="12" t="n">
        <f aca="false">SUMPRODUCT(T47:T51,'Unit Economics'!$L$5:$L$9)</f>
        <v>8.60350748383711</v>
      </c>
      <c r="U69" s="12" t="n">
        <f aca="false">SUMPRODUCT(U47:U51,'Unit Economics'!$L$5:$L$9)</f>
        <v>9.36990329498112</v>
      </c>
      <c r="V69" s="12" t="n">
        <f aca="false">SUMPRODUCT(V47:V51,'Unit Economics'!$L$5:$L$9)</f>
        <v>16.1098623925293</v>
      </c>
      <c r="W69" s="12" t="n">
        <f aca="false">SUMPRODUCT(W47:W51,'Unit Economics'!$L$5:$L$9)</f>
        <v>11.8845771339403</v>
      </c>
      <c r="X69" s="12" t="n">
        <f aca="false">SUMPRODUCT(X47:X51,'Unit Economics'!$L$5:$L$9)</f>
        <v>9.63498361679278</v>
      </c>
      <c r="Y69" s="12" t="n">
        <f aca="false">SUMPRODUCT(Y47:Y51,'Unit Economics'!$L$5:$L$9)</f>
        <v>10.4740710229309</v>
      </c>
      <c r="Z69" s="12" t="n">
        <f aca="false">SUMPRODUCT(Z47:Z51,'Unit Economics'!$L$5:$L$9)</f>
        <v>11.3750991249088</v>
      </c>
      <c r="AA69" s="12" t="n">
        <f aca="false">SUMPRODUCT(AA47:AA51,'Unit Economics'!$L$5:$L$9)</f>
        <v>12.3307353681661</v>
      </c>
      <c r="AB69" s="12" t="n">
        <f aca="false">SUMPRODUCT(AB47:AB51,'Unit Economics'!$L$5:$L$9)</f>
        <v>17.1538009042397</v>
      </c>
      <c r="AC69" s="12" t="n">
        <f aca="false">SUMPRODUCT(AC47:AC51,'Unit Economics'!$L$5:$L$9)</f>
        <v>28.4823728951643</v>
      </c>
      <c r="AD69" s="12" t="n">
        <f aca="false">SUMPRODUCT(AD47:AD51,'Unit Economics'!$L$5:$L$9)</f>
        <v>9.29787236236208</v>
      </c>
      <c r="AE69" s="12" t="n">
        <f aca="false">SUMPRODUCT(AE47:AE51,'Unit Economics'!$L$5:$L$9)</f>
        <v>18.713621807487</v>
      </c>
      <c r="AF69" s="12" t="n">
        <f aca="false">SUMPRODUCT(AF47:AF51,'Unit Economics'!$L$5:$L$9)</f>
        <v>11.8676496046512</v>
      </c>
      <c r="AG69" s="12" t="n">
        <f aca="false">SUMPRODUCT(AG47:AG51,'Unit Economics'!$L$5:$L$9)</f>
        <v>12.8221009130203</v>
      </c>
      <c r="AH69" s="12" t="n">
        <f aca="false">SUMPRODUCT(AH47:AH51,'Unit Economics'!$L$5:$L$9)</f>
        <v>21.7391120501637</v>
      </c>
      <c r="AI69" s="12" t="n">
        <f aca="false">SUMPRODUCT(AI47:AI51,'Unit Economics'!$L$5:$L$9)</f>
        <v>15.9646673831031</v>
      </c>
      <c r="AJ69" s="12" t="n">
        <f aca="false">SUMPRODUCT(AJ47:AJ51,'Unit Economics'!$L$5:$L$9)</f>
        <v>12.8586309876731</v>
      </c>
      <c r="AK69" s="12" t="n">
        <f aca="false">SUMPRODUCT(AK47:AK51,'Unit Economics'!$L$5:$L$9)</f>
        <v>13.883094917743</v>
      </c>
      <c r="AL69" s="12" t="n">
        <f aca="false">SUMPRODUCT(AL47:AL51,'Unit Economics'!$L$5:$L$9)</f>
        <v>14.9725993742586</v>
      </c>
      <c r="AM69" s="12" t="n">
        <f aca="false">SUMPRODUCT(AM47:AM51,'Unit Economics'!$L$5:$L$9)</f>
        <v>16.1164802892473</v>
      </c>
      <c r="AO69" s="12" t="n">
        <f aca="false">SUM(D69:O69)</f>
        <v>90.3336645542523</v>
      </c>
      <c r="AP69" s="12" t="n">
        <f aca="false">SUM(P69:AA69)</f>
        <v>142.007813383197</v>
      </c>
      <c r="AQ69" s="12" t="n">
        <f aca="false">SUM(AB69:AM69)</f>
        <v>193.872003489113</v>
      </c>
    </row>
    <row r="70" customFormat="false" ht="15" hidden="false" customHeight="false" outlineLevel="0" collapsed="false">
      <c r="A70" s="3" t="s">
        <v>1094</v>
      </c>
      <c r="B70" s="20" t="s">
        <v>61</v>
      </c>
      <c r="D70" s="8" t="n">
        <f aca="false">SUM(D62:D69)</f>
        <v>2307.50625906478</v>
      </c>
      <c r="E70" s="8" t="n">
        <f aca="false">SUM(E62:E69)</f>
        <v>3904.81397205842</v>
      </c>
      <c r="F70" s="8" t="n">
        <f aca="false">SUM(F62:F69)</f>
        <v>1415.79500590676</v>
      </c>
      <c r="G70" s="8" t="n">
        <f aca="false">SUM(G62:G69)</f>
        <v>2726.91430870221</v>
      </c>
      <c r="H70" s="8" t="n">
        <f aca="false">SUM(H62:H69)</f>
        <v>1828.9088547259</v>
      </c>
      <c r="I70" s="8" t="n">
        <f aca="false">SUM(I62:I69)</f>
        <v>2001.77056565428</v>
      </c>
      <c r="J70" s="8" t="n">
        <f aca="false">SUM(J62:J69)</f>
        <v>3376.54086223878</v>
      </c>
      <c r="K70" s="8" t="n">
        <f aca="false">SUM(K62:K69)</f>
        <v>2565.34092834642</v>
      </c>
      <c r="L70" s="8" t="n">
        <f aca="false">SUM(L62:L69)</f>
        <v>2136.08198519188</v>
      </c>
      <c r="M70" s="8" t="n">
        <f aca="false">SUM(M62:M69)</f>
        <v>2334.64750046696</v>
      </c>
      <c r="N70" s="8" t="n">
        <f aca="false">SUM(N62:N69)</f>
        <v>2551.09596958502</v>
      </c>
      <c r="O70" s="8" t="n">
        <f aca="false">SUM(O62:O69)</f>
        <v>2784.0266621117</v>
      </c>
      <c r="P70" s="8" t="n">
        <f aca="false">SUM(P62:P69)</f>
        <v>3865.15341844829</v>
      </c>
      <c r="Q70" s="8" t="n">
        <f aca="false">SUM(Q62:Q69)</f>
        <v>6433.42782153123</v>
      </c>
      <c r="R70" s="8" t="n">
        <f aca="false">SUM(R62:R69)</f>
        <v>2209.12472645547</v>
      </c>
      <c r="S70" s="8" t="n">
        <f aca="false">SUM(S62:S69)</f>
        <v>4345.27858137085</v>
      </c>
      <c r="T70" s="8" t="n">
        <f aca="false">SUM(T62:T69)</f>
        <v>2826.66384266738</v>
      </c>
      <c r="U70" s="8" t="n">
        <f aca="false">SUM(U62:U69)</f>
        <v>3066.53197578602</v>
      </c>
      <c r="V70" s="8" t="n">
        <f aca="false">SUM(V62:V69)</f>
        <v>5164.61889180779</v>
      </c>
      <c r="W70" s="8" t="n">
        <f aca="false">SUM(W62:W69)</f>
        <v>3850.60951729568</v>
      </c>
      <c r="X70" s="8" t="n">
        <f aca="false">SUM(X62:X69)</f>
        <v>3145.79535181418</v>
      </c>
      <c r="Y70" s="8" t="n">
        <f aca="false">SUM(Y62:Y69)</f>
        <v>3407.80890231645</v>
      </c>
      <c r="Z70" s="8" t="n">
        <f aca="false">SUM(Z62:Z69)</f>
        <v>3688.780651073</v>
      </c>
      <c r="AA70" s="8" t="n">
        <f aca="false">SUM(AA62:AA69)</f>
        <v>3986.03493885406</v>
      </c>
      <c r="AB70" s="8" t="n">
        <f aca="false">SUM(AB62:AB69)</f>
        <v>5482.52860388691</v>
      </c>
      <c r="AC70" s="8" t="n">
        <f aca="false">SUM(AC62:AC69)</f>
        <v>8964.74748083692</v>
      </c>
      <c r="AD70" s="8" t="n">
        <f aca="false">SUM(AD62:AD69)</f>
        <v>3030.50504506876</v>
      </c>
      <c r="AE70" s="8" t="n">
        <f aca="false">SUM(AE62:AE69)</f>
        <v>5955.32709271508</v>
      </c>
      <c r="AF70" s="8" t="n">
        <f aca="false">SUM(AF62:AF69)</f>
        <v>3829.65282910562</v>
      </c>
      <c r="AG70" s="8" t="n">
        <f aca="false">SUM(AG62:AG69)</f>
        <v>4125.22236275698</v>
      </c>
      <c r="AH70" s="8" t="n">
        <f aca="false">SUM(AH62:AH69)</f>
        <v>6883.75159267568</v>
      </c>
      <c r="AI70" s="8" t="n">
        <f aca="false">SUM(AI62:AI69)</f>
        <v>5097.49822659675</v>
      </c>
      <c r="AJ70" s="8" t="n">
        <f aca="false">SUM(AJ62:AJ69)</f>
        <v>4130.55430648434</v>
      </c>
      <c r="AK70" s="8" t="n">
        <f aca="false">SUM(AK62:AK69)</f>
        <v>4447.45065144896</v>
      </c>
      <c r="AL70" s="8" t="n">
        <f aca="false">SUM(AL62:AL69)</f>
        <v>4784.26985876549</v>
      </c>
      <c r="AM70" s="8" t="n">
        <f aca="false">SUM(AM62:AM69)</f>
        <v>5137.19689632081</v>
      </c>
      <c r="AO70" s="8" t="n">
        <f aca="false">SUM(D70:O70)</f>
        <v>29933.4428740531</v>
      </c>
      <c r="AP70" s="8" t="n">
        <f aca="false">SUM(P70:AA70)</f>
        <v>45989.8286194204</v>
      </c>
      <c r="AQ70" s="8" t="n">
        <f aca="false">SUM(AB70:AM70)</f>
        <v>61868.7049466623</v>
      </c>
    </row>
    <row r="71" customFormat="false" ht="15" hidden="false" customHeight="false" outlineLevel="0" collapsed="false">
      <c r="A71" s="3" t="s">
        <v>24</v>
      </c>
      <c r="B71" s="20" t="s">
        <v>61</v>
      </c>
      <c r="D71" s="8" t="n">
        <f aca="false">D60-D70</f>
        <v>2076.97737670277</v>
      </c>
      <c r="E71" s="8" t="n">
        <f aca="false">E60-E70</f>
        <v>3742.80788961322</v>
      </c>
      <c r="F71" s="8" t="n">
        <f aca="false">F60-F70</f>
        <v>1191.76585653851</v>
      </c>
      <c r="G71" s="8" t="n">
        <f aca="false">G60-G70</f>
        <v>2514.83206630559</v>
      </c>
      <c r="H71" s="8" t="n">
        <f aca="false">H60-H70</f>
        <v>1604.17183717349</v>
      </c>
      <c r="I71" s="8" t="n">
        <f aca="false">I60-I70</f>
        <v>1777.74094553653</v>
      </c>
      <c r="J71" s="8" t="n">
        <f aca="false">J60-J70</f>
        <v>3184.59124380935</v>
      </c>
      <c r="K71" s="8" t="n">
        <f aca="false">K60-K70</f>
        <v>2350.84623554413</v>
      </c>
      <c r="L71" s="8" t="n">
        <f aca="false">L60-L70</f>
        <v>1917.16407476668</v>
      </c>
      <c r="M71" s="8" t="n">
        <f aca="false">M60-M70</f>
        <v>2117.47425585159</v>
      </c>
      <c r="N71" s="8" t="n">
        <f aca="false">N60-N70</f>
        <v>2336.7324262157</v>
      </c>
      <c r="O71" s="8" t="n">
        <f aca="false">O60-O70</f>
        <v>2574.06305023256</v>
      </c>
      <c r="P71" s="8" t="n">
        <f aca="false">P60-P70</f>
        <v>3688.36033046125</v>
      </c>
      <c r="Q71" s="8" t="n">
        <f aca="false">Q60-Q70</f>
        <v>6397.61477334533</v>
      </c>
      <c r="R71" s="8" t="n">
        <f aca="false">R60-R70</f>
        <v>2002.62039361721</v>
      </c>
      <c r="S71" s="8" t="n">
        <f aca="false">S60-S70</f>
        <v>4198.64035500068</v>
      </c>
      <c r="T71" s="8" t="n">
        <f aca="false">T60-T70</f>
        <v>2632.8235776675</v>
      </c>
      <c r="U71" s="8" t="n">
        <f aca="false">U60-U70</f>
        <v>2879.28364241451</v>
      </c>
      <c r="V71" s="8" t="n">
        <f aca="false">V60-V70</f>
        <v>5058.14098148449</v>
      </c>
      <c r="W71" s="8" t="n">
        <f aca="false">W60-W70</f>
        <v>3690.93089289627</v>
      </c>
      <c r="X71" s="8" t="n">
        <f aca="false">X60-X70</f>
        <v>2968.23104379636</v>
      </c>
      <c r="Y71" s="8" t="n">
        <f aca="false">Y60-Y70</f>
        <v>3238.67325589771</v>
      </c>
      <c r="Z71" s="8" t="n">
        <f aca="false">Z60-Z70</f>
        <v>3529.46268679466</v>
      </c>
      <c r="AA71" s="8" t="n">
        <f aca="false">AA60-AA70</f>
        <v>3838.62201093654</v>
      </c>
      <c r="AB71" s="8" t="n">
        <f aca="false">AB60-AB70</f>
        <v>5402.67843795761</v>
      </c>
      <c r="AC71" s="8" t="n">
        <f aca="false">AC60-AC70</f>
        <v>9109.17839353041</v>
      </c>
      <c r="AD71" s="8" t="n">
        <f aca="false">AD60-AD70</f>
        <v>2869.60224182068</v>
      </c>
      <c r="AE71" s="8" t="n">
        <f aca="false">AE60-AE70</f>
        <v>5919.68818899581</v>
      </c>
      <c r="AF71" s="8" t="n">
        <f aca="false">AF60-AF70</f>
        <v>3701.14595816281</v>
      </c>
      <c r="AG71" s="8" t="n">
        <f aca="false">AG60-AG70</f>
        <v>4011.23811785599</v>
      </c>
      <c r="AH71" s="8" t="n">
        <f aca="false">AH60-AH70</f>
        <v>6911.13485219396</v>
      </c>
      <c r="AI71" s="8" t="n">
        <f aca="false">AI60-AI70</f>
        <v>5033.12593007682</v>
      </c>
      <c r="AJ71" s="8" t="n">
        <f aca="false">AJ60-AJ70</f>
        <v>4029.08689238865</v>
      </c>
      <c r="AK71" s="8" t="n">
        <f aca="false">AK60-AK70</f>
        <v>4362.27982197993</v>
      </c>
      <c r="AL71" s="8" t="n">
        <f aca="false">AL60-AL70</f>
        <v>4716.82235124813</v>
      </c>
      <c r="AM71" s="8" t="n">
        <f aca="false">AM60-AM70</f>
        <v>5089.76246467447</v>
      </c>
      <c r="AO71" s="8" t="n">
        <f aca="false">SUM(D71:O71)</f>
        <v>27389.1672582901</v>
      </c>
      <c r="AP71" s="8" t="n">
        <f aca="false">SUM(P71:AA71)</f>
        <v>44123.4039443125</v>
      </c>
      <c r="AQ71" s="8" t="n">
        <f aca="false">SUM(AB71:AM71)</f>
        <v>61155.7436508853</v>
      </c>
    </row>
    <row r="72" customFormat="false" ht="15" hidden="false" customHeight="false" outlineLevel="0" collapsed="false">
      <c r="A72" s="6" t="s">
        <v>1095</v>
      </c>
      <c r="B72" s="20" t="s">
        <v>612</v>
      </c>
      <c r="D72" s="14" t="n">
        <f aca="false">IFERROR(D71/D60,0)</f>
        <v>0.47371082874145</v>
      </c>
      <c r="E72" s="14" t="n">
        <f aca="false">IFERROR(E71/E60,0)</f>
        <v>0.489408074472331</v>
      </c>
      <c r="F72" s="14" t="n">
        <f aca="false">IFERROR(F71/F60,0)</f>
        <v>0.457042393028141</v>
      </c>
      <c r="G72" s="14" t="n">
        <f aca="false">IFERROR(G71/G60,0)</f>
        <v>0.479769887054454</v>
      </c>
      <c r="H72" s="14" t="n">
        <f aca="false">IFERROR(H71/H60,0)</f>
        <v>0.46726889960922</v>
      </c>
      <c r="I72" s="14" t="n">
        <f aca="false">IFERROR(I71/I60,0)</f>
        <v>0.470362622331693</v>
      </c>
      <c r="J72" s="14" t="n">
        <f aca="false">IFERROR(J71/J60,0)</f>
        <v>0.485372218138049</v>
      </c>
      <c r="K72" s="14" t="n">
        <f aca="false">IFERROR(K71/K60,0)</f>
        <v>0.4781848528492</v>
      </c>
      <c r="L72" s="14" t="n">
        <f aca="false">IFERROR(L71/L60,0)</f>
        <v>0.472994742092287</v>
      </c>
      <c r="M72" s="14" t="n">
        <f aca="false">IFERROR(M71/M60,0)</f>
        <v>0.475610140905609</v>
      </c>
      <c r="N72" s="14" t="n">
        <f aca="false">IFERROR(N71/N60,0)</f>
        <v>0.478071699125783</v>
      </c>
      <c r="O72" s="14" t="n">
        <f aca="false">IFERROR(O71/O60,0)</f>
        <v>0.480406859239831</v>
      </c>
      <c r="P72" s="14" t="n">
        <f aca="false">IFERROR(P71/P60,0)</f>
        <v>0.488297294883949</v>
      </c>
      <c r="Q72" s="14" t="n">
        <f aca="false">IFERROR(Q71/Q60,0)</f>
        <v>0.498604437327634</v>
      </c>
      <c r="R72" s="14" t="n">
        <f aca="false">IFERROR(R71/R60,0)</f>
        <v>0.475484706819736</v>
      </c>
      <c r="S72" s="14" t="n">
        <f aca="false">IFERROR(S71/S60,0)</f>
        <v>0.491418561700889</v>
      </c>
      <c r="T72" s="14" t="n">
        <f aca="false">IFERROR(T71/T60,0)</f>
        <v>0.482247393383683</v>
      </c>
      <c r="U72" s="14" t="n">
        <f aca="false">IFERROR(U71/U60,0)</f>
        <v>0.48425377228329</v>
      </c>
      <c r="V72" s="14" t="n">
        <f aca="false">IFERROR(V71/V60,0)</f>
        <v>0.494792115258352</v>
      </c>
      <c r="W72" s="14" t="n">
        <f aca="false">IFERROR(W71/W60,0)</f>
        <v>0.489413394630651</v>
      </c>
      <c r="X72" s="14" t="n">
        <f aca="false">IFERROR(X71/X60,0)</f>
        <v>0.485478938384589</v>
      </c>
      <c r="Y72" s="14" t="n">
        <f aca="false">IFERROR(Y71/Y60,0)</f>
        <v>0.487276303284008</v>
      </c>
      <c r="Z72" s="14" t="n">
        <f aca="false">IFERROR(Z71/Z60,0)</f>
        <v>0.488964214918986</v>
      </c>
      <c r="AA72" s="14" t="n">
        <f aca="false">IFERROR(AA71/AA60,0)</f>
        <v>0.490580230618196</v>
      </c>
      <c r="AB72" s="14" t="n">
        <f aca="false">IFERROR(AB71/AB60,0)</f>
        <v>0.496332170549336</v>
      </c>
      <c r="AC72" s="14" t="n">
        <f aca="false">IFERROR(AC71/AC60,0)</f>
        <v>0.503995560059763</v>
      </c>
      <c r="AD72" s="14" t="n">
        <f aca="false">IFERROR(AD71/AD60,0)</f>
        <v>0.486364417168682</v>
      </c>
      <c r="AE72" s="14" t="n">
        <f aca="false">IFERROR(AE71/AE60,0)</f>
        <v>0.498499416511314</v>
      </c>
      <c r="AF72" s="14" t="n">
        <f aca="false">IFERROR(AF71/AF60,0)</f>
        <v>0.49146791233089</v>
      </c>
      <c r="AG72" s="14" t="n">
        <f aca="false">IFERROR(AG71/AG60,0)</f>
        <v>0.492995464970759</v>
      </c>
      <c r="AH72" s="14" t="n">
        <f aca="false">IFERROR(AH71/AH60,0)</f>
        <v>0.500992514857869</v>
      </c>
      <c r="AI72" s="14" t="n">
        <f aca="false">IFERROR(AI71/AI60,0)</f>
        <v>0.49682288595824</v>
      </c>
      <c r="AJ72" s="14" t="n">
        <f aca="false">IFERROR(AJ71/AJ60,0)</f>
        <v>0.493782360546092</v>
      </c>
      <c r="AK72" s="14" t="n">
        <f aca="false">IFERROR(AK71/AK60,0)</f>
        <v>0.495166093348377</v>
      </c>
      <c r="AL72" s="14" t="n">
        <f aca="false">IFERROR(AL71/AL60,0)</f>
        <v>0.496450539262935</v>
      </c>
      <c r="AM72" s="14" t="n">
        <f aca="false">IFERROR(AM71/AM60,0)</f>
        <v>0.497680912284288</v>
      </c>
      <c r="AO72" s="14" t="n">
        <f aca="false">IFERROR(AO71/AO60,0)</f>
        <v>0.477807399123235</v>
      </c>
      <c r="AP72" s="14" t="n">
        <f aca="false">IFERROR(AP71/AP60,0)</f>
        <v>0.489644003316673</v>
      </c>
      <c r="AQ72" s="14" t="n">
        <f aca="false">IFERROR(AQ71/AQ60,0)</f>
        <v>0.49710235931189</v>
      </c>
    </row>
    <row r="73" customFormat="false" ht="15" hidden="false" customHeight="false" outlineLevel="0" collapsed="false">
      <c r="A73" s="23" t="s">
        <v>1096</v>
      </c>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row>
    <row r="74" customFormat="false" ht="15" hidden="false" customHeight="false" outlineLevel="0" collapsed="false">
      <c r="A74" s="6" t="s">
        <v>1097</v>
      </c>
      <c r="B74" s="20" t="s">
        <v>61</v>
      </c>
      <c r="D74" s="12" t="n">
        <f aca="false">D12+D88</f>
        <v>7571.97960099147</v>
      </c>
      <c r="E74" s="12" t="n">
        <f aca="false">E12+E88</f>
        <v>9579.17739968587</v>
      </c>
      <c r="F74" s="12" t="n">
        <f aca="false">F12+F88</f>
        <v>5577.98129430347</v>
      </c>
      <c r="G74" s="12" t="n">
        <f aca="false">G12+G88</f>
        <v>7571.97960099147</v>
      </c>
      <c r="H74" s="12" t="n">
        <f aca="false">H12+H88</f>
        <v>6075.24341859987</v>
      </c>
      <c r="I74" s="12" t="n">
        <f aca="false">I12+I88</f>
        <v>6241.18078630987</v>
      </c>
      <c r="J74" s="12" t="n">
        <f aca="false">J12+J88</f>
        <v>7905.5959360512</v>
      </c>
      <c r="K74" s="12" t="n">
        <f aca="false">K12+K88</f>
        <v>6739.54286827347</v>
      </c>
      <c r="L74" s="12" t="n">
        <f aca="false">L12+L88</f>
        <v>6075.24341859987</v>
      </c>
      <c r="M74" s="12" t="n">
        <f aca="false">M12+M88</f>
        <v>6241.18078630987</v>
      </c>
      <c r="N74" s="12" t="n">
        <f aca="false">N12+N88</f>
        <v>6407.2098171588</v>
      </c>
      <c r="O74" s="12" t="n">
        <f aca="false">O12+O88</f>
        <v>6573.33051114667</v>
      </c>
      <c r="P74" s="12" t="n">
        <f aca="false">P12+P88</f>
        <v>7571.97960099147</v>
      </c>
      <c r="Q74" s="12" t="n">
        <f aca="false">Q12+Q88</f>
        <v>9579.17739968587</v>
      </c>
      <c r="R74" s="12" t="n">
        <f aca="false">R12+R88</f>
        <v>5577.98129430347</v>
      </c>
      <c r="S74" s="12" t="n">
        <f aca="false">S12+S88</f>
        <v>7571.97960099147</v>
      </c>
      <c r="T74" s="12" t="n">
        <f aca="false">T12+T88</f>
        <v>6075.24341859987</v>
      </c>
      <c r="U74" s="12" t="n">
        <f aca="false">U12+U88</f>
        <v>6241.18078630987</v>
      </c>
      <c r="V74" s="12" t="n">
        <f aca="false">V12+V88</f>
        <v>7905.5959360512</v>
      </c>
      <c r="W74" s="12" t="n">
        <f aca="false">W12+W88</f>
        <v>6739.54286827347</v>
      </c>
      <c r="X74" s="12" t="n">
        <f aca="false">X12+X88</f>
        <v>6075.24341859987</v>
      </c>
      <c r="Y74" s="12" t="n">
        <f aca="false">Y12+Y88</f>
        <v>6241.18078630987</v>
      </c>
      <c r="Z74" s="12" t="n">
        <f aca="false">Z12+Z88</f>
        <v>6407.2098171588</v>
      </c>
      <c r="AA74" s="12" t="n">
        <f aca="false">AA12+AA88</f>
        <v>6573.33051114667</v>
      </c>
      <c r="AB74" s="12" t="n">
        <f aca="false">AB12+AB88</f>
        <v>7571.97960099147</v>
      </c>
      <c r="AC74" s="12" t="n">
        <f aca="false">AC12+AC88</f>
        <v>9579.17739968587</v>
      </c>
      <c r="AD74" s="12" t="n">
        <f aca="false">AD12+AD88</f>
        <v>5577.98129430347</v>
      </c>
      <c r="AE74" s="12" t="n">
        <f aca="false">AE12+AE88</f>
        <v>7571.97960099147</v>
      </c>
      <c r="AF74" s="12" t="n">
        <f aca="false">AF12+AF88</f>
        <v>6075.24341859987</v>
      </c>
      <c r="AG74" s="12" t="n">
        <f aca="false">AG12+AG88</f>
        <v>6241.18078630987</v>
      </c>
      <c r="AH74" s="12" t="n">
        <f aca="false">AH12+AH88</f>
        <v>7905.5959360512</v>
      </c>
      <c r="AI74" s="12" t="n">
        <f aca="false">AI12+AI88</f>
        <v>6739.54286827347</v>
      </c>
      <c r="AJ74" s="12" t="n">
        <f aca="false">AJ12+AJ88</f>
        <v>6075.24341859987</v>
      </c>
      <c r="AK74" s="12" t="n">
        <f aca="false">AK12+AK88</f>
        <v>6241.18078630987</v>
      </c>
      <c r="AL74" s="12" t="n">
        <f aca="false">AL12+AL88</f>
        <v>6407.2098171588</v>
      </c>
      <c r="AM74" s="12" t="n">
        <f aca="false">AM12+AM88</f>
        <v>6573.33051114667</v>
      </c>
      <c r="AO74" s="12" t="n">
        <f aca="false">SUM(D74:O74)</f>
        <v>82559.6454384219</v>
      </c>
      <c r="AP74" s="12" t="n">
        <f aca="false">SUM(P74:AA74)</f>
        <v>82559.6454384219</v>
      </c>
      <c r="AQ74" s="12" t="n">
        <f aca="false">SUM(AB74:AM74)</f>
        <v>82559.6454384219</v>
      </c>
    </row>
    <row r="75" customFormat="false" ht="15" hidden="false" customHeight="false" outlineLevel="0" collapsed="false">
      <c r="A75" s="6" t="s">
        <v>1098</v>
      </c>
      <c r="B75" s="20" t="s">
        <v>61</v>
      </c>
      <c r="D75" s="12" t="n">
        <f aca="false">Opex!D19+Opex!D40</f>
        <v>1089.90795186279</v>
      </c>
      <c r="E75" s="12" t="n">
        <f aca="false">Opex!E19+Opex!E40</f>
        <v>2226.19069212159</v>
      </c>
      <c r="F75" s="12" t="n">
        <f aca="false">Opex!F19+Opex!F40</f>
        <v>1061.77547392863</v>
      </c>
      <c r="G75" s="12" t="n">
        <f aca="false">Opex!G19+Opex!G40</f>
        <v>1161.35932792516</v>
      </c>
      <c r="H75" s="12" t="n">
        <f aca="false">Opex!H19+Opex!H40</f>
        <v>1093.05344066976</v>
      </c>
      <c r="I75" s="12" t="n">
        <f aca="false">Opex!I19+Opex!I40</f>
        <v>1106.13033667124</v>
      </c>
      <c r="J75" s="12" t="n">
        <f aca="false">Opex!J19+Opex!J40</f>
        <v>1268.71499876652</v>
      </c>
      <c r="K75" s="12" t="n">
        <f aca="false">Opex!K19+Opex!K40</f>
        <v>1207.05880640681</v>
      </c>
      <c r="L75" s="12" t="n">
        <f aca="false">Opex!L19+Opex!L40</f>
        <v>1174.44209682296</v>
      </c>
      <c r="M75" s="12" t="n">
        <f aca="false">Opex!M19+Opex!M40</f>
        <v>1189.45009280706</v>
      </c>
      <c r="N75" s="12" t="n">
        <f aca="false">Opex!N19+Opex!N40</f>
        <v>1205.80365198648</v>
      </c>
      <c r="O75" s="12" t="n">
        <f aca="false">Opex!O19+Opex!O40</f>
        <v>1223.39319958938</v>
      </c>
      <c r="P75" s="12" t="n">
        <f aca="false">Opex!P19+Opex!P40</f>
        <v>1513.52902629305</v>
      </c>
      <c r="Q75" s="12" t="n">
        <f aca="false">Opex!Q19+Opex!Q40</f>
        <v>2682.80950716654</v>
      </c>
      <c r="R75" s="12" t="n">
        <f aca="false">Opex!R19+Opex!R40</f>
        <v>1387.92171313916</v>
      </c>
      <c r="S75" s="12" t="n">
        <f aca="false">Opex!S19+Opex!S40</f>
        <v>1549.43982976773</v>
      </c>
      <c r="T75" s="12" t="n">
        <f aca="false">Opex!T19+Opex!T40</f>
        <v>1434.50622755769</v>
      </c>
      <c r="U75" s="12" t="n">
        <f aca="false">Opex!U19+Opex!U40</f>
        <v>1452.59050163536</v>
      </c>
      <c r="V75" s="12" t="n">
        <f aca="false">Opex!V19+Opex!V40</f>
        <v>1636.1192235017</v>
      </c>
      <c r="W75" s="12" t="n">
        <f aca="false">Opex!W19+Opex!W40</f>
        <v>1536.68298472961</v>
      </c>
      <c r="X75" s="12" t="n">
        <f aca="false">Opex!X19+Opex!X40</f>
        <v>1483.37217877739</v>
      </c>
      <c r="Y75" s="12" t="n">
        <f aca="false">Opex!Y19+Opex!Y40</f>
        <v>1503.11110262323</v>
      </c>
      <c r="Z75" s="12" t="n">
        <f aca="false">Opex!Z19+Opex!Z40</f>
        <v>1524.27436992974</v>
      </c>
      <c r="AA75" s="12" t="n">
        <f aca="false">Opex!AA19+Opex!AA40</f>
        <v>1546.65470333252</v>
      </c>
      <c r="AB75" s="12" t="n">
        <f aca="false">Opex!AB19+Opex!AB40</f>
        <v>1659.54818215257</v>
      </c>
      <c r="AC75" s="12" t="n">
        <f aca="false">Opex!AC19+Opex!AC40</f>
        <v>2897.29227168258</v>
      </c>
      <c r="AD75" s="12" t="n">
        <f aca="false">Opex!AD19+Opex!AD40</f>
        <v>1474.28211362731</v>
      </c>
      <c r="AE75" s="12" t="n">
        <f aca="false">Opex!AE19+Opex!AE40</f>
        <v>1694.76041605849</v>
      </c>
      <c r="AF75" s="12" t="n">
        <f aca="false">Opex!AF19+Opex!AF40</f>
        <v>1534.38853379043</v>
      </c>
      <c r="AG75" s="12" t="n">
        <f aca="false">Opex!AG19+Opex!AG40</f>
        <v>1556.60539822144</v>
      </c>
      <c r="AH75" s="12" t="n">
        <f aca="false">Opex!AH19+Opex!AH40</f>
        <v>1764.46923809979</v>
      </c>
      <c r="AI75" s="12" t="n">
        <f aca="false">Opex!AI19+Opex!AI40</f>
        <v>1629.70125349697</v>
      </c>
      <c r="AJ75" s="12" t="n">
        <f aca="false">Opex!AJ19+Opex!AJ40</f>
        <v>1556.78785555483</v>
      </c>
      <c r="AK75" s="12" t="n">
        <f aca="false">Opex!AK19+Opex!AK40</f>
        <v>1580.59613090789</v>
      </c>
      <c r="AL75" s="12" t="n">
        <f aca="false">Opex!AL19+Opex!AL40</f>
        <v>1605.90099323931</v>
      </c>
      <c r="AM75" s="12" t="n">
        <f aca="false">Opex!AM19+Opex!AM40</f>
        <v>1632.40787646743</v>
      </c>
      <c r="AO75" s="12" t="n">
        <f aca="false">SUM(D75:O75)</f>
        <v>15007.2800695584</v>
      </c>
      <c r="AP75" s="12" t="n">
        <f aca="false">SUM(P75:AA75)</f>
        <v>19251.0113684537</v>
      </c>
      <c r="AQ75" s="12" t="n">
        <f aca="false">SUM(AB75:AM75)</f>
        <v>20586.7402632991</v>
      </c>
    </row>
    <row r="76" customFormat="false" ht="15" hidden="false" customHeight="false" outlineLevel="0" collapsed="false">
      <c r="A76" s="6" t="s">
        <v>1099</v>
      </c>
      <c r="B76" s="20" t="s">
        <v>61</v>
      </c>
      <c r="D76" s="12" t="n">
        <f aca="false">Opex!D21+Opex!D41+'R&amp;D'!D13</f>
        <v>56156</v>
      </c>
      <c r="E76" s="12" t="n">
        <f aca="false">Opex!E21+Opex!E41+'R&amp;D'!E13</f>
        <v>46130</v>
      </c>
      <c r="F76" s="12" t="n">
        <f aca="false">Opex!F21+Opex!F41+'R&amp;D'!F13</f>
        <v>18840</v>
      </c>
      <c r="G76" s="12" t="n">
        <f aca="false">Opex!G21+Opex!G41+'R&amp;D'!G13</f>
        <v>6480</v>
      </c>
      <c r="H76" s="12" t="n">
        <f aca="false">Opex!H21+Opex!H41+'R&amp;D'!H13</f>
        <v>0</v>
      </c>
      <c r="I76" s="12" t="n">
        <f aca="false">Opex!I21+Opex!I41+'R&amp;D'!I13</f>
        <v>0</v>
      </c>
      <c r="J76" s="12" t="n">
        <f aca="false">Opex!J21+Opex!J41+'R&amp;D'!J13</f>
        <v>0</v>
      </c>
      <c r="K76" s="12" t="n">
        <f aca="false">Opex!K21+Opex!K41+'R&amp;D'!K13</f>
        <v>0</v>
      </c>
      <c r="L76" s="12" t="n">
        <f aca="false">Opex!L21+Opex!L41+'R&amp;D'!L13</f>
        <v>0</v>
      </c>
      <c r="M76" s="12" t="n">
        <f aca="false">Opex!M21+Opex!M41+'R&amp;D'!M13</f>
        <v>0</v>
      </c>
      <c r="N76" s="12" t="n">
        <f aca="false">Opex!N21+Opex!N41+'R&amp;D'!N13</f>
        <v>0</v>
      </c>
      <c r="O76" s="12" t="n">
        <f aca="false">Opex!O21+Opex!O41+'R&amp;D'!O13</f>
        <v>0</v>
      </c>
      <c r="P76" s="12" t="n">
        <f aca="false">Opex!P21+Opex!P41+'R&amp;D'!P13</f>
        <v>0</v>
      </c>
      <c r="Q76" s="12" t="n">
        <f aca="false">Opex!Q21+Opex!Q41+'R&amp;D'!Q13</f>
        <v>0</v>
      </c>
      <c r="R76" s="12" t="n">
        <f aca="false">Opex!R21+Opex!R41+'R&amp;D'!R13</f>
        <v>0</v>
      </c>
      <c r="S76" s="12" t="n">
        <f aca="false">Opex!S21+Opex!S41+'R&amp;D'!S13</f>
        <v>0</v>
      </c>
      <c r="T76" s="12" t="n">
        <f aca="false">Opex!T21+Opex!T41+'R&amp;D'!T13</f>
        <v>0</v>
      </c>
      <c r="U76" s="12" t="n">
        <f aca="false">Opex!U21+Opex!U41+'R&amp;D'!U13</f>
        <v>0</v>
      </c>
      <c r="V76" s="12" t="n">
        <f aca="false">Opex!V21+Opex!V41+'R&amp;D'!V13</f>
        <v>0</v>
      </c>
      <c r="W76" s="12" t="n">
        <f aca="false">Opex!W21+Opex!W41+'R&amp;D'!W13</f>
        <v>0</v>
      </c>
      <c r="X76" s="12" t="n">
        <f aca="false">Opex!X21+Opex!X41+'R&amp;D'!X13</f>
        <v>0</v>
      </c>
      <c r="Y76" s="12" t="n">
        <f aca="false">Opex!Y21+Opex!Y41+'R&amp;D'!Y13</f>
        <v>0</v>
      </c>
      <c r="Z76" s="12" t="n">
        <f aca="false">Opex!Z21+Opex!Z41+'R&amp;D'!Z13</f>
        <v>0</v>
      </c>
      <c r="AA76" s="12" t="n">
        <f aca="false">Opex!AA21+Opex!AA41+'R&amp;D'!AA13</f>
        <v>0</v>
      </c>
      <c r="AB76" s="12" t="n">
        <f aca="false">Opex!AB21+Opex!AB41+'R&amp;D'!AB13</f>
        <v>0</v>
      </c>
      <c r="AC76" s="12" t="n">
        <f aca="false">Opex!AC21+Opex!AC41+'R&amp;D'!AC13</f>
        <v>0</v>
      </c>
      <c r="AD76" s="12" t="n">
        <f aca="false">Opex!AD21+Opex!AD41+'R&amp;D'!AD13</f>
        <v>0</v>
      </c>
      <c r="AE76" s="12" t="n">
        <f aca="false">Opex!AE21+Opex!AE41+'R&amp;D'!AE13</f>
        <v>0</v>
      </c>
      <c r="AF76" s="12" t="n">
        <f aca="false">Opex!AF21+Opex!AF41+'R&amp;D'!AF13</f>
        <v>0</v>
      </c>
      <c r="AG76" s="12" t="n">
        <f aca="false">Opex!AG21+Opex!AG41+'R&amp;D'!AG13</f>
        <v>0</v>
      </c>
      <c r="AH76" s="12" t="n">
        <f aca="false">Opex!AH21+Opex!AH41+'R&amp;D'!AH13</f>
        <v>0</v>
      </c>
      <c r="AI76" s="12" t="n">
        <f aca="false">Opex!AI21+Opex!AI41+'R&amp;D'!AI13</f>
        <v>0</v>
      </c>
      <c r="AJ76" s="12" t="n">
        <f aca="false">Opex!AJ21+Opex!AJ41+'R&amp;D'!AJ13</f>
        <v>0</v>
      </c>
      <c r="AK76" s="12" t="n">
        <f aca="false">Opex!AK21+Opex!AK41+'R&amp;D'!AK13</f>
        <v>0</v>
      </c>
      <c r="AL76" s="12" t="n">
        <f aca="false">Opex!AL21+Opex!AL41+'R&amp;D'!AL13</f>
        <v>0</v>
      </c>
      <c r="AM76" s="12" t="n">
        <f aca="false">Opex!AM21+Opex!AM41+'R&amp;D'!AM13</f>
        <v>0</v>
      </c>
      <c r="AO76" s="12" t="n">
        <f aca="false">SUM(D76:O76)</f>
        <v>127606</v>
      </c>
      <c r="AP76" s="12" t="n">
        <f aca="false">SUM(P76:AA76)</f>
        <v>0</v>
      </c>
      <c r="AQ76" s="12" t="n">
        <f aca="false">SUM(AB76:AM76)</f>
        <v>0</v>
      </c>
    </row>
    <row r="77" customFormat="false" ht="15" hidden="false" customHeight="false" outlineLevel="0" collapsed="false">
      <c r="A77" s="3" t="s">
        <v>1100</v>
      </c>
      <c r="B77" s="20" t="s">
        <v>61</v>
      </c>
      <c r="D77" s="8" t="n">
        <f aca="false">D71-D74-D75-D76</f>
        <v>-62740.9101761515</v>
      </c>
      <c r="E77" s="8" t="n">
        <f aca="false">E71-E74-E75-E76</f>
        <v>-54192.5602021942</v>
      </c>
      <c r="F77" s="8" t="n">
        <f aca="false">F71-F74-F75-F76</f>
        <v>-24287.9909116936</v>
      </c>
      <c r="G77" s="8" t="n">
        <f aca="false">G71-G74-G75-G76</f>
        <v>-12698.506862611</v>
      </c>
      <c r="H77" s="8" t="n">
        <f aca="false">H71-H74-H75-H76</f>
        <v>-5564.12502209614</v>
      </c>
      <c r="I77" s="8" t="n">
        <f aca="false">I71-I74-I75-I76</f>
        <v>-5569.57017744458</v>
      </c>
      <c r="J77" s="8" t="n">
        <f aca="false">J71-J74-J75-J76</f>
        <v>-5989.71969100837</v>
      </c>
      <c r="K77" s="8" t="n">
        <f aca="false">K71-K74-K75-K76</f>
        <v>-5595.75543913615</v>
      </c>
      <c r="L77" s="8" t="n">
        <f aca="false">L71-L74-L75-L76</f>
        <v>-5332.52144065615</v>
      </c>
      <c r="M77" s="8" t="n">
        <f aca="false">M71-M74-M75-M76</f>
        <v>-5313.15662326534</v>
      </c>
      <c r="N77" s="8" t="n">
        <f aca="false">N71-N74-N75-N76</f>
        <v>-5276.28104292958</v>
      </c>
      <c r="O77" s="8" t="n">
        <f aca="false">O71-O74-O75-O76</f>
        <v>-5222.66066050349</v>
      </c>
      <c r="P77" s="8" t="n">
        <f aca="false">P71-P74-P75-P76</f>
        <v>-5397.14829682327</v>
      </c>
      <c r="Q77" s="8" t="n">
        <f aca="false">Q71-Q74-Q75-Q76</f>
        <v>-5864.37213350708</v>
      </c>
      <c r="R77" s="8" t="n">
        <f aca="false">R71-R74-R75-R76</f>
        <v>-4963.28261382542</v>
      </c>
      <c r="S77" s="8" t="n">
        <f aca="false">S71-S74-S75-S76</f>
        <v>-4922.77907575852</v>
      </c>
      <c r="T77" s="8" t="n">
        <f aca="false">T71-T74-T75-T76</f>
        <v>-4876.92606849005</v>
      </c>
      <c r="U77" s="8" t="n">
        <f aca="false">U71-U74-U75-U76</f>
        <v>-4814.48764553072</v>
      </c>
      <c r="V77" s="8" t="n">
        <f aca="false">V71-V74-V75-V76</f>
        <v>-4483.5741780684</v>
      </c>
      <c r="W77" s="8" t="n">
        <f aca="false">W71-W74-W75-W76</f>
        <v>-4585.29496010681</v>
      </c>
      <c r="X77" s="8" t="n">
        <f aca="false">X71-X74-X75-X76</f>
        <v>-4590.3845535809</v>
      </c>
      <c r="Y77" s="8" t="n">
        <f aca="false">Y71-Y74-Y75-Y76</f>
        <v>-4505.61863303539</v>
      </c>
      <c r="Z77" s="8" t="n">
        <f aca="false">Z71-Z74-Z75-Z76</f>
        <v>-4402.02150029388</v>
      </c>
      <c r="AA77" s="8" t="n">
        <f aca="false">AA71-AA74-AA75-AA76</f>
        <v>-4281.36320354265</v>
      </c>
      <c r="AB77" s="8" t="n">
        <f aca="false">AB71-AB74-AB75-AB76</f>
        <v>-3828.84934518642</v>
      </c>
      <c r="AC77" s="8" t="n">
        <f aca="false">AC71-AC74-AC75-AC76</f>
        <v>-3367.29127783804</v>
      </c>
      <c r="AD77" s="8" t="n">
        <f aca="false">AD71-AD74-AD75-AD76</f>
        <v>-4182.6611661101</v>
      </c>
      <c r="AE77" s="8" t="n">
        <f aca="false">AE71-AE74-AE75-AE76</f>
        <v>-3347.05182805415</v>
      </c>
      <c r="AF77" s="8" t="n">
        <f aca="false">AF71-AF74-AF75-AF76</f>
        <v>-3908.48599422749</v>
      </c>
      <c r="AG77" s="8" t="n">
        <f aca="false">AG71-AG74-AG75-AG76</f>
        <v>-3786.54806667532</v>
      </c>
      <c r="AH77" s="8" t="n">
        <f aca="false">AH71-AH74-AH75-AH76</f>
        <v>-2758.93032195702</v>
      </c>
      <c r="AI77" s="8" t="n">
        <f aca="false">AI71-AI74-AI75-AI76</f>
        <v>-3336.11819169362</v>
      </c>
      <c r="AJ77" s="8" t="n">
        <f aca="false">AJ71-AJ74-AJ75-AJ76</f>
        <v>-3602.94438176605</v>
      </c>
      <c r="AK77" s="8" t="n">
        <f aca="false">AK71-AK74-AK75-AK76</f>
        <v>-3459.49709523783</v>
      </c>
      <c r="AL77" s="8" t="n">
        <f aca="false">AL71-AL74-AL75-AL76</f>
        <v>-3296.28845914998</v>
      </c>
      <c r="AM77" s="8" t="n">
        <f aca="false">AM71-AM74-AM75-AM76</f>
        <v>-3115.97592293962</v>
      </c>
      <c r="AO77" s="8" t="n">
        <f aca="false">SUM(D77:O77)</f>
        <v>-197783.75824969</v>
      </c>
      <c r="AP77" s="8" t="n">
        <f aca="false">SUM(P77:AA77)</f>
        <v>-57687.2528625631</v>
      </c>
      <c r="AQ77" s="8" t="n">
        <f aca="false">SUM(AB77:AM77)</f>
        <v>-41990.6420508356</v>
      </c>
    </row>
    <row r="78" customFormat="false" ht="15" hidden="false" customHeight="false" outlineLevel="0" collapsed="false">
      <c r="A78" s="6" t="s">
        <v>1101</v>
      </c>
      <c r="B78" s="20" t="s">
        <v>612</v>
      </c>
      <c r="D78" s="14" t="n">
        <f aca="false">IFERROR(D77/D60,0)</f>
        <v>-14.3097603704861</v>
      </c>
      <c r="E78" s="14" t="n">
        <f aca="false">IFERROR(E77/E60,0)</f>
        <v>-7.08619766803542</v>
      </c>
      <c r="F78" s="14" t="n">
        <f aca="false">IFERROR(F77/F60,0)</f>
        <v>-9.31444832659334</v>
      </c>
      <c r="G78" s="14" t="n">
        <f aca="false">IFERROR(G77/G60,0)</f>
        <v>-2.42257178316685</v>
      </c>
      <c r="H78" s="14" t="n">
        <f aca="false">IFERROR(H77/H60,0)</f>
        <v>-1.62073820030654</v>
      </c>
      <c r="I78" s="14" t="n">
        <f aca="false">IFERROR(I77/I60,0)</f>
        <v>-1.47362169977616</v>
      </c>
      <c r="J78" s="14" t="n">
        <f aca="false">IFERROR(J77/J60,0)</f>
        <v>-0.912909478760073</v>
      </c>
      <c r="K78" s="14" t="n">
        <f aca="false">IFERROR(K77/K60,0)</f>
        <v>-1.13823075741238</v>
      </c>
      <c r="L78" s="14" t="n">
        <f aca="false">IFERROR(L77/L60,0)</f>
        <v>-1.31561749811722</v>
      </c>
      <c r="M78" s="14" t="n">
        <f aca="false">IFERROR(M77/M60,0)</f>
        <v>-1.19339876896331</v>
      </c>
      <c r="N78" s="14" t="n">
        <f aca="false">IFERROR(N77/N60,0)</f>
        <v>-1.07947346258363</v>
      </c>
      <c r="O78" s="14" t="n">
        <f aca="false">IFERROR(O77/O60,0)</f>
        <v>-0.974724377695887</v>
      </c>
      <c r="P78" s="14" t="n">
        <f aca="false">IFERROR(P77/P60,0)</f>
        <v>-0.71452154271943</v>
      </c>
      <c r="Q78" s="14" t="n">
        <f aca="false">IFERROR(Q77/Q60,0)</f>
        <v>-0.45704564458766</v>
      </c>
      <c r="R78" s="14" t="n">
        <f aca="false">IFERROR(R77/R60,0)</f>
        <v>-1.17843850288352</v>
      </c>
      <c r="S78" s="14" t="n">
        <f aca="false">IFERROR(S77/S60,0)</f>
        <v>-0.576173429595898</v>
      </c>
      <c r="T78" s="14" t="n">
        <f aca="false">IFERROR(T77/T60,0)</f>
        <v>-0.89329376423234</v>
      </c>
      <c r="U78" s="14" t="n">
        <f aca="false">IFERROR(U77/U60,0)</f>
        <v>-0.809727034049502</v>
      </c>
      <c r="V78" s="14" t="n">
        <f aca="false">IFERROR(V77/V60,0)</f>
        <v>-0.438587449342528</v>
      </c>
      <c r="W78" s="14" t="n">
        <f aca="false">IFERROR(W77/W60,0)</f>
        <v>-0.60800509056612</v>
      </c>
      <c r="X78" s="14" t="n">
        <f aca="false">IFERROR(X77/X60,0)</f>
        <v>-0.750795671552299</v>
      </c>
      <c r="Y78" s="14" t="n">
        <f aca="false">IFERROR(Y77/Y60,0)</f>
        <v>-0.677895242292503</v>
      </c>
      <c r="Z78" s="14" t="n">
        <f aca="false">IFERROR(Z77/Z60,0)</f>
        <v>-0.609846647480062</v>
      </c>
      <c r="AA78" s="14" t="n">
        <f aca="false">IFERROR(AA77/AA60,0)</f>
        <v>-0.547163055328225</v>
      </c>
      <c r="AB78" s="14" t="n">
        <f aca="false">IFERROR(AB77/AB60,0)</f>
        <v>-0.35174795761511</v>
      </c>
      <c r="AC78" s="14" t="n">
        <f aca="false">IFERROR(AC77/AC60,0)</f>
        <v>-0.186306577842812</v>
      </c>
      <c r="AD78" s="14" t="n">
        <f aca="false">IFERROR(AD77/AD60,0)</f>
        <v>-0.708912730350572</v>
      </c>
      <c r="AE78" s="14" t="n">
        <f aca="false">IFERROR(AE77/AE60,0)</f>
        <v>-0.281856633330742</v>
      </c>
      <c r="AF78" s="14" t="n">
        <f aca="false">IFERROR(AF77/AF60,0)</f>
        <v>-0.519000189041722</v>
      </c>
      <c r="AG78" s="14" t="n">
        <f aca="false">IFERROR(AG77/AG60,0)</f>
        <v>-0.465380256648165</v>
      </c>
      <c r="AH78" s="14" t="n">
        <f aca="false">IFERROR(AH77/AH60,0)</f>
        <v>-0.199996595331387</v>
      </c>
      <c r="AI78" s="14" t="n">
        <f aca="false">IFERROR(AI77/AI60,0)</f>
        <v>-0.329310232035006</v>
      </c>
      <c r="AJ78" s="14" t="n">
        <f aca="false">IFERROR(AJ77/AJ60,0)</f>
        <v>-0.441556717256598</v>
      </c>
      <c r="AK78" s="14" t="n">
        <f aca="false">IFERROR(AK77/AK60,0)</f>
        <v>-0.392690458087458</v>
      </c>
      <c r="AL78" s="14" t="n">
        <f aca="false">IFERROR(AL77/AL60,0)</f>
        <v>-0.346937845280133</v>
      </c>
      <c r="AM78" s="14" t="n">
        <f aca="false">IFERROR(AM77/AM60,0)</f>
        <v>-0.304682536905708</v>
      </c>
      <c r="AO78" s="14" t="n">
        <f aca="false">IFERROR(AO77/AO60,0)</f>
        <v>-3.45036204375652</v>
      </c>
      <c r="AP78" s="14" t="n">
        <f aca="false">IFERROR(AP77/AP60,0)</f>
        <v>-0.640164060497592</v>
      </c>
      <c r="AQ78" s="14" t="n">
        <f aca="false">IFERROR(AQ77/AQ60,0)</f>
        <v>-0.341319489983658</v>
      </c>
    </row>
    <row r="79" customFormat="false" ht="15" hidden="false" customHeight="false" outlineLevel="0" collapsed="false">
      <c r="A79" s="6" t="s">
        <v>42</v>
      </c>
      <c r="B79" s="20" t="s">
        <v>61</v>
      </c>
      <c r="C79" s="12" t="n">
        <v>0</v>
      </c>
      <c r="D79" s="12" t="n">
        <f aca="false">C79+D77</f>
        <v>-62740.9101761515</v>
      </c>
      <c r="E79" s="12" t="n">
        <f aca="false">D79+E77</f>
        <v>-116933.470378346</v>
      </c>
      <c r="F79" s="12" t="n">
        <f aca="false">E79+F77</f>
        <v>-141221.461290039</v>
      </c>
      <c r="G79" s="12" t="n">
        <f aca="false">F79+G77</f>
        <v>-153919.96815265</v>
      </c>
      <c r="H79" s="12" t="n">
        <f aca="false">G79+H77</f>
        <v>-159484.093174747</v>
      </c>
      <c r="I79" s="12" t="n">
        <f aca="false">H79+I77</f>
        <v>-165053.663352191</v>
      </c>
      <c r="J79" s="12" t="n">
        <f aca="false">I79+J77</f>
        <v>-171043.383043199</v>
      </c>
      <c r="K79" s="12" t="n">
        <f aca="false">J79+K77</f>
        <v>-176639.138482336</v>
      </c>
      <c r="L79" s="12" t="n">
        <f aca="false">K79+L77</f>
        <v>-181971.659922992</v>
      </c>
      <c r="M79" s="12" t="n">
        <f aca="false">L79+M77</f>
        <v>-187284.816546257</v>
      </c>
      <c r="N79" s="12" t="n">
        <f aca="false">M79+N77</f>
        <v>-192561.097589187</v>
      </c>
      <c r="O79" s="12" t="n">
        <f aca="false">N79+O77</f>
        <v>-197783.75824969</v>
      </c>
      <c r="P79" s="12" t="n">
        <f aca="false">O79+P77</f>
        <v>-203180.906546513</v>
      </c>
      <c r="Q79" s="12" t="n">
        <f aca="false">P79+Q77</f>
        <v>-209045.27868002</v>
      </c>
      <c r="R79" s="12" t="n">
        <f aca="false">Q79+R77</f>
        <v>-214008.561293846</v>
      </c>
      <c r="S79" s="12" t="n">
        <f aca="false">R79+S77</f>
        <v>-218931.340369604</v>
      </c>
      <c r="T79" s="12" t="n">
        <f aca="false">S79+T77</f>
        <v>-223808.266438094</v>
      </c>
      <c r="U79" s="12" t="n">
        <f aca="false">T79+U77</f>
        <v>-228622.754083625</v>
      </c>
      <c r="V79" s="12" t="n">
        <f aca="false">U79+V77</f>
        <v>-233106.328261694</v>
      </c>
      <c r="W79" s="12" t="n">
        <f aca="false">V79+W77</f>
        <v>-237691.6232218</v>
      </c>
      <c r="X79" s="12" t="n">
        <f aca="false">W79+X77</f>
        <v>-242282.007775381</v>
      </c>
      <c r="Y79" s="12" t="n">
        <f aca="false">X79+Y77</f>
        <v>-246787.626408417</v>
      </c>
      <c r="Z79" s="12" t="n">
        <f aca="false">Y79+Z77</f>
        <v>-251189.647908711</v>
      </c>
      <c r="AA79" s="12" t="n">
        <f aca="false">Z79+AA77</f>
        <v>-255471.011112253</v>
      </c>
      <c r="AB79" s="12" t="n">
        <f aca="false">AA79+AB77</f>
        <v>-259299.86045744</v>
      </c>
      <c r="AC79" s="12" t="n">
        <f aca="false">AB79+AC77</f>
        <v>-262667.151735278</v>
      </c>
      <c r="AD79" s="12" t="n">
        <f aca="false">AC79+AD77</f>
        <v>-266849.812901388</v>
      </c>
      <c r="AE79" s="12" t="n">
        <f aca="false">AD79+AE77</f>
        <v>-270196.864729442</v>
      </c>
      <c r="AF79" s="12" t="n">
        <f aca="false">AE79+AF77</f>
        <v>-274105.350723669</v>
      </c>
      <c r="AG79" s="12" t="n">
        <f aca="false">AF79+AG77</f>
        <v>-277891.898790345</v>
      </c>
      <c r="AH79" s="12" t="n">
        <f aca="false">AG79+AH77</f>
        <v>-280650.829112302</v>
      </c>
      <c r="AI79" s="12" t="n">
        <f aca="false">AH79+AI77</f>
        <v>-283986.947303995</v>
      </c>
      <c r="AJ79" s="12" t="n">
        <f aca="false">AI79+AJ77</f>
        <v>-287589.891685761</v>
      </c>
      <c r="AK79" s="12" t="n">
        <f aca="false">AJ79+AK77</f>
        <v>-291049.388780999</v>
      </c>
      <c r="AL79" s="12" t="n">
        <f aca="false">AK79+AL77</f>
        <v>-294345.677240149</v>
      </c>
      <c r="AM79" s="12" t="n">
        <f aca="false">AL79+AM77</f>
        <v>-297461.653163089</v>
      </c>
      <c r="AO79" s="12" t="n">
        <f aca="false">O79</f>
        <v>-197783.75824969</v>
      </c>
      <c r="AP79" s="12" t="n">
        <f aca="false">AA79</f>
        <v>-255471.011112253</v>
      </c>
      <c r="AQ79" s="12" t="n">
        <f aca="false">AM79</f>
        <v>-297461.653163089</v>
      </c>
    </row>
    <row r="80" customFormat="false" ht="15" hidden="false" customHeight="false" outlineLevel="0" collapsed="false">
      <c r="A80" s="3" t="s">
        <v>1102</v>
      </c>
      <c r="B80" s="20" t="s">
        <v>61</v>
      </c>
      <c r="C80" s="12" t="n">
        <f aca="false">Inputs!$B$8</f>
        <v>30000</v>
      </c>
      <c r="D80" s="8" t="n">
        <f aca="false">C80+D77</f>
        <v>-32740.9101761515</v>
      </c>
      <c r="E80" s="8" t="n">
        <f aca="false">D80+E77</f>
        <v>-86933.4703783457</v>
      </c>
      <c r="F80" s="8" t="n">
        <f aca="false">E80+F77</f>
        <v>-111221.461290039</v>
      </c>
      <c r="G80" s="8" t="n">
        <f aca="false">F80+G77</f>
        <v>-123919.96815265</v>
      </c>
      <c r="H80" s="8" t="n">
        <f aca="false">G80+H77</f>
        <v>-129484.093174746</v>
      </c>
      <c r="I80" s="8" t="n">
        <f aca="false">H80+I77</f>
        <v>-135053.663352191</v>
      </c>
      <c r="J80" s="8" t="n">
        <f aca="false">I80+J77</f>
        <v>-141043.383043199</v>
      </c>
      <c r="K80" s="8" t="n">
        <f aca="false">J80+K77</f>
        <v>-146639.138482336</v>
      </c>
      <c r="L80" s="8" t="n">
        <f aca="false">K80+L77</f>
        <v>-151971.659922992</v>
      </c>
      <c r="M80" s="8" t="n">
        <f aca="false">L80+M77</f>
        <v>-157284.816546257</v>
      </c>
      <c r="N80" s="8" t="n">
        <f aca="false">M80+N77</f>
        <v>-162561.097589187</v>
      </c>
      <c r="O80" s="8" t="n">
        <f aca="false">N80+O77</f>
        <v>-167783.75824969</v>
      </c>
      <c r="P80" s="8" t="n">
        <f aca="false">O80+P77</f>
        <v>-173180.906546513</v>
      </c>
      <c r="Q80" s="8" t="n">
        <f aca="false">P80+Q77</f>
        <v>-179045.27868002</v>
      </c>
      <c r="R80" s="8" t="n">
        <f aca="false">Q80+R77</f>
        <v>-184008.561293846</v>
      </c>
      <c r="S80" s="8" t="n">
        <f aca="false">R80+S77</f>
        <v>-188931.340369604</v>
      </c>
      <c r="T80" s="8" t="n">
        <f aca="false">S80+T77</f>
        <v>-193808.266438094</v>
      </c>
      <c r="U80" s="8" t="n">
        <f aca="false">T80+U77</f>
        <v>-198622.754083625</v>
      </c>
      <c r="V80" s="8" t="n">
        <f aca="false">U80+V77</f>
        <v>-203106.328261694</v>
      </c>
      <c r="W80" s="8" t="n">
        <f aca="false">V80+W77</f>
        <v>-207691.6232218</v>
      </c>
      <c r="X80" s="8" t="n">
        <f aca="false">W80+X77</f>
        <v>-212282.007775381</v>
      </c>
      <c r="Y80" s="8" t="n">
        <f aca="false">X80+Y77</f>
        <v>-216787.626408417</v>
      </c>
      <c r="Z80" s="8" t="n">
        <f aca="false">Y80+Z77</f>
        <v>-221189.647908711</v>
      </c>
      <c r="AA80" s="8" t="n">
        <f aca="false">Z80+AA77</f>
        <v>-225471.011112253</v>
      </c>
      <c r="AB80" s="8" t="n">
        <f aca="false">AA80+AB77</f>
        <v>-229299.86045744</v>
      </c>
      <c r="AC80" s="8" t="n">
        <f aca="false">AB80+AC77</f>
        <v>-232667.151735278</v>
      </c>
      <c r="AD80" s="8" t="n">
        <f aca="false">AC80+AD77</f>
        <v>-236849.812901388</v>
      </c>
      <c r="AE80" s="8" t="n">
        <f aca="false">AD80+AE77</f>
        <v>-240196.864729442</v>
      </c>
      <c r="AF80" s="8" t="n">
        <f aca="false">AE80+AF77</f>
        <v>-244105.350723669</v>
      </c>
      <c r="AG80" s="8" t="n">
        <f aca="false">AF80+AG77</f>
        <v>-247891.898790345</v>
      </c>
      <c r="AH80" s="8" t="n">
        <f aca="false">AG80+AH77</f>
        <v>-250650.829112302</v>
      </c>
      <c r="AI80" s="8" t="n">
        <f aca="false">AH80+AI77</f>
        <v>-253986.947303995</v>
      </c>
      <c r="AJ80" s="8" t="n">
        <f aca="false">AI80+AJ77</f>
        <v>-257589.891685761</v>
      </c>
      <c r="AK80" s="8" t="n">
        <f aca="false">AJ80+AK77</f>
        <v>-261049.388780999</v>
      </c>
      <c r="AL80" s="8" t="n">
        <f aca="false">AK80+AL77</f>
        <v>-264345.677240149</v>
      </c>
      <c r="AM80" s="8" t="n">
        <f aca="false">AL80+AM77</f>
        <v>-267461.653163089</v>
      </c>
      <c r="AO80" s="8" t="n">
        <f aca="false">O80</f>
        <v>-167783.75824969</v>
      </c>
      <c r="AP80" s="8" t="n">
        <f aca="false">AA80</f>
        <v>-225471.011112253</v>
      </c>
      <c r="AQ80" s="8" t="n">
        <f aca="false">AM80</f>
        <v>-267461.653163089</v>
      </c>
    </row>
    <row r="81" customFormat="false" ht="15" hidden="false" customHeight="false" outlineLevel="0" collapsed="false">
      <c r="A81" s="23" t="s">
        <v>1103</v>
      </c>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row>
    <row r="82" customFormat="false" ht="15" hidden="false" customHeight="false" outlineLevel="0" collapsed="false">
      <c r="A82" s="6" t="s">
        <v>1104</v>
      </c>
      <c r="B82" s="20" t="s">
        <v>61</v>
      </c>
      <c r="D82" s="13" t="n">
        <f aca="false">IFERROR(D74/D40,0)</f>
        <v>49.3150893580613</v>
      </c>
      <c r="E82" s="13" t="n">
        <f aca="false">IFERROR(E74/E40,0)</f>
        <v>36.9413376884051</v>
      </c>
      <c r="F82" s="13" t="n">
        <f aca="false">IFERROR(F74/F40,0)</f>
        <v>67.2964584705898</v>
      </c>
      <c r="G82" s="13" t="n">
        <f aca="false">IFERROR(G74/G40,0)</f>
        <v>45.9556405939488</v>
      </c>
      <c r="H82" s="13" t="n">
        <f aca="false">IFERROR(H74/H40,0)</f>
        <v>58.5001219057555</v>
      </c>
      <c r="I82" s="13" t="n">
        <f aca="false">IFERROR(I74/I40,0)</f>
        <v>55.5795941708923</v>
      </c>
      <c r="J82" s="13" t="n">
        <f aca="false">IFERROR(J74/J40,0)</f>
        <v>40.7564232997385</v>
      </c>
      <c r="K82" s="13" t="n">
        <f aca="false">IFERROR(K74/K40,0)</f>
        <v>48.3553985516071</v>
      </c>
      <c r="L82" s="13" t="n">
        <f aca="false">IFERROR(L74/L40,0)</f>
        <v>54.2697623389359</v>
      </c>
      <c r="M82" s="13" t="n">
        <f aca="false">IFERROR(M74/M40,0)</f>
        <v>51.4903867312828</v>
      </c>
      <c r="N82" s="13" t="n">
        <f aca="false">IFERROR(N74/N40,0)</f>
        <v>48.8419548908398</v>
      </c>
      <c r="O82" s="13" t="n">
        <f aca="false">IFERROR(O74/O40,0)</f>
        <v>46.3824812736006</v>
      </c>
      <c r="P82" s="13" t="n">
        <f aca="false">IFERROR(P74/P40,0)</f>
        <v>37.9635353852799</v>
      </c>
      <c r="Q82" s="13" t="n">
        <f aca="false">IFERROR(Q74/Q40,0)</f>
        <v>27.9124169513954</v>
      </c>
      <c r="R82" s="13" t="n">
        <f aca="false">IFERROR(R74/R40,0)</f>
        <v>55.0212759440868</v>
      </c>
      <c r="S82" s="13" t="n">
        <f aca="false">IFERROR(S74/S40,0)</f>
        <v>36.1054388002628</v>
      </c>
      <c r="T82" s="13" t="n">
        <f aca="false">IFERROR(T74/T40,0)</f>
        <v>47.656571813252</v>
      </c>
      <c r="U82" s="13" t="n">
        <f aca="false">IFERROR(U74/U40,0)</f>
        <v>45.4179133982731</v>
      </c>
      <c r="V82" s="13" t="n">
        <f aca="false">IFERROR(V74/V40,0)</f>
        <v>32.6344143813858</v>
      </c>
      <c r="W82" s="13" t="n">
        <f aca="false">IFERROR(W74/W40,0)</f>
        <v>39.6745699813415</v>
      </c>
      <c r="X82" s="13" t="n">
        <f aca="false">IFERROR(X74/X40,0)</f>
        <v>45.4675802191252</v>
      </c>
      <c r="Y82" s="13" t="n">
        <f aca="false">IFERROR(Y74/Y40,0)</f>
        <v>43.3351972546912</v>
      </c>
      <c r="Z82" s="13" t="n">
        <f aca="false">IFERROR(Z74/Z40,0)</f>
        <v>41.3039182585478</v>
      </c>
      <c r="AA82" s="13" t="n">
        <f aca="false">IFERROR(AA74/AA40,0)</f>
        <v>39.4331264064411</v>
      </c>
      <c r="AB82" s="13" t="n">
        <f aca="false">IFERROR(AB74/AB40,0)</f>
        <v>32.1721608927853</v>
      </c>
      <c r="AC82" s="13" t="n">
        <f aca="false">IFERROR(AC74/AC40,0)</f>
        <v>23.5504229677054</v>
      </c>
      <c r="AD82" s="13" t="n">
        <f aca="false">IFERROR(AD74/AD40,0)</f>
        <v>48.5118689111827</v>
      </c>
      <c r="AE82" s="13" t="n">
        <f aca="false">IFERROR(AE74/AE40,0)</f>
        <v>31.3780650501677</v>
      </c>
      <c r="AF82" s="13" t="n">
        <f aca="false">IFERROR(AF74/AF40,0)</f>
        <v>42.3013651849056</v>
      </c>
      <c r="AG82" s="13" t="n">
        <f aca="false">IFERROR(AG74/AG40,0)</f>
        <v>40.5289764807821</v>
      </c>
      <c r="AH82" s="13" t="n">
        <f aca="false">IFERROR(AH74/AH40,0)</f>
        <v>28.9460378355919</v>
      </c>
      <c r="AI82" s="13" t="n">
        <f aca="false">IFERROR(AI74/AI40,0)</f>
        <v>35.673315817412</v>
      </c>
      <c r="AJ82" s="13" t="n">
        <f aca="false">IFERROR(AJ74/AJ40,0)</f>
        <v>41.3825305823548</v>
      </c>
      <c r="AK82" s="13" t="n">
        <f aca="false">IFERROR(AK74/AK40,0)</f>
        <v>39.6149304184146</v>
      </c>
      <c r="AL82" s="13" t="n">
        <f aca="false">IFERROR(AL74/AL40,0)</f>
        <v>37.9113656704682</v>
      </c>
      <c r="AM82" s="13" t="n">
        <f aca="false">IFERROR(AM74/AM40,0)</f>
        <v>36.3411506087974</v>
      </c>
      <c r="AO82" s="13" t="n">
        <f aca="false">IFERROR(AO74/AO40,0)</f>
        <v>48.1102030868945</v>
      </c>
      <c r="AP82" s="13" t="n">
        <f aca="false">IFERROR(AP74/AP40,0)</f>
        <v>38.7565832844056</v>
      </c>
      <c r="AQ82" s="13" t="n">
        <f aca="false">IFERROR(AQ74/AQ40,0)</f>
        <v>34.2245542580828</v>
      </c>
    </row>
    <row r="83" customFormat="false" ht="15" hidden="false" customHeight="false" outlineLevel="0" collapsed="false">
      <c r="A83" s="6" t="s">
        <v>1105</v>
      </c>
      <c r="B83" s="20" t="s">
        <v>61</v>
      </c>
      <c r="D83" s="12" t="n">
        <f aca="false">SUM(D77)</f>
        <v>-62740.9101761515</v>
      </c>
      <c r="E83" s="12" t="n">
        <f aca="false">SUM(D77:E77)</f>
        <v>-116933.470378346</v>
      </c>
      <c r="F83" s="12" t="n">
        <f aca="false">SUM(D77:F77)</f>
        <v>-141221.461290039</v>
      </c>
      <c r="G83" s="12" t="n">
        <f aca="false">SUM(E77:G77)</f>
        <v>-91179.0579764989</v>
      </c>
      <c r="H83" s="12" t="n">
        <f aca="false">SUM(F77:H77)</f>
        <v>-42550.6227964008</v>
      </c>
      <c r="I83" s="12" t="n">
        <f aca="false">SUM(G77:I77)</f>
        <v>-23832.2020621518</v>
      </c>
      <c r="J83" s="12" t="n">
        <f aca="false">SUM(H77:J77)</f>
        <v>-17123.4148905491</v>
      </c>
      <c r="K83" s="12" t="n">
        <f aca="false">SUM(I77:K77)</f>
        <v>-17155.0453075891</v>
      </c>
      <c r="L83" s="12" t="n">
        <f aca="false">SUM(J77:L77)</f>
        <v>-16917.9965708007</v>
      </c>
      <c r="M83" s="12" t="n">
        <f aca="false">SUM(K77:M77)</f>
        <v>-16241.4335030576</v>
      </c>
      <c r="N83" s="12" t="n">
        <f aca="false">SUM(L77:N77)</f>
        <v>-15921.9591068511</v>
      </c>
      <c r="O83" s="12" t="n">
        <f aca="false">SUM(M77:O77)</f>
        <v>-15812.0983266984</v>
      </c>
      <c r="P83" s="12" t="n">
        <f aca="false">SUM(N77:P77)</f>
        <v>-15896.0900002563</v>
      </c>
      <c r="Q83" s="12" t="n">
        <f aca="false">SUM(O77:Q77)</f>
        <v>-16484.1810908338</v>
      </c>
      <c r="R83" s="12" t="n">
        <f aca="false">SUM(P77:R77)</f>
        <v>-16224.8030441558</v>
      </c>
      <c r="S83" s="12" t="n">
        <f aca="false">SUM(Q77:S77)</f>
        <v>-15750.433823091</v>
      </c>
      <c r="T83" s="12" t="n">
        <f aca="false">SUM(R77:T77)</f>
        <v>-14762.987758074</v>
      </c>
      <c r="U83" s="12" t="n">
        <f aca="false">SUM(S77:U77)</f>
        <v>-14614.1927897793</v>
      </c>
      <c r="V83" s="12" t="n">
        <f aca="false">SUM(T77:V77)</f>
        <v>-14174.9878920892</v>
      </c>
      <c r="W83" s="12" t="n">
        <f aca="false">SUM(U77:W77)</f>
        <v>-13883.3567837059</v>
      </c>
      <c r="X83" s="12" t="n">
        <f aca="false">SUM(V77:X77)</f>
        <v>-13659.2536917561</v>
      </c>
      <c r="Y83" s="12" t="n">
        <f aca="false">SUM(W77:Y77)</f>
        <v>-13681.2981467231</v>
      </c>
      <c r="Z83" s="12" t="n">
        <f aca="false">SUM(X77:Z77)</f>
        <v>-13498.0246869102</v>
      </c>
      <c r="AA83" s="12" t="n">
        <f aca="false">SUM(Y77:AA77)</f>
        <v>-13189.0033368719</v>
      </c>
      <c r="AB83" s="12" t="n">
        <f aca="false">SUM(Z77:AB77)</f>
        <v>-12512.234049023</v>
      </c>
      <c r="AC83" s="12" t="n">
        <f aca="false">SUM(AA77:AC77)</f>
        <v>-11477.5038265671</v>
      </c>
      <c r="AD83" s="12" t="n">
        <f aca="false">SUM(AB77:AD77)</f>
        <v>-11378.8017891346</v>
      </c>
      <c r="AE83" s="12" t="n">
        <f aca="false">SUM(AC77:AE77)</f>
        <v>-10897.0042720023</v>
      </c>
      <c r="AF83" s="12" t="n">
        <f aca="false">SUM(AD77:AF77)</f>
        <v>-11438.1989883917</v>
      </c>
      <c r="AG83" s="12" t="n">
        <f aca="false">SUM(AE77:AG77)</f>
        <v>-11042.0858889569</v>
      </c>
      <c r="AH83" s="12" t="n">
        <f aca="false">SUM(AF77:AH77)</f>
        <v>-10453.9643828598</v>
      </c>
      <c r="AI83" s="12" t="n">
        <f aca="false">SUM(AG77:AI77)</f>
        <v>-9881.59658032596</v>
      </c>
      <c r="AJ83" s="12" t="n">
        <f aca="false">SUM(AH77:AJ77)</f>
        <v>-9697.99289541669</v>
      </c>
      <c r="AK83" s="12" t="n">
        <f aca="false">SUM(AI77:AK77)</f>
        <v>-10398.5596686975</v>
      </c>
      <c r="AL83" s="12" t="n">
        <f aca="false">SUM(AJ77:AL77)</f>
        <v>-10358.7299361539</v>
      </c>
      <c r="AM83" s="12" t="n">
        <f aca="false">SUM(AK77:AM77)</f>
        <v>-9871.76147732743</v>
      </c>
    </row>
    <row r="84" customFormat="false" ht="15" hidden="false" customHeight="false" outlineLevel="0" collapsed="false">
      <c r="A84" s="6" t="s">
        <v>1106</v>
      </c>
      <c r="B84" s="20" t="s">
        <v>562</v>
      </c>
      <c r="D84" s="11" t="str">
        <f aca="false">IF(D77&gt;=0,D6,"")</f>
        <v/>
      </c>
      <c r="E84" s="11" t="str">
        <f aca="false">IF(E77&gt;=0,E6,"")</f>
        <v/>
      </c>
      <c r="F84" s="11" t="str">
        <f aca="false">IF(F77&gt;=0,F6,"")</f>
        <v/>
      </c>
      <c r="G84" s="11" t="str">
        <f aca="false">IF(G77&gt;=0,G6,"")</f>
        <v/>
      </c>
      <c r="H84" s="11" t="str">
        <f aca="false">IF(H77&gt;=0,H6,"")</f>
        <v/>
      </c>
      <c r="I84" s="11" t="str">
        <f aca="false">IF(I77&gt;=0,I6,"")</f>
        <v/>
      </c>
      <c r="J84" s="11" t="str">
        <f aca="false">IF(J77&gt;=0,J6,"")</f>
        <v/>
      </c>
      <c r="K84" s="11" t="str">
        <f aca="false">IF(K77&gt;=0,K6,"")</f>
        <v/>
      </c>
      <c r="L84" s="11" t="str">
        <f aca="false">IF(L77&gt;=0,L6,"")</f>
        <v/>
      </c>
      <c r="M84" s="11" t="str">
        <f aca="false">IF(M77&gt;=0,M6,"")</f>
        <v/>
      </c>
      <c r="N84" s="11" t="str">
        <f aca="false">IF(N77&gt;=0,N6,"")</f>
        <v/>
      </c>
      <c r="O84" s="11" t="str">
        <f aca="false">IF(O77&gt;=0,O6,"")</f>
        <v/>
      </c>
      <c r="P84" s="11" t="str">
        <f aca="false">IF(P77&gt;=0,P6,"")</f>
        <v/>
      </c>
      <c r="Q84" s="11" t="str">
        <f aca="false">IF(Q77&gt;=0,Q6,"")</f>
        <v/>
      </c>
      <c r="R84" s="11" t="str">
        <f aca="false">IF(R77&gt;=0,R6,"")</f>
        <v/>
      </c>
      <c r="S84" s="11" t="str">
        <f aca="false">IF(S77&gt;=0,S6,"")</f>
        <v/>
      </c>
      <c r="T84" s="11" t="str">
        <f aca="false">IF(T77&gt;=0,T6,"")</f>
        <v/>
      </c>
      <c r="U84" s="11" t="str">
        <f aca="false">IF(U77&gt;=0,U6,"")</f>
        <v/>
      </c>
      <c r="V84" s="11" t="str">
        <f aca="false">IF(V77&gt;=0,V6,"")</f>
        <v/>
      </c>
      <c r="W84" s="11" t="str">
        <f aca="false">IF(W77&gt;=0,W6,"")</f>
        <v/>
      </c>
      <c r="X84" s="11" t="str">
        <f aca="false">IF(X77&gt;=0,X6,"")</f>
        <v/>
      </c>
      <c r="Y84" s="11" t="str">
        <f aca="false">IF(Y77&gt;=0,Y6,"")</f>
        <v/>
      </c>
      <c r="Z84" s="11" t="str">
        <f aca="false">IF(Z77&gt;=0,Z6,"")</f>
        <v/>
      </c>
      <c r="AA84" s="11" t="str">
        <f aca="false">IF(AA77&gt;=0,AA6,"")</f>
        <v/>
      </c>
      <c r="AB84" s="11" t="str">
        <f aca="false">IF(AB77&gt;=0,AB6,"")</f>
        <v/>
      </c>
      <c r="AC84" s="11" t="str">
        <f aca="false">IF(AC77&gt;=0,AC6,"")</f>
        <v/>
      </c>
      <c r="AD84" s="11" t="str">
        <f aca="false">IF(AD77&gt;=0,AD6,"")</f>
        <v/>
      </c>
      <c r="AE84" s="11" t="str">
        <f aca="false">IF(AE77&gt;=0,AE6,"")</f>
        <v/>
      </c>
      <c r="AF84" s="11" t="str">
        <f aca="false">IF(AF77&gt;=0,AF6,"")</f>
        <v/>
      </c>
      <c r="AG84" s="11" t="str">
        <f aca="false">IF(AG77&gt;=0,AG6,"")</f>
        <v/>
      </c>
      <c r="AH84" s="11" t="str">
        <f aca="false">IF(AH77&gt;=0,AH6,"")</f>
        <v/>
      </c>
      <c r="AI84" s="11" t="str">
        <f aca="false">IF(AI77&gt;=0,AI6,"")</f>
        <v/>
      </c>
      <c r="AJ84" s="11" t="str">
        <f aca="false">IF(AJ77&gt;=0,AJ6,"")</f>
        <v/>
      </c>
      <c r="AK84" s="11" t="str">
        <f aca="false">IF(AK77&gt;=0,AK6,"")</f>
        <v/>
      </c>
      <c r="AL84" s="11" t="str">
        <f aca="false">IF(AL77&gt;=0,AL6,"")</f>
        <v/>
      </c>
      <c r="AM84" s="11" t="str">
        <f aca="false">IF(AM77&gt;=0,AM6,"")</f>
        <v/>
      </c>
    </row>
    <row r="85" customFormat="false" ht="15" hidden="false" customHeight="false" outlineLevel="0" collapsed="false">
      <c r="A85" s="6" t="s">
        <v>1107</v>
      </c>
      <c r="B85" s="20" t="s">
        <v>562</v>
      </c>
      <c r="D85" s="11" t="str">
        <f aca="false">IF(MIN(D83:$AM83)&gt;=0,D6,"")</f>
        <v/>
      </c>
      <c r="E85" s="11" t="str">
        <f aca="false">IF(MIN(E83:$AM83)&gt;=0,E6,"")</f>
        <v/>
      </c>
      <c r="F85" s="11" t="str">
        <f aca="false">IF(MIN(F83:$AM83)&gt;=0,F6,"")</f>
        <v/>
      </c>
      <c r="G85" s="11" t="str">
        <f aca="false">IF(MIN(G83:$AM83)&gt;=0,G6,"")</f>
        <v/>
      </c>
      <c r="H85" s="11" t="str">
        <f aca="false">IF(MIN(H83:$AM83)&gt;=0,H6,"")</f>
        <v/>
      </c>
      <c r="I85" s="11" t="str">
        <f aca="false">IF(MIN(I83:$AM83)&gt;=0,I6,"")</f>
        <v/>
      </c>
      <c r="J85" s="11" t="str">
        <f aca="false">IF(MIN(J83:$AM83)&gt;=0,J6,"")</f>
        <v/>
      </c>
      <c r="K85" s="11" t="str">
        <f aca="false">IF(MIN(K83:$AM83)&gt;=0,K6,"")</f>
        <v/>
      </c>
      <c r="L85" s="11" t="str">
        <f aca="false">IF(MIN(L83:$AM83)&gt;=0,L6,"")</f>
        <v/>
      </c>
      <c r="M85" s="11" t="str">
        <f aca="false">IF(MIN(M83:$AM83)&gt;=0,M6,"")</f>
        <v/>
      </c>
      <c r="N85" s="11" t="str">
        <f aca="false">IF(MIN(N83:$AM83)&gt;=0,N6,"")</f>
        <v/>
      </c>
      <c r="O85" s="11" t="str">
        <f aca="false">IF(MIN(O83:$AM83)&gt;=0,O6,"")</f>
        <v/>
      </c>
      <c r="P85" s="11" t="str">
        <f aca="false">IF(MIN(P83:$AM83)&gt;=0,P6,"")</f>
        <v/>
      </c>
      <c r="Q85" s="11" t="str">
        <f aca="false">IF(MIN(Q83:$AM83)&gt;=0,Q6,"")</f>
        <v/>
      </c>
      <c r="R85" s="11" t="str">
        <f aca="false">IF(MIN(R83:$AM83)&gt;=0,R6,"")</f>
        <v/>
      </c>
      <c r="S85" s="11" t="str">
        <f aca="false">IF(MIN(S83:$AM83)&gt;=0,S6,"")</f>
        <v/>
      </c>
      <c r="T85" s="11" t="str">
        <f aca="false">IF(MIN(T83:$AM83)&gt;=0,T6,"")</f>
        <v/>
      </c>
      <c r="U85" s="11" t="str">
        <f aca="false">IF(MIN(U83:$AM83)&gt;=0,U6,"")</f>
        <v/>
      </c>
      <c r="V85" s="11" t="str">
        <f aca="false">IF(MIN(V83:$AM83)&gt;=0,V6,"")</f>
        <v/>
      </c>
      <c r="W85" s="11" t="str">
        <f aca="false">IF(MIN(W83:$AM83)&gt;=0,W6,"")</f>
        <v/>
      </c>
      <c r="X85" s="11" t="str">
        <f aca="false">IF(MIN(X83:$AM83)&gt;=0,X6,"")</f>
        <v/>
      </c>
      <c r="Y85" s="11" t="str">
        <f aca="false">IF(MIN(Y83:$AM83)&gt;=0,Y6,"")</f>
        <v/>
      </c>
      <c r="Z85" s="11" t="str">
        <f aca="false">IF(MIN(Z83:$AM83)&gt;=0,Z6,"")</f>
        <v/>
      </c>
      <c r="AA85" s="11" t="str">
        <f aca="false">IF(MIN(AA83:$AM83)&gt;=0,AA6,"")</f>
        <v/>
      </c>
      <c r="AB85" s="11" t="str">
        <f aca="false">IF(MIN(AB83:$AM83)&gt;=0,AB6,"")</f>
        <v/>
      </c>
      <c r="AC85" s="11" t="str">
        <f aca="false">IF(MIN(AC83:$AM83)&gt;=0,AC6,"")</f>
        <v/>
      </c>
      <c r="AD85" s="11" t="str">
        <f aca="false">IF(MIN(AD83:$AM83)&gt;=0,AD6,"")</f>
        <v/>
      </c>
      <c r="AE85" s="11" t="str">
        <f aca="false">IF(MIN(AE83:$AM83)&gt;=0,AE6,"")</f>
        <v/>
      </c>
      <c r="AF85" s="11" t="str">
        <f aca="false">IF(MIN(AF83:$AM83)&gt;=0,AF6,"")</f>
        <v/>
      </c>
      <c r="AG85" s="11" t="str">
        <f aca="false">IF(MIN(AG83:$AM83)&gt;=0,AG6,"")</f>
        <v/>
      </c>
      <c r="AH85" s="11" t="str">
        <f aca="false">IF(MIN(AH83:$AM83)&gt;=0,AH6,"")</f>
        <v/>
      </c>
      <c r="AI85" s="11" t="str">
        <f aca="false">IF(MIN(AI83:$AM83)&gt;=0,AI6,"")</f>
        <v/>
      </c>
      <c r="AJ85" s="11" t="str">
        <f aca="false">IF(MIN(AJ83:$AM83)&gt;=0,AJ6,"")</f>
        <v/>
      </c>
      <c r="AK85" s="11" t="str">
        <f aca="false">IF(MIN(AK83:$AM83)&gt;=0,AK6,"")</f>
        <v/>
      </c>
      <c r="AL85" s="11" t="str">
        <f aca="false">IF(MIN(AL83:$AM83)&gt;=0,AL6,"")</f>
        <v/>
      </c>
      <c r="AM85" s="11" t="str">
        <f aca="false">IF(MIN(AM83:$AM83)&gt;=0,AM6,"")</f>
        <v/>
      </c>
    </row>
    <row r="86" customFormat="false" ht="15" hidden="false" customHeight="false" outlineLevel="0" collapsed="false">
      <c r="A86" s="6" t="s">
        <v>1108</v>
      </c>
      <c r="B86" s="20" t="s">
        <v>562</v>
      </c>
      <c r="D86" s="11" t="str">
        <f aca="false">IF(D79&gt;=0,D6,"")</f>
        <v/>
      </c>
      <c r="E86" s="11" t="str">
        <f aca="false">IF(E79&gt;=0,E6,"")</f>
        <v/>
      </c>
      <c r="F86" s="11" t="str">
        <f aca="false">IF(F79&gt;=0,F6,"")</f>
        <v/>
      </c>
      <c r="G86" s="11" t="str">
        <f aca="false">IF(G79&gt;=0,G6,"")</f>
        <v/>
      </c>
      <c r="H86" s="11" t="str">
        <f aca="false">IF(H79&gt;=0,H6,"")</f>
        <v/>
      </c>
      <c r="I86" s="11" t="str">
        <f aca="false">IF(I79&gt;=0,I6,"")</f>
        <v/>
      </c>
      <c r="J86" s="11" t="str">
        <f aca="false">IF(J79&gt;=0,J6,"")</f>
        <v/>
      </c>
      <c r="K86" s="11" t="str">
        <f aca="false">IF(K79&gt;=0,K6,"")</f>
        <v/>
      </c>
      <c r="L86" s="11" t="str">
        <f aca="false">IF(L79&gt;=0,L6,"")</f>
        <v/>
      </c>
      <c r="M86" s="11" t="str">
        <f aca="false">IF(M79&gt;=0,M6,"")</f>
        <v/>
      </c>
      <c r="N86" s="11" t="str">
        <f aca="false">IF(N79&gt;=0,N6,"")</f>
        <v/>
      </c>
      <c r="O86" s="11" t="str">
        <f aca="false">IF(O79&gt;=0,O6,"")</f>
        <v/>
      </c>
      <c r="P86" s="11" t="str">
        <f aca="false">IF(P79&gt;=0,P6,"")</f>
        <v/>
      </c>
      <c r="Q86" s="11" t="str">
        <f aca="false">IF(Q79&gt;=0,Q6,"")</f>
        <v/>
      </c>
      <c r="R86" s="11" t="str">
        <f aca="false">IF(R79&gt;=0,R6,"")</f>
        <v/>
      </c>
      <c r="S86" s="11" t="str">
        <f aca="false">IF(S79&gt;=0,S6,"")</f>
        <v/>
      </c>
      <c r="T86" s="11" t="str">
        <f aca="false">IF(T79&gt;=0,T6,"")</f>
        <v/>
      </c>
      <c r="U86" s="11" t="str">
        <f aca="false">IF(U79&gt;=0,U6,"")</f>
        <v/>
      </c>
      <c r="V86" s="11" t="str">
        <f aca="false">IF(V79&gt;=0,V6,"")</f>
        <v/>
      </c>
      <c r="W86" s="11" t="str">
        <f aca="false">IF(W79&gt;=0,W6,"")</f>
        <v/>
      </c>
      <c r="X86" s="11" t="str">
        <f aca="false">IF(X79&gt;=0,X6,"")</f>
        <v/>
      </c>
      <c r="Y86" s="11" t="str">
        <f aca="false">IF(Y79&gt;=0,Y6,"")</f>
        <v/>
      </c>
      <c r="Z86" s="11" t="str">
        <f aca="false">IF(Z79&gt;=0,Z6,"")</f>
        <v/>
      </c>
      <c r="AA86" s="11" t="str">
        <f aca="false">IF(AA79&gt;=0,AA6,"")</f>
        <v/>
      </c>
      <c r="AB86" s="11" t="str">
        <f aca="false">IF(AB79&gt;=0,AB6,"")</f>
        <v/>
      </c>
      <c r="AC86" s="11" t="str">
        <f aca="false">IF(AC79&gt;=0,AC6,"")</f>
        <v/>
      </c>
      <c r="AD86" s="11" t="str">
        <f aca="false">IF(AD79&gt;=0,AD6,"")</f>
        <v/>
      </c>
      <c r="AE86" s="11" t="str">
        <f aca="false">IF(AE79&gt;=0,AE6,"")</f>
        <v/>
      </c>
      <c r="AF86" s="11" t="str">
        <f aca="false">IF(AF79&gt;=0,AF6,"")</f>
        <v/>
      </c>
      <c r="AG86" s="11" t="str">
        <f aca="false">IF(AG79&gt;=0,AG6,"")</f>
        <v/>
      </c>
      <c r="AH86" s="11" t="str">
        <f aca="false">IF(AH79&gt;=0,AH6,"")</f>
        <v/>
      </c>
      <c r="AI86" s="11" t="str">
        <f aca="false">IF(AI79&gt;=0,AI6,"")</f>
        <v/>
      </c>
      <c r="AJ86" s="11" t="str">
        <f aca="false">IF(AJ79&gt;=0,AJ6,"")</f>
        <v/>
      </c>
      <c r="AK86" s="11" t="str">
        <f aca="false">IF(AK79&gt;=0,AK6,"")</f>
        <v/>
      </c>
      <c r="AL86" s="11" t="str">
        <f aca="false">IF(AL79&gt;=0,AL6,"")</f>
        <v/>
      </c>
      <c r="AM86" s="11" t="str">
        <f aca="false">IF(AM79&gt;=0,AM6,"")</f>
        <v/>
      </c>
    </row>
    <row r="87" customFormat="false" ht="15" hidden="false" customHeight="false" outlineLevel="0" collapsed="false">
      <c r="A87" s="52" t="s">
        <v>1109</v>
      </c>
      <c r="B87" s="54" t="s">
        <v>766</v>
      </c>
      <c r="D87" s="79" t="n">
        <f aca="false">D24*'Unit Economics'!$E$19*Inputs!$H$61*D37*Inputs!$B$293</f>
        <v>19.7493333333333</v>
      </c>
      <c r="E87" s="79" t="n">
        <f aca="false">E24*'Unit Economics'!$E$19*Inputs!$H$61*E37*Inputs!$B$293</f>
        <v>31.3973333333333</v>
      </c>
      <c r="F87" s="79" t="n">
        <f aca="false">F24*'Unit Economics'!$E$19*Inputs!$H$61*F37*Inputs!$B$293</f>
        <v>10.7893333333333</v>
      </c>
      <c r="G87" s="79" t="n">
        <f aca="false">G24*'Unit Economics'!$E$19*Inputs!$H$61*G37*Inputs!$B$293</f>
        <v>19.7493333333333</v>
      </c>
      <c r="H87" s="79" t="n">
        <f aca="false">H24*'Unit Economics'!$E$19*Inputs!$H$61*H37*Inputs!$B$293</f>
        <v>12.7773333333333</v>
      </c>
      <c r="I87" s="79" t="n">
        <f aca="false">I24*'Unit Economics'!$E$19*Inputs!$H$61*I37*Inputs!$B$293</f>
        <v>13.4773333333333</v>
      </c>
      <c r="J87" s="79" t="n">
        <f aca="false">J24*'Unit Economics'!$E$19*Inputs!$H$61*J37*Inputs!$B$293</f>
        <v>21.504</v>
      </c>
      <c r="K87" s="79" t="n">
        <f aca="false">K24*'Unit Economics'!$E$19*Inputs!$H$61*K37*Inputs!$B$293</f>
        <v>15.6893333333333</v>
      </c>
      <c r="L87" s="79" t="n">
        <f aca="false">L24*'Unit Economics'!$E$19*Inputs!$H$61*L37*Inputs!$B$293</f>
        <v>12.7773333333333</v>
      </c>
      <c r="M87" s="79" t="n">
        <f aca="false">M24*'Unit Economics'!$E$19*Inputs!$H$61*M37*Inputs!$B$293</f>
        <v>13.4773333333333</v>
      </c>
      <c r="N87" s="79" t="n">
        <f aca="false">N24*'Unit Economics'!$E$19*Inputs!$H$61*N37*Inputs!$B$293</f>
        <v>14.196</v>
      </c>
      <c r="O87" s="79" t="n">
        <f aca="false">O24*'Unit Economics'!$E$19*Inputs!$H$61*O37*Inputs!$B$293</f>
        <v>14.9333333333333</v>
      </c>
      <c r="P87" s="79" t="n">
        <f aca="false">P24*'Unit Economics'!$E$19*Inputs!$H$61*P37*Inputs!$B$293</f>
        <v>19.7493333333333</v>
      </c>
      <c r="Q87" s="79" t="n">
        <f aca="false">Q24*'Unit Economics'!$E$19*Inputs!$H$61*Q37*Inputs!$B$293</f>
        <v>31.3973333333333</v>
      </c>
      <c r="R87" s="79" t="n">
        <f aca="false">R24*'Unit Economics'!$E$19*Inputs!$H$61*R37*Inputs!$B$293</f>
        <v>10.7893333333333</v>
      </c>
      <c r="S87" s="79" t="n">
        <f aca="false">S24*'Unit Economics'!$E$19*Inputs!$H$61*S37*Inputs!$B$293</f>
        <v>19.7493333333333</v>
      </c>
      <c r="T87" s="79" t="n">
        <f aca="false">T24*'Unit Economics'!$E$19*Inputs!$H$61*T37*Inputs!$B$293</f>
        <v>12.7773333333333</v>
      </c>
      <c r="U87" s="79" t="n">
        <f aca="false">U24*'Unit Economics'!$E$19*Inputs!$H$61*U37*Inputs!$B$293</f>
        <v>13.4773333333333</v>
      </c>
      <c r="V87" s="79" t="n">
        <f aca="false">V24*'Unit Economics'!$E$19*Inputs!$H$61*V37*Inputs!$B$293</f>
        <v>21.504</v>
      </c>
      <c r="W87" s="79" t="n">
        <f aca="false">W24*'Unit Economics'!$E$19*Inputs!$H$61*W37*Inputs!$B$293</f>
        <v>15.6893333333333</v>
      </c>
      <c r="X87" s="79" t="n">
        <f aca="false">X24*'Unit Economics'!$E$19*Inputs!$H$61*X37*Inputs!$B$293</f>
        <v>12.7773333333333</v>
      </c>
      <c r="Y87" s="79" t="n">
        <f aca="false">Y24*'Unit Economics'!$E$19*Inputs!$H$61*Y37*Inputs!$B$293</f>
        <v>13.4773333333333</v>
      </c>
      <c r="Z87" s="79" t="n">
        <f aca="false">Z24*'Unit Economics'!$E$19*Inputs!$H$61*Z37*Inputs!$B$293</f>
        <v>14.196</v>
      </c>
      <c r="AA87" s="79" t="n">
        <f aca="false">AA24*'Unit Economics'!$E$19*Inputs!$H$61*AA37*Inputs!$B$293</f>
        <v>14.9333333333333</v>
      </c>
      <c r="AB87" s="79" t="n">
        <f aca="false">AB24*'Unit Economics'!$E$19*Inputs!$H$61*AB37*Inputs!$B$293</f>
        <v>19.7493333333333</v>
      </c>
      <c r="AC87" s="79" t="n">
        <f aca="false">AC24*'Unit Economics'!$E$19*Inputs!$H$61*AC37*Inputs!$B$293</f>
        <v>31.3973333333333</v>
      </c>
      <c r="AD87" s="79" t="n">
        <f aca="false">AD24*'Unit Economics'!$E$19*Inputs!$H$61*AD37*Inputs!$B$293</f>
        <v>10.7893333333333</v>
      </c>
      <c r="AE87" s="79" t="n">
        <f aca="false">AE24*'Unit Economics'!$E$19*Inputs!$H$61*AE37*Inputs!$B$293</f>
        <v>19.7493333333333</v>
      </c>
      <c r="AF87" s="79" t="n">
        <f aca="false">AF24*'Unit Economics'!$E$19*Inputs!$H$61*AF37*Inputs!$B$293</f>
        <v>12.7773333333333</v>
      </c>
      <c r="AG87" s="79" t="n">
        <f aca="false">AG24*'Unit Economics'!$E$19*Inputs!$H$61*AG37*Inputs!$B$293</f>
        <v>13.4773333333333</v>
      </c>
      <c r="AH87" s="79" t="n">
        <f aca="false">AH24*'Unit Economics'!$E$19*Inputs!$H$61*AH37*Inputs!$B$293</f>
        <v>21.504</v>
      </c>
      <c r="AI87" s="79" t="n">
        <f aca="false">AI24*'Unit Economics'!$E$19*Inputs!$H$61*AI37*Inputs!$B$293</f>
        <v>15.6893333333333</v>
      </c>
      <c r="AJ87" s="79" t="n">
        <f aca="false">AJ24*'Unit Economics'!$E$19*Inputs!$H$61*AJ37*Inputs!$B$293</f>
        <v>12.7773333333333</v>
      </c>
      <c r="AK87" s="79" t="n">
        <f aca="false">AK24*'Unit Economics'!$E$19*Inputs!$H$61*AK37*Inputs!$B$293</f>
        <v>13.4773333333333</v>
      </c>
      <c r="AL87" s="79" t="n">
        <f aca="false">AL24*'Unit Economics'!$E$19*Inputs!$H$61*AL37*Inputs!$B$293</f>
        <v>14.196</v>
      </c>
      <c r="AM87" s="79" t="n">
        <f aca="false">AM24*'Unit Economics'!$E$19*Inputs!$H$61*AM37*Inputs!$B$293</f>
        <v>14.9333333333333</v>
      </c>
      <c r="AO87" s="80" t="n">
        <f aca="false">SUM(D87:O87)</f>
        <v>200.517333333333</v>
      </c>
      <c r="AP87" s="80" t="n">
        <f aca="false">SUM(P87:AA87)</f>
        <v>200.517333333333</v>
      </c>
      <c r="AQ87" s="80" t="n">
        <f aca="false">SUM(AB87:AM87)</f>
        <v>200.517333333333</v>
      </c>
    </row>
    <row r="88" customFormat="false" ht="15" hidden="false" customHeight="false" outlineLevel="0" collapsed="false">
      <c r="A88" s="52" t="s">
        <v>1110</v>
      </c>
      <c r="B88" s="54" t="s">
        <v>61</v>
      </c>
      <c r="D88" s="80" t="n">
        <f aca="false">D87*Inputs!$B$9*'Unit Economics'!$B$10*(Inputs!$B$291+(1-Inputs!$B$291)*Inputs!$B$292)</f>
        <v>96.9796009914667</v>
      </c>
      <c r="E88" s="80" t="n">
        <f aca="false">E87*Inputs!$B$9*'Unit Economics'!$B$10*(Inputs!$B$291+(1-Inputs!$B$291)*Inputs!$B$292)</f>
        <v>154.177399685867</v>
      </c>
      <c r="F88" s="80" t="n">
        <f aca="false">F87*Inputs!$B$9*'Unit Economics'!$B$10*(Inputs!$B$291+(1-Inputs!$B$291)*Inputs!$B$292)</f>
        <v>52.9812943034667</v>
      </c>
      <c r="G88" s="80" t="n">
        <f aca="false">G87*Inputs!$B$9*'Unit Economics'!$B$10*(Inputs!$B$291+(1-Inputs!$B$291)*Inputs!$B$292)</f>
        <v>96.9796009914667</v>
      </c>
      <c r="H88" s="80" t="n">
        <f aca="false">H87*Inputs!$B$9*'Unit Economics'!$B$10*(Inputs!$B$291+(1-Inputs!$B$291)*Inputs!$B$292)</f>
        <v>62.7434185998667</v>
      </c>
      <c r="I88" s="80" t="n">
        <f aca="false">I87*Inputs!$B$9*'Unit Economics'!$B$10*(Inputs!$B$291+(1-Inputs!$B$291)*Inputs!$B$292)</f>
        <v>66.1807863098667</v>
      </c>
      <c r="J88" s="80" t="n">
        <f aca="false">J87*Inputs!$B$9*'Unit Economics'!$B$10*(Inputs!$B$291+(1-Inputs!$B$291)*Inputs!$B$292)</f>
        <v>105.5959360512</v>
      </c>
      <c r="K88" s="80" t="n">
        <f aca="false">K87*Inputs!$B$9*'Unit Economics'!$B$10*(Inputs!$B$291+(1-Inputs!$B$291)*Inputs!$B$292)</f>
        <v>77.0428682734666</v>
      </c>
      <c r="L88" s="80" t="n">
        <f aca="false">L87*Inputs!$B$9*'Unit Economics'!$B$10*(Inputs!$B$291+(1-Inputs!$B$291)*Inputs!$B$292)</f>
        <v>62.7434185998667</v>
      </c>
      <c r="M88" s="80" t="n">
        <f aca="false">M87*Inputs!$B$9*'Unit Economics'!$B$10*(Inputs!$B$291+(1-Inputs!$B$291)*Inputs!$B$292)</f>
        <v>66.1807863098667</v>
      </c>
      <c r="N88" s="80" t="n">
        <f aca="false">N87*Inputs!$B$9*'Unit Economics'!$B$10*(Inputs!$B$291+(1-Inputs!$B$291)*Inputs!$B$292)</f>
        <v>69.7098171588</v>
      </c>
      <c r="O88" s="80" t="n">
        <f aca="false">O87*Inputs!$B$9*'Unit Economics'!$B$10*(Inputs!$B$291+(1-Inputs!$B$291)*Inputs!$B$292)</f>
        <v>73.3305111466667</v>
      </c>
      <c r="P88" s="80" t="n">
        <f aca="false">P87*Inputs!$B$9*'Unit Economics'!$B$10*(Inputs!$B$291+(1-Inputs!$B$291)*Inputs!$B$292)</f>
        <v>96.9796009914667</v>
      </c>
      <c r="Q88" s="80" t="n">
        <f aca="false">Q87*Inputs!$B$9*'Unit Economics'!$B$10*(Inputs!$B$291+(1-Inputs!$B$291)*Inputs!$B$292)</f>
        <v>154.177399685867</v>
      </c>
      <c r="R88" s="80" t="n">
        <f aca="false">R87*Inputs!$B$9*'Unit Economics'!$B$10*(Inputs!$B$291+(1-Inputs!$B$291)*Inputs!$B$292)</f>
        <v>52.9812943034667</v>
      </c>
      <c r="S88" s="80" t="n">
        <f aca="false">S87*Inputs!$B$9*'Unit Economics'!$B$10*(Inputs!$B$291+(1-Inputs!$B$291)*Inputs!$B$292)</f>
        <v>96.9796009914667</v>
      </c>
      <c r="T88" s="80" t="n">
        <f aca="false">T87*Inputs!$B$9*'Unit Economics'!$B$10*(Inputs!$B$291+(1-Inputs!$B$291)*Inputs!$B$292)</f>
        <v>62.7434185998667</v>
      </c>
      <c r="U88" s="80" t="n">
        <f aca="false">U87*Inputs!$B$9*'Unit Economics'!$B$10*(Inputs!$B$291+(1-Inputs!$B$291)*Inputs!$B$292)</f>
        <v>66.1807863098667</v>
      </c>
      <c r="V88" s="80" t="n">
        <f aca="false">V87*Inputs!$B$9*'Unit Economics'!$B$10*(Inputs!$B$291+(1-Inputs!$B$291)*Inputs!$B$292)</f>
        <v>105.5959360512</v>
      </c>
      <c r="W88" s="80" t="n">
        <f aca="false">W87*Inputs!$B$9*'Unit Economics'!$B$10*(Inputs!$B$291+(1-Inputs!$B$291)*Inputs!$B$292)</f>
        <v>77.0428682734666</v>
      </c>
      <c r="X88" s="80" t="n">
        <f aca="false">X87*Inputs!$B$9*'Unit Economics'!$B$10*(Inputs!$B$291+(1-Inputs!$B$291)*Inputs!$B$292)</f>
        <v>62.7434185998667</v>
      </c>
      <c r="Y88" s="80" t="n">
        <f aca="false">Y87*Inputs!$B$9*'Unit Economics'!$B$10*(Inputs!$B$291+(1-Inputs!$B$291)*Inputs!$B$292)</f>
        <v>66.1807863098667</v>
      </c>
      <c r="Z88" s="80" t="n">
        <f aca="false">Z87*Inputs!$B$9*'Unit Economics'!$B$10*(Inputs!$B$291+(1-Inputs!$B$291)*Inputs!$B$292)</f>
        <v>69.7098171588</v>
      </c>
      <c r="AA88" s="80" t="n">
        <f aca="false">AA87*Inputs!$B$9*'Unit Economics'!$B$10*(Inputs!$B$291+(1-Inputs!$B$291)*Inputs!$B$292)</f>
        <v>73.3305111466667</v>
      </c>
      <c r="AB88" s="80" t="n">
        <f aca="false">AB87*Inputs!$B$9*'Unit Economics'!$B$10*(Inputs!$B$291+(1-Inputs!$B$291)*Inputs!$B$292)</f>
        <v>96.9796009914667</v>
      </c>
      <c r="AC88" s="80" t="n">
        <f aca="false">AC87*Inputs!$B$9*'Unit Economics'!$B$10*(Inputs!$B$291+(1-Inputs!$B$291)*Inputs!$B$292)</f>
        <v>154.177399685867</v>
      </c>
      <c r="AD88" s="80" t="n">
        <f aca="false">AD87*Inputs!$B$9*'Unit Economics'!$B$10*(Inputs!$B$291+(1-Inputs!$B$291)*Inputs!$B$292)</f>
        <v>52.9812943034667</v>
      </c>
      <c r="AE88" s="80" t="n">
        <f aca="false">AE87*Inputs!$B$9*'Unit Economics'!$B$10*(Inputs!$B$291+(1-Inputs!$B$291)*Inputs!$B$292)</f>
        <v>96.9796009914667</v>
      </c>
      <c r="AF88" s="80" t="n">
        <f aca="false">AF87*Inputs!$B$9*'Unit Economics'!$B$10*(Inputs!$B$291+(1-Inputs!$B$291)*Inputs!$B$292)</f>
        <v>62.7434185998667</v>
      </c>
      <c r="AG88" s="80" t="n">
        <f aca="false">AG87*Inputs!$B$9*'Unit Economics'!$B$10*(Inputs!$B$291+(1-Inputs!$B$291)*Inputs!$B$292)</f>
        <v>66.1807863098667</v>
      </c>
      <c r="AH88" s="80" t="n">
        <f aca="false">AH87*Inputs!$B$9*'Unit Economics'!$B$10*(Inputs!$B$291+(1-Inputs!$B$291)*Inputs!$B$292)</f>
        <v>105.5959360512</v>
      </c>
      <c r="AI88" s="80" t="n">
        <f aca="false">AI87*Inputs!$B$9*'Unit Economics'!$B$10*(Inputs!$B$291+(1-Inputs!$B$291)*Inputs!$B$292)</f>
        <v>77.0428682734666</v>
      </c>
      <c r="AJ88" s="80" t="n">
        <f aca="false">AJ87*Inputs!$B$9*'Unit Economics'!$B$10*(Inputs!$B$291+(1-Inputs!$B$291)*Inputs!$B$292)</f>
        <v>62.7434185998667</v>
      </c>
      <c r="AK88" s="80" t="n">
        <f aca="false">AK87*Inputs!$B$9*'Unit Economics'!$B$10*(Inputs!$B$291+(1-Inputs!$B$291)*Inputs!$B$292)</f>
        <v>66.1807863098667</v>
      </c>
      <c r="AL88" s="80" t="n">
        <f aca="false">AL87*Inputs!$B$9*'Unit Economics'!$B$10*(Inputs!$B$291+(1-Inputs!$B$291)*Inputs!$B$292)</f>
        <v>69.7098171588</v>
      </c>
      <c r="AM88" s="80" t="n">
        <f aca="false">AM87*Inputs!$B$9*'Unit Economics'!$B$10*(Inputs!$B$291+(1-Inputs!$B$291)*Inputs!$B$292)</f>
        <v>73.3305111466667</v>
      </c>
      <c r="AO88" s="80" t="n">
        <f aca="false">SUM(D88:O88)</f>
        <v>984.645438421867</v>
      </c>
      <c r="AP88" s="80" t="n">
        <f aca="false">SUM(P88:AA88)</f>
        <v>984.645438421867</v>
      </c>
      <c r="AQ88" s="80" t="n">
        <f aca="false">SUM(AB88:AM88)</f>
        <v>984.645438421867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LibreOffice/26.8.1.1$Windows_X86_64 LibreOffice_project/bf6ef2662401c7d6dce671ab4deb26ee0af3a7c1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2026-10-10T10:28:45Z</dcterms:created>
  <dc:creator>openpyxl</dc:creator>
  <dc:description/>
  <dc:language>en-US</dc:language>
  <cp:lastModifiedBy/>
  <dcterms:modified xsi:type="dcterms:W3CDTF">2026-10-13T05:24:17Z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